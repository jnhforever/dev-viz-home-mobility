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kyuman\영업\02 공공기관 및 학교\연세대학교\문서\05 사업관리\09 개발관리\가속도 센서 데이터 분석_20260128\"/>
    </mc:Choice>
  </mc:AlternateContent>
  <xr:revisionPtr revIDLastSave="0" documentId="13_ncr:1_{2E076794-CB58-4343-811F-D5EF9DD52D17}" xr6:coauthVersionLast="47" xr6:coauthVersionMax="47" xr10:uidLastSave="{00000000-0000-0000-0000-000000000000}"/>
  <bookViews>
    <workbookView xWindow="43080" yWindow="-120" windowWidth="38640" windowHeight="15720" activeTab="3" xr2:uid="{00000000-000D-0000-FFFF-FFFF00000000}"/>
  </bookViews>
  <sheets>
    <sheet name="README" sheetId="1" r:id="rId1"/>
    <sheet name="Mapping" sheetId="2" r:id="rId2"/>
    <sheet name="RawData" sheetId="3" r:id="rId3"/>
    <sheet name="DailyView" sheetId="4" r:id="rId4"/>
  </sheets>
  <definedNames>
    <definedName name="_xlnm._FilterDatabase" localSheetId="3" hidden="1">DailyView!$C$10:$BJ$34</definedName>
    <definedName name="_xlnm._FilterDatabase" localSheetId="2" hidden="1">RawData!$A$1:$G$1441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G3" i="3" s="1"/>
  <c r="D110" i="4" s="1"/>
  <c r="D4" i="3"/>
  <c r="G4" i="3" s="1"/>
  <c r="E110" i="4" s="1"/>
  <c r="D5" i="3"/>
  <c r="G5" i="3" s="1"/>
  <c r="F110" i="4" s="1"/>
  <c r="D6" i="3"/>
  <c r="G6" i="3" s="1"/>
  <c r="G110" i="4" s="1"/>
  <c r="D7" i="3"/>
  <c r="G7" i="3" s="1"/>
  <c r="H110" i="4" s="1"/>
  <c r="D8" i="3"/>
  <c r="G8" i="3" s="1"/>
  <c r="I110" i="4" s="1"/>
  <c r="D9" i="3"/>
  <c r="G9" i="3" s="1"/>
  <c r="J110" i="4" s="1"/>
  <c r="D10" i="3"/>
  <c r="G10" i="3" s="1"/>
  <c r="K110" i="4" s="1"/>
  <c r="D11" i="3"/>
  <c r="G11" i="3" s="1"/>
  <c r="L110" i="4" s="1"/>
  <c r="D12" i="3"/>
  <c r="G12" i="3" s="1"/>
  <c r="M110" i="4" s="1"/>
  <c r="D13" i="3"/>
  <c r="G13" i="3" s="1"/>
  <c r="N110" i="4" s="1"/>
  <c r="D14" i="3"/>
  <c r="G14" i="3" s="1"/>
  <c r="O110" i="4" s="1"/>
  <c r="D15" i="3"/>
  <c r="G15" i="3" s="1"/>
  <c r="P110" i="4" s="1"/>
  <c r="D16" i="3"/>
  <c r="G16" i="3" s="1"/>
  <c r="Q110" i="4" s="1"/>
  <c r="D17" i="3"/>
  <c r="G17" i="3" s="1"/>
  <c r="R110" i="4" s="1"/>
  <c r="D18" i="3"/>
  <c r="G18" i="3" s="1"/>
  <c r="S110" i="4" s="1"/>
  <c r="D19" i="3"/>
  <c r="G19" i="3" s="1"/>
  <c r="T110" i="4" s="1"/>
  <c r="D20" i="3"/>
  <c r="G20" i="3" s="1"/>
  <c r="U110" i="4" s="1"/>
  <c r="D21" i="3"/>
  <c r="G21" i="3" s="1"/>
  <c r="V110" i="4" s="1"/>
  <c r="D22" i="3"/>
  <c r="G22" i="3" s="1"/>
  <c r="W110" i="4" s="1"/>
  <c r="D23" i="3"/>
  <c r="G23" i="3" s="1"/>
  <c r="X110" i="4" s="1"/>
  <c r="D24" i="3"/>
  <c r="G24" i="3" s="1"/>
  <c r="Y110" i="4" s="1"/>
  <c r="D25" i="3"/>
  <c r="G25" i="3" s="1"/>
  <c r="Z110" i="4" s="1"/>
  <c r="D26" i="3"/>
  <c r="G26" i="3" s="1"/>
  <c r="AA110" i="4" s="1"/>
  <c r="D27" i="3"/>
  <c r="G27" i="3" s="1"/>
  <c r="AB110" i="4" s="1"/>
  <c r="D28" i="3"/>
  <c r="G28" i="3" s="1"/>
  <c r="AC110" i="4" s="1"/>
  <c r="D29" i="3"/>
  <c r="G29" i="3" s="1"/>
  <c r="AD110" i="4" s="1"/>
  <c r="D30" i="3"/>
  <c r="G30" i="3" s="1"/>
  <c r="AE110" i="4" s="1"/>
  <c r="D31" i="3"/>
  <c r="G31" i="3" s="1"/>
  <c r="AF110" i="4" s="1"/>
  <c r="D32" i="3"/>
  <c r="G32" i="3" s="1"/>
  <c r="AG110" i="4" s="1"/>
  <c r="D33" i="3"/>
  <c r="G33" i="3" s="1"/>
  <c r="AH110" i="4" s="1"/>
  <c r="D34" i="3"/>
  <c r="G34" i="3" s="1"/>
  <c r="AI110" i="4" s="1"/>
  <c r="D35" i="3"/>
  <c r="G35" i="3" s="1"/>
  <c r="AJ110" i="4" s="1"/>
  <c r="D36" i="3"/>
  <c r="G36" i="3" s="1"/>
  <c r="AK110" i="4" s="1"/>
  <c r="D37" i="3"/>
  <c r="G37" i="3" s="1"/>
  <c r="AL110" i="4" s="1"/>
  <c r="D38" i="3"/>
  <c r="G38" i="3" s="1"/>
  <c r="AM110" i="4" s="1"/>
  <c r="D39" i="3"/>
  <c r="G39" i="3" s="1"/>
  <c r="AN110" i="4" s="1"/>
  <c r="D40" i="3"/>
  <c r="G40" i="3" s="1"/>
  <c r="AO110" i="4" s="1"/>
  <c r="D41" i="3"/>
  <c r="G41" i="3" s="1"/>
  <c r="AP110" i="4" s="1"/>
  <c r="D42" i="3"/>
  <c r="G42" i="3" s="1"/>
  <c r="AQ110" i="4" s="1"/>
  <c r="D43" i="3"/>
  <c r="G43" i="3" s="1"/>
  <c r="AR110" i="4" s="1"/>
  <c r="D44" i="3"/>
  <c r="G44" i="3" s="1"/>
  <c r="AS110" i="4" s="1"/>
  <c r="D45" i="3"/>
  <c r="G45" i="3" s="1"/>
  <c r="AT110" i="4" s="1"/>
  <c r="D46" i="3"/>
  <c r="G46" i="3" s="1"/>
  <c r="AU110" i="4" s="1"/>
  <c r="D47" i="3"/>
  <c r="G47" i="3" s="1"/>
  <c r="AV110" i="4" s="1"/>
  <c r="D48" i="3"/>
  <c r="G48" i="3" s="1"/>
  <c r="AW110" i="4" s="1"/>
  <c r="D49" i="3"/>
  <c r="G49" i="3" s="1"/>
  <c r="AX110" i="4" s="1"/>
  <c r="D50" i="3"/>
  <c r="G50" i="3" s="1"/>
  <c r="AY110" i="4" s="1"/>
  <c r="D51" i="3"/>
  <c r="G51" i="3" s="1"/>
  <c r="AZ110" i="4" s="1"/>
  <c r="D52" i="3"/>
  <c r="G52" i="3" s="1"/>
  <c r="BA110" i="4" s="1"/>
  <c r="D53" i="3"/>
  <c r="G53" i="3" s="1"/>
  <c r="BB110" i="4" s="1"/>
  <c r="D54" i="3"/>
  <c r="G54" i="3" s="1"/>
  <c r="BC110" i="4" s="1"/>
  <c r="D55" i="3"/>
  <c r="G55" i="3" s="1"/>
  <c r="BD110" i="4" s="1"/>
  <c r="D56" i="3"/>
  <c r="G56" i="3" s="1"/>
  <c r="BE110" i="4" s="1"/>
  <c r="D57" i="3"/>
  <c r="G57" i="3" s="1"/>
  <c r="BF110" i="4" s="1"/>
  <c r="D58" i="3"/>
  <c r="G58" i="3" s="1"/>
  <c r="BG110" i="4" s="1"/>
  <c r="D59" i="3"/>
  <c r="G59" i="3" s="1"/>
  <c r="BH110" i="4" s="1"/>
  <c r="D60" i="3"/>
  <c r="G60" i="3" s="1"/>
  <c r="BI110" i="4" s="1"/>
  <c r="D61" i="3"/>
  <c r="G61" i="3" s="1"/>
  <c r="BJ110" i="4" s="1"/>
  <c r="D62" i="3"/>
  <c r="G62" i="3" s="1"/>
  <c r="C111" i="4" s="1"/>
  <c r="D63" i="3"/>
  <c r="G63" i="3" s="1"/>
  <c r="D111" i="4" s="1"/>
  <c r="D64" i="3"/>
  <c r="G64" i="3" s="1"/>
  <c r="E111" i="4" s="1"/>
  <c r="D65" i="3"/>
  <c r="G65" i="3" s="1"/>
  <c r="F111" i="4" s="1"/>
  <c r="D66" i="3"/>
  <c r="G66" i="3" s="1"/>
  <c r="G111" i="4" s="1"/>
  <c r="D67" i="3"/>
  <c r="G67" i="3" s="1"/>
  <c r="H111" i="4" s="1"/>
  <c r="D68" i="3"/>
  <c r="G68" i="3" s="1"/>
  <c r="I111" i="4" s="1"/>
  <c r="D69" i="3"/>
  <c r="G69" i="3" s="1"/>
  <c r="J111" i="4" s="1"/>
  <c r="D70" i="3"/>
  <c r="G70" i="3" s="1"/>
  <c r="K111" i="4" s="1"/>
  <c r="D71" i="3"/>
  <c r="G71" i="3" s="1"/>
  <c r="L111" i="4" s="1"/>
  <c r="D72" i="3"/>
  <c r="G72" i="3" s="1"/>
  <c r="M111" i="4" s="1"/>
  <c r="D73" i="3"/>
  <c r="G73" i="3" s="1"/>
  <c r="N111" i="4" s="1"/>
  <c r="D74" i="3"/>
  <c r="G74" i="3" s="1"/>
  <c r="O111" i="4" s="1"/>
  <c r="D75" i="3"/>
  <c r="G75" i="3" s="1"/>
  <c r="P111" i="4" s="1"/>
  <c r="D76" i="3"/>
  <c r="G76" i="3" s="1"/>
  <c r="Q111" i="4" s="1"/>
  <c r="D77" i="3"/>
  <c r="G77" i="3" s="1"/>
  <c r="R111" i="4" s="1"/>
  <c r="D78" i="3"/>
  <c r="G78" i="3" s="1"/>
  <c r="S111" i="4" s="1"/>
  <c r="D79" i="3"/>
  <c r="G79" i="3" s="1"/>
  <c r="T111" i="4" s="1"/>
  <c r="D80" i="3"/>
  <c r="G80" i="3" s="1"/>
  <c r="U111" i="4" s="1"/>
  <c r="D81" i="3"/>
  <c r="G81" i="3" s="1"/>
  <c r="V111" i="4" s="1"/>
  <c r="D82" i="3"/>
  <c r="G82" i="3" s="1"/>
  <c r="W111" i="4" s="1"/>
  <c r="D83" i="3"/>
  <c r="G83" i="3" s="1"/>
  <c r="X111" i="4" s="1"/>
  <c r="D84" i="3"/>
  <c r="G84" i="3" s="1"/>
  <c r="Y111" i="4" s="1"/>
  <c r="D85" i="3"/>
  <c r="G85" i="3" s="1"/>
  <c r="Z111" i="4" s="1"/>
  <c r="D86" i="3"/>
  <c r="G86" i="3" s="1"/>
  <c r="AA111" i="4" s="1"/>
  <c r="D87" i="3"/>
  <c r="G87" i="3" s="1"/>
  <c r="AB111" i="4" s="1"/>
  <c r="D88" i="3"/>
  <c r="G88" i="3" s="1"/>
  <c r="AC111" i="4" s="1"/>
  <c r="D89" i="3"/>
  <c r="G89" i="3" s="1"/>
  <c r="AD111" i="4" s="1"/>
  <c r="D90" i="3"/>
  <c r="G90" i="3" s="1"/>
  <c r="AE111" i="4" s="1"/>
  <c r="D91" i="3"/>
  <c r="G91" i="3" s="1"/>
  <c r="AF111" i="4" s="1"/>
  <c r="D92" i="3"/>
  <c r="G92" i="3" s="1"/>
  <c r="AG111" i="4" s="1"/>
  <c r="D93" i="3"/>
  <c r="G93" i="3" s="1"/>
  <c r="AH111" i="4" s="1"/>
  <c r="D94" i="3"/>
  <c r="G94" i="3" s="1"/>
  <c r="AI111" i="4" s="1"/>
  <c r="D95" i="3"/>
  <c r="G95" i="3" s="1"/>
  <c r="AJ111" i="4" s="1"/>
  <c r="D96" i="3"/>
  <c r="G96" i="3" s="1"/>
  <c r="AK111" i="4" s="1"/>
  <c r="D97" i="3"/>
  <c r="G97" i="3" s="1"/>
  <c r="AL111" i="4" s="1"/>
  <c r="D98" i="3"/>
  <c r="G98" i="3" s="1"/>
  <c r="AM111" i="4" s="1"/>
  <c r="D99" i="3"/>
  <c r="G99" i="3" s="1"/>
  <c r="AN111" i="4" s="1"/>
  <c r="D100" i="3"/>
  <c r="G100" i="3" s="1"/>
  <c r="AO111" i="4" s="1"/>
  <c r="D101" i="3"/>
  <c r="G101" i="3" s="1"/>
  <c r="AP111" i="4" s="1"/>
  <c r="D102" i="3"/>
  <c r="G102" i="3" s="1"/>
  <c r="AQ111" i="4" s="1"/>
  <c r="D103" i="3"/>
  <c r="G103" i="3" s="1"/>
  <c r="AR111" i="4" s="1"/>
  <c r="D104" i="3"/>
  <c r="G104" i="3" s="1"/>
  <c r="AS111" i="4" s="1"/>
  <c r="D105" i="3"/>
  <c r="G105" i="3" s="1"/>
  <c r="AT111" i="4" s="1"/>
  <c r="D106" i="3"/>
  <c r="G106" i="3" s="1"/>
  <c r="AU111" i="4" s="1"/>
  <c r="D107" i="3"/>
  <c r="G107" i="3" s="1"/>
  <c r="AV111" i="4" s="1"/>
  <c r="D108" i="3"/>
  <c r="G108" i="3" s="1"/>
  <c r="AW111" i="4" s="1"/>
  <c r="D109" i="3"/>
  <c r="G109" i="3" s="1"/>
  <c r="AX111" i="4" s="1"/>
  <c r="D110" i="3"/>
  <c r="G110" i="3" s="1"/>
  <c r="AY111" i="4" s="1"/>
  <c r="D111" i="3"/>
  <c r="G111" i="3" s="1"/>
  <c r="AZ111" i="4" s="1"/>
  <c r="D112" i="3"/>
  <c r="G112" i="3" s="1"/>
  <c r="BA111" i="4" s="1"/>
  <c r="D113" i="3"/>
  <c r="G113" i="3" s="1"/>
  <c r="BB111" i="4" s="1"/>
  <c r="D114" i="3"/>
  <c r="G114" i="3" s="1"/>
  <c r="BC111" i="4" s="1"/>
  <c r="D115" i="3"/>
  <c r="G115" i="3" s="1"/>
  <c r="BD111" i="4" s="1"/>
  <c r="D116" i="3"/>
  <c r="G116" i="3" s="1"/>
  <c r="BE111" i="4" s="1"/>
  <c r="D117" i="3"/>
  <c r="G117" i="3" s="1"/>
  <c r="BF111" i="4" s="1"/>
  <c r="D118" i="3"/>
  <c r="G118" i="3" s="1"/>
  <c r="BG111" i="4" s="1"/>
  <c r="D119" i="3"/>
  <c r="G119" i="3" s="1"/>
  <c r="BH111" i="4" s="1"/>
  <c r="D120" i="3"/>
  <c r="G120" i="3" s="1"/>
  <c r="BI111" i="4" s="1"/>
  <c r="D121" i="3"/>
  <c r="G121" i="3" s="1"/>
  <c r="BJ111" i="4" s="1"/>
  <c r="D122" i="3"/>
  <c r="G122" i="3" s="1"/>
  <c r="C112" i="4" s="1"/>
  <c r="D123" i="3"/>
  <c r="G123" i="3" s="1"/>
  <c r="D112" i="4" s="1"/>
  <c r="D124" i="3"/>
  <c r="G124" i="3" s="1"/>
  <c r="E112" i="4" s="1"/>
  <c r="D125" i="3"/>
  <c r="G125" i="3" s="1"/>
  <c r="F112" i="4" s="1"/>
  <c r="D126" i="3"/>
  <c r="G126" i="3" s="1"/>
  <c r="G112" i="4" s="1"/>
  <c r="D127" i="3"/>
  <c r="G127" i="3" s="1"/>
  <c r="H112" i="4" s="1"/>
  <c r="D128" i="3"/>
  <c r="G128" i="3" s="1"/>
  <c r="I112" i="4" s="1"/>
  <c r="D129" i="3"/>
  <c r="G129" i="3" s="1"/>
  <c r="J112" i="4" s="1"/>
  <c r="D130" i="3"/>
  <c r="G130" i="3" s="1"/>
  <c r="K112" i="4" s="1"/>
  <c r="D131" i="3"/>
  <c r="G131" i="3" s="1"/>
  <c r="L112" i="4" s="1"/>
  <c r="D132" i="3"/>
  <c r="G132" i="3" s="1"/>
  <c r="M112" i="4" s="1"/>
  <c r="D133" i="3"/>
  <c r="G133" i="3" s="1"/>
  <c r="N112" i="4" s="1"/>
  <c r="D134" i="3"/>
  <c r="G134" i="3" s="1"/>
  <c r="O112" i="4" s="1"/>
  <c r="D135" i="3"/>
  <c r="G135" i="3" s="1"/>
  <c r="P112" i="4" s="1"/>
  <c r="D136" i="3"/>
  <c r="G136" i="3" s="1"/>
  <c r="Q112" i="4" s="1"/>
  <c r="D137" i="3"/>
  <c r="G137" i="3" s="1"/>
  <c r="R112" i="4" s="1"/>
  <c r="D138" i="3"/>
  <c r="G138" i="3" s="1"/>
  <c r="S112" i="4" s="1"/>
  <c r="D139" i="3"/>
  <c r="G139" i="3" s="1"/>
  <c r="T112" i="4" s="1"/>
  <c r="D140" i="3"/>
  <c r="G140" i="3" s="1"/>
  <c r="U112" i="4" s="1"/>
  <c r="D141" i="3"/>
  <c r="G141" i="3" s="1"/>
  <c r="V112" i="4" s="1"/>
  <c r="D142" i="3"/>
  <c r="G142" i="3" s="1"/>
  <c r="W112" i="4" s="1"/>
  <c r="D143" i="3"/>
  <c r="G143" i="3" s="1"/>
  <c r="X112" i="4" s="1"/>
  <c r="D144" i="3"/>
  <c r="G144" i="3" s="1"/>
  <c r="Y112" i="4" s="1"/>
  <c r="D145" i="3"/>
  <c r="G145" i="3" s="1"/>
  <c r="Z112" i="4" s="1"/>
  <c r="D146" i="3"/>
  <c r="G146" i="3" s="1"/>
  <c r="AA112" i="4" s="1"/>
  <c r="D147" i="3"/>
  <c r="G147" i="3" s="1"/>
  <c r="AB112" i="4" s="1"/>
  <c r="D148" i="3"/>
  <c r="G148" i="3" s="1"/>
  <c r="AC112" i="4" s="1"/>
  <c r="D149" i="3"/>
  <c r="G149" i="3" s="1"/>
  <c r="AD112" i="4" s="1"/>
  <c r="D150" i="3"/>
  <c r="G150" i="3" s="1"/>
  <c r="AE112" i="4" s="1"/>
  <c r="D151" i="3"/>
  <c r="G151" i="3" s="1"/>
  <c r="AF112" i="4" s="1"/>
  <c r="D152" i="3"/>
  <c r="G152" i="3" s="1"/>
  <c r="AG112" i="4" s="1"/>
  <c r="D153" i="3"/>
  <c r="G153" i="3" s="1"/>
  <c r="AH112" i="4" s="1"/>
  <c r="D154" i="3"/>
  <c r="G154" i="3" s="1"/>
  <c r="AI112" i="4" s="1"/>
  <c r="D155" i="3"/>
  <c r="G155" i="3" s="1"/>
  <c r="AJ112" i="4" s="1"/>
  <c r="D156" i="3"/>
  <c r="G156" i="3" s="1"/>
  <c r="AK112" i="4" s="1"/>
  <c r="D157" i="3"/>
  <c r="G157" i="3" s="1"/>
  <c r="AL112" i="4" s="1"/>
  <c r="D158" i="3"/>
  <c r="G158" i="3" s="1"/>
  <c r="AM112" i="4" s="1"/>
  <c r="D159" i="3"/>
  <c r="G159" i="3" s="1"/>
  <c r="AN112" i="4" s="1"/>
  <c r="D160" i="3"/>
  <c r="G160" i="3" s="1"/>
  <c r="AO112" i="4" s="1"/>
  <c r="D161" i="3"/>
  <c r="G161" i="3" s="1"/>
  <c r="AP112" i="4" s="1"/>
  <c r="D162" i="3"/>
  <c r="G162" i="3" s="1"/>
  <c r="AQ112" i="4" s="1"/>
  <c r="D163" i="3"/>
  <c r="G163" i="3" s="1"/>
  <c r="AR112" i="4" s="1"/>
  <c r="D164" i="3"/>
  <c r="G164" i="3" s="1"/>
  <c r="AS112" i="4" s="1"/>
  <c r="D165" i="3"/>
  <c r="G165" i="3" s="1"/>
  <c r="AT112" i="4" s="1"/>
  <c r="D166" i="3"/>
  <c r="G166" i="3" s="1"/>
  <c r="AU112" i="4" s="1"/>
  <c r="D167" i="3"/>
  <c r="G167" i="3" s="1"/>
  <c r="AV112" i="4" s="1"/>
  <c r="D168" i="3"/>
  <c r="G168" i="3" s="1"/>
  <c r="AW112" i="4" s="1"/>
  <c r="D169" i="3"/>
  <c r="G169" i="3" s="1"/>
  <c r="AX112" i="4" s="1"/>
  <c r="D170" i="3"/>
  <c r="G170" i="3" s="1"/>
  <c r="AY112" i="4" s="1"/>
  <c r="D171" i="3"/>
  <c r="G171" i="3" s="1"/>
  <c r="AZ112" i="4" s="1"/>
  <c r="D172" i="3"/>
  <c r="G172" i="3" s="1"/>
  <c r="BA112" i="4" s="1"/>
  <c r="D173" i="3"/>
  <c r="G173" i="3" s="1"/>
  <c r="BB112" i="4" s="1"/>
  <c r="D174" i="3"/>
  <c r="G174" i="3" s="1"/>
  <c r="BC112" i="4" s="1"/>
  <c r="D175" i="3"/>
  <c r="G175" i="3" s="1"/>
  <c r="BD112" i="4" s="1"/>
  <c r="D176" i="3"/>
  <c r="G176" i="3" s="1"/>
  <c r="BE112" i="4" s="1"/>
  <c r="D177" i="3"/>
  <c r="G177" i="3" s="1"/>
  <c r="BF112" i="4" s="1"/>
  <c r="D178" i="3"/>
  <c r="G178" i="3" s="1"/>
  <c r="BG112" i="4" s="1"/>
  <c r="D179" i="3"/>
  <c r="G179" i="3" s="1"/>
  <c r="BH112" i="4" s="1"/>
  <c r="D180" i="3"/>
  <c r="G180" i="3" s="1"/>
  <c r="BI112" i="4" s="1"/>
  <c r="D181" i="3"/>
  <c r="G181" i="3" s="1"/>
  <c r="BJ112" i="4" s="1"/>
  <c r="D182" i="3"/>
  <c r="G182" i="3" s="1"/>
  <c r="C113" i="4" s="1"/>
  <c r="D183" i="3"/>
  <c r="G183" i="3" s="1"/>
  <c r="D113" i="4" s="1"/>
  <c r="D184" i="3"/>
  <c r="G184" i="3" s="1"/>
  <c r="E113" i="4" s="1"/>
  <c r="D185" i="3"/>
  <c r="G185" i="3" s="1"/>
  <c r="F113" i="4" s="1"/>
  <c r="D186" i="3"/>
  <c r="G186" i="3" s="1"/>
  <c r="G113" i="4" s="1"/>
  <c r="D187" i="3"/>
  <c r="G187" i="3" s="1"/>
  <c r="H113" i="4" s="1"/>
  <c r="D188" i="3"/>
  <c r="G188" i="3" s="1"/>
  <c r="I113" i="4" s="1"/>
  <c r="D189" i="3"/>
  <c r="G189" i="3" s="1"/>
  <c r="J113" i="4" s="1"/>
  <c r="D190" i="3"/>
  <c r="G190" i="3" s="1"/>
  <c r="K113" i="4" s="1"/>
  <c r="D191" i="3"/>
  <c r="G191" i="3" s="1"/>
  <c r="L113" i="4" s="1"/>
  <c r="D192" i="3"/>
  <c r="G192" i="3" s="1"/>
  <c r="M113" i="4" s="1"/>
  <c r="D193" i="3"/>
  <c r="G193" i="3" s="1"/>
  <c r="N113" i="4" s="1"/>
  <c r="D194" i="3"/>
  <c r="G194" i="3" s="1"/>
  <c r="O113" i="4" s="1"/>
  <c r="D195" i="3"/>
  <c r="G195" i="3" s="1"/>
  <c r="P113" i="4" s="1"/>
  <c r="D196" i="3"/>
  <c r="G196" i="3" s="1"/>
  <c r="Q113" i="4" s="1"/>
  <c r="D197" i="3"/>
  <c r="G197" i="3" s="1"/>
  <c r="R113" i="4" s="1"/>
  <c r="D198" i="3"/>
  <c r="G198" i="3" s="1"/>
  <c r="S113" i="4" s="1"/>
  <c r="D199" i="3"/>
  <c r="G199" i="3" s="1"/>
  <c r="T113" i="4" s="1"/>
  <c r="D200" i="3"/>
  <c r="G200" i="3" s="1"/>
  <c r="U113" i="4" s="1"/>
  <c r="D201" i="3"/>
  <c r="G201" i="3" s="1"/>
  <c r="V113" i="4" s="1"/>
  <c r="D202" i="3"/>
  <c r="G202" i="3" s="1"/>
  <c r="W113" i="4" s="1"/>
  <c r="D203" i="3"/>
  <c r="G203" i="3" s="1"/>
  <c r="X113" i="4" s="1"/>
  <c r="D204" i="3"/>
  <c r="G204" i="3" s="1"/>
  <c r="Y113" i="4" s="1"/>
  <c r="D205" i="3"/>
  <c r="G205" i="3" s="1"/>
  <c r="Z113" i="4" s="1"/>
  <c r="D206" i="3"/>
  <c r="G206" i="3" s="1"/>
  <c r="AA113" i="4" s="1"/>
  <c r="D207" i="3"/>
  <c r="G207" i="3" s="1"/>
  <c r="AB113" i="4" s="1"/>
  <c r="D208" i="3"/>
  <c r="G208" i="3" s="1"/>
  <c r="AC113" i="4" s="1"/>
  <c r="D209" i="3"/>
  <c r="G209" i="3" s="1"/>
  <c r="AD113" i="4" s="1"/>
  <c r="D210" i="3"/>
  <c r="G210" i="3" s="1"/>
  <c r="AE113" i="4" s="1"/>
  <c r="D211" i="3"/>
  <c r="G211" i="3" s="1"/>
  <c r="AF113" i="4" s="1"/>
  <c r="D212" i="3"/>
  <c r="G212" i="3" s="1"/>
  <c r="AG113" i="4" s="1"/>
  <c r="D213" i="3"/>
  <c r="G213" i="3" s="1"/>
  <c r="AH113" i="4" s="1"/>
  <c r="D214" i="3"/>
  <c r="G214" i="3" s="1"/>
  <c r="AI113" i="4" s="1"/>
  <c r="D215" i="3"/>
  <c r="G215" i="3" s="1"/>
  <c r="AJ113" i="4" s="1"/>
  <c r="D216" i="3"/>
  <c r="G216" i="3" s="1"/>
  <c r="AK113" i="4" s="1"/>
  <c r="D217" i="3"/>
  <c r="G217" i="3" s="1"/>
  <c r="AL113" i="4" s="1"/>
  <c r="D218" i="3"/>
  <c r="G218" i="3" s="1"/>
  <c r="AM113" i="4" s="1"/>
  <c r="D219" i="3"/>
  <c r="G219" i="3" s="1"/>
  <c r="AN113" i="4" s="1"/>
  <c r="D220" i="3"/>
  <c r="G220" i="3" s="1"/>
  <c r="AO113" i="4" s="1"/>
  <c r="D221" i="3"/>
  <c r="G221" i="3" s="1"/>
  <c r="AP113" i="4" s="1"/>
  <c r="D222" i="3"/>
  <c r="G222" i="3" s="1"/>
  <c r="AQ113" i="4" s="1"/>
  <c r="D223" i="3"/>
  <c r="G223" i="3" s="1"/>
  <c r="AR113" i="4" s="1"/>
  <c r="D224" i="3"/>
  <c r="G224" i="3" s="1"/>
  <c r="AS113" i="4" s="1"/>
  <c r="D225" i="3"/>
  <c r="G225" i="3" s="1"/>
  <c r="AT113" i="4" s="1"/>
  <c r="D226" i="3"/>
  <c r="G226" i="3" s="1"/>
  <c r="AU113" i="4" s="1"/>
  <c r="D227" i="3"/>
  <c r="G227" i="3" s="1"/>
  <c r="AV113" i="4" s="1"/>
  <c r="D228" i="3"/>
  <c r="G228" i="3" s="1"/>
  <c r="AW113" i="4" s="1"/>
  <c r="D229" i="3"/>
  <c r="G229" i="3" s="1"/>
  <c r="AX113" i="4" s="1"/>
  <c r="D230" i="3"/>
  <c r="G230" i="3" s="1"/>
  <c r="AY113" i="4" s="1"/>
  <c r="D231" i="3"/>
  <c r="G231" i="3" s="1"/>
  <c r="AZ113" i="4" s="1"/>
  <c r="D232" i="3"/>
  <c r="G232" i="3" s="1"/>
  <c r="BA113" i="4" s="1"/>
  <c r="D233" i="3"/>
  <c r="G233" i="3" s="1"/>
  <c r="BB113" i="4" s="1"/>
  <c r="D234" i="3"/>
  <c r="G234" i="3" s="1"/>
  <c r="BC113" i="4" s="1"/>
  <c r="D235" i="3"/>
  <c r="G235" i="3" s="1"/>
  <c r="BD113" i="4" s="1"/>
  <c r="D236" i="3"/>
  <c r="G236" i="3" s="1"/>
  <c r="BE113" i="4" s="1"/>
  <c r="D237" i="3"/>
  <c r="G237" i="3" s="1"/>
  <c r="BF113" i="4" s="1"/>
  <c r="D238" i="3"/>
  <c r="G238" i="3" s="1"/>
  <c r="BG113" i="4" s="1"/>
  <c r="D239" i="3"/>
  <c r="G239" i="3" s="1"/>
  <c r="BH113" i="4" s="1"/>
  <c r="D240" i="3"/>
  <c r="G240" i="3" s="1"/>
  <c r="BI113" i="4" s="1"/>
  <c r="D241" i="3"/>
  <c r="G241" i="3" s="1"/>
  <c r="BJ113" i="4" s="1"/>
  <c r="D242" i="3"/>
  <c r="G242" i="3" s="1"/>
  <c r="C114" i="4" s="1"/>
  <c r="D243" i="3"/>
  <c r="G243" i="3" s="1"/>
  <c r="D114" i="4" s="1"/>
  <c r="D244" i="3"/>
  <c r="G244" i="3" s="1"/>
  <c r="E114" i="4" s="1"/>
  <c r="D245" i="3"/>
  <c r="G245" i="3" s="1"/>
  <c r="F114" i="4" s="1"/>
  <c r="D246" i="3"/>
  <c r="G246" i="3" s="1"/>
  <c r="G114" i="4" s="1"/>
  <c r="D247" i="3"/>
  <c r="G247" i="3" s="1"/>
  <c r="H114" i="4" s="1"/>
  <c r="D248" i="3"/>
  <c r="G248" i="3" s="1"/>
  <c r="I114" i="4" s="1"/>
  <c r="D249" i="3"/>
  <c r="G249" i="3" s="1"/>
  <c r="J114" i="4" s="1"/>
  <c r="D250" i="3"/>
  <c r="G250" i="3" s="1"/>
  <c r="K114" i="4" s="1"/>
  <c r="D251" i="3"/>
  <c r="G251" i="3" s="1"/>
  <c r="L114" i="4" s="1"/>
  <c r="D252" i="3"/>
  <c r="G252" i="3" s="1"/>
  <c r="M114" i="4" s="1"/>
  <c r="D253" i="3"/>
  <c r="G253" i="3" s="1"/>
  <c r="N114" i="4" s="1"/>
  <c r="D254" i="3"/>
  <c r="G254" i="3" s="1"/>
  <c r="O114" i="4" s="1"/>
  <c r="D255" i="3"/>
  <c r="G255" i="3" s="1"/>
  <c r="P114" i="4" s="1"/>
  <c r="D256" i="3"/>
  <c r="G256" i="3" s="1"/>
  <c r="Q114" i="4" s="1"/>
  <c r="D257" i="3"/>
  <c r="G257" i="3" s="1"/>
  <c r="R114" i="4" s="1"/>
  <c r="D258" i="3"/>
  <c r="G258" i="3" s="1"/>
  <c r="S114" i="4" s="1"/>
  <c r="D259" i="3"/>
  <c r="G259" i="3" s="1"/>
  <c r="T114" i="4" s="1"/>
  <c r="D260" i="3"/>
  <c r="G260" i="3" s="1"/>
  <c r="U114" i="4" s="1"/>
  <c r="D261" i="3"/>
  <c r="G261" i="3" s="1"/>
  <c r="V114" i="4" s="1"/>
  <c r="D262" i="3"/>
  <c r="G262" i="3" s="1"/>
  <c r="W114" i="4" s="1"/>
  <c r="D263" i="3"/>
  <c r="G263" i="3" s="1"/>
  <c r="X114" i="4" s="1"/>
  <c r="D264" i="3"/>
  <c r="G264" i="3" s="1"/>
  <c r="Y114" i="4" s="1"/>
  <c r="D265" i="3"/>
  <c r="G265" i="3" s="1"/>
  <c r="Z114" i="4" s="1"/>
  <c r="D266" i="3"/>
  <c r="G266" i="3" s="1"/>
  <c r="AA114" i="4" s="1"/>
  <c r="D267" i="3"/>
  <c r="G267" i="3" s="1"/>
  <c r="AB114" i="4" s="1"/>
  <c r="D268" i="3"/>
  <c r="G268" i="3" s="1"/>
  <c r="AC114" i="4" s="1"/>
  <c r="D269" i="3"/>
  <c r="G269" i="3" s="1"/>
  <c r="AD114" i="4" s="1"/>
  <c r="D270" i="3"/>
  <c r="G270" i="3" s="1"/>
  <c r="AE114" i="4" s="1"/>
  <c r="D271" i="3"/>
  <c r="G271" i="3" s="1"/>
  <c r="AF114" i="4" s="1"/>
  <c r="D272" i="3"/>
  <c r="G272" i="3" s="1"/>
  <c r="AG114" i="4" s="1"/>
  <c r="D273" i="3"/>
  <c r="G273" i="3" s="1"/>
  <c r="AH114" i="4" s="1"/>
  <c r="D274" i="3"/>
  <c r="G274" i="3" s="1"/>
  <c r="AI114" i="4" s="1"/>
  <c r="D275" i="3"/>
  <c r="G275" i="3" s="1"/>
  <c r="AJ114" i="4" s="1"/>
  <c r="D276" i="3"/>
  <c r="G276" i="3" s="1"/>
  <c r="AK114" i="4" s="1"/>
  <c r="D277" i="3"/>
  <c r="G277" i="3" s="1"/>
  <c r="AL114" i="4" s="1"/>
  <c r="D278" i="3"/>
  <c r="G278" i="3" s="1"/>
  <c r="AM114" i="4" s="1"/>
  <c r="D279" i="3"/>
  <c r="G279" i="3" s="1"/>
  <c r="AN114" i="4" s="1"/>
  <c r="D280" i="3"/>
  <c r="G280" i="3" s="1"/>
  <c r="AO114" i="4" s="1"/>
  <c r="D281" i="3"/>
  <c r="G281" i="3" s="1"/>
  <c r="AP114" i="4" s="1"/>
  <c r="D282" i="3"/>
  <c r="G282" i="3" s="1"/>
  <c r="AQ114" i="4" s="1"/>
  <c r="D283" i="3"/>
  <c r="G283" i="3" s="1"/>
  <c r="AR114" i="4" s="1"/>
  <c r="D284" i="3"/>
  <c r="G284" i="3" s="1"/>
  <c r="AS114" i="4" s="1"/>
  <c r="D285" i="3"/>
  <c r="G285" i="3" s="1"/>
  <c r="AT114" i="4" s="1"/>
  <c r="D286" i="3"/>
  <c r="G286" i="3" s="1"/>
  <c r="AU114" i="4" s="1"/>
  <c r="D287" i="3"/>
  <c r="G287" i="3" s="1"/>
  <c r="AV114" i="4" s="1"/>
  <c r="D288" i="3"/>
  <c r="G288" i="3" s="1"/>
  <c r="AW114" i="4" s="1"/>
  <c r="D289" i="3"/>
  <c r="G289" i="3" s="1"/>
  <c r="AX114" i="4" s="1"/>
  <c r="D290" i="3"/>
  <c r="G290" i="3" s="1"/>
  <c r="AY114" i="4" s="1"/>
  <c r="D291" i="3"/>
  <c r="G291" i="3" s="1"/>
  <c r="AZ114" i="4" s="1"/>
  <c r="D292" i="3"/>
  <c r="G292" i="3" s="1"/>
  <c r="BA114" i="4" s="1"/>
  <c r="D293" i="3"/>
  <c r="G293" i="3" s="1"/>
  <c r="BB114" i="4" s="1"/>
  <c r="D294" i="3"/>
  <c r="G294" i="3" s="1"/>
  <c r="BC114" i="4" s="1"/>
  <c r="D295" i="3"/>
  <c r="G295" i="3" s="1"/>
  <c r="BD114" i="4" s="1"/>
  <c r="D296" i="3"/>
  <c r="G296" i="3" s="1"/>
  <c r="BE114" i="4" s="1"/>
  <c r="D297" i="3"/>
  <c r="G297" i="3" s="1"/>
  <c r="BF114" i="4" s="1"/>
  <c r="D298" i="3"/>
  <c r="G298" i="3" s="1"/>
  <c r="BG114" i="4" s="1"/>
  <c r="D299" i="3"/>
  <c r="G299" i="3" s="1"/>
  <c r="BH114" i="4" s="1"/>
  <c r="D300" i="3"/>
  <c r="G300" i="3" s="1"/>
  <c r="BI114" i="4" s="1"/>
  <c r="D301" i="3"/>
  <c r="G301" i="3" s="1"/>
  <c r="BJ114" i="4" s="1"/>
  <c r="D302" i="3"/>
  <c r="G302" i="3" s="1"/>
  <c r="C115" i="4" s="1"/>
  <c r="D303" i="3"/>
  <c r="G303" i="3" s="1"/>
  <c r="D115" i="4" s="1"/>
  <c r="D304" i="3"/>
  <c r="G304" i="3" s="1"/>
  <c r="E115" i="4" s="1"/>
  <c r="D305" i="3"/>
  <c r="G305" i="3" s="1"/>
  <c r="F115" i="4" s="1"/>
  <c r="D306" i="3"/>
  <c r="G306" i="3" s="1"/>
  <c r="G115" i="4" s="1"/>
  <c r="D307" i="3"/>
  <c r="G307" i="3" s="1"/>
  <c r="H115" i="4" s="1"/>
  <c r="D308" i="3"/>
  <c r="G308" i="3" s="1"/>
  <c r="I115" i="4" s="1"/>
  <c r="D309" i="3"/>
  <c r="G309" i="3" s="1"/>
  <c r="J115" i="4" s="1"/>
  <c r="D310" i="3"/>
  <c r="G310" i="3" s="1"/>
  <c r="K115" i="4" s="1"/>
  <c r="D311" i="3"/>
  <c r="G311" i="3" s="1"/>
  <c r="L115" i="4" s="1"/>
  <c r="D312" i="3"/>
  <c r="G312" i="3" s="1"/>
  <c r="M115" i="4" s="1"/>
  <c r="D313" i="3"/>
  <c r="G313" i="3" s="1"/>
  <c r="N115" i="4" s="1"/>
  <c r="D314" i="3"/>
  <c r="G314" i="3" s="1"/>
  <c r="O115" i="4" s="1"/>
  <c r="D315" i="3"/>
  <c r="G315" i="3" s="1"/>
  <c r="P115" i="4" s="1"/>
  <c r="D316" i="3"/>
  <c r="G316" i="3" s="1"/>
  <c r="Q115" i="4" s="1"/>
  <c r="D317" i="3"/>
  <c r="G317" i="3" s="1"/>
  <c r="R115" i="4" s="1"/>
  <c r="D318" i="3"/>
  <c r="G318" i="3" s="1"/>
  <c r="S115" i="4" s="1"/>
  <c r="D319" i="3"/>
  <c r="G319" i="3" s="1"/>
  <c r="T115" i="4" s="1"/>
  <c r="D320" i="3"/>
  <c r="G320" i="3" s="1"/>
  <c r="U115" i="4" s="1"/>
  <c r="D321" i="3"/>
  <c r="G321" i="3" s="1"/>
  <c r="V115" i="4" s="1"/>
  <c r="D322" i="3"/>
  <c r="G322" i="3" s="1"/>
  <c r="W115" i="4" s="1"/>
  <c r="D323" i="3"/>
  <c r="G323" i="3" s="1"/>
  <c r="X115" i="4" s="1"/>
  <c r="D324" i="3"/>
  <c r="G324" i="3" s="1"/>
  <c r="Y115" i="4" s="1"/>
  <c r="D325" i="3"/>
  <c r="G325" i="3" s="1"/>
  <c r="Z115" i="4" s="1"/>
  <c r="D326" i="3"/>
  <c r="G326" i="3" s="1"/>
  <c r="AA115" i="4" s="1"/>
  <c r="D327" i="3"/>
  <c r="G327" i="3" s="1"/>
  <c r="AB115" i="4" s="1"/>
  <c r="D328" i="3"/>
  <c r="G328" i="3" s="1"/>
  <c r="AC115" i="4" s="1"/>
  <c r="D329" i="3"/>
  <c r="G329" i="3" s="1"/>
  <c r="AD115" i="4" s="1"/>
  <c r="D330" i="3"/>
  <c r="G330" i="3" s="1"/>
  <c r="AE115" i="4" s="1"/>
  <c r="D331" i="3"/>
  <c r="G331" i="3" s="1"/>
  <c r="AF115" i="4" s="1"/>
  <c r="D332" i="3"/>
  <c r="G332" i="3" s="1"/>
  <c r="AG115" i="4" s="1"/>
  <c r="D333" i="3"/>
  <c r="G333" i="3" s="1"/>
  <c r="AH115" i="4" s="1"/>
  <c r="D334" i="3"/>
  <c r="G334" i="3" s="1"/>
  <c r="AI115" i="4" s="1"/>
  <c r="D335" i="3"/>
  <c r="G335" i="3" s="1"/>
  <c r="AJ115" i="4" s="1"/>
  <c r="D336" i="3"/>
  <c r="G336" i="3" s="1"/>
  <c r="AK115" i="4" s="1"/>
  <c r="D337" i="3"/>
  <c r="G337" i="3" s="1"/>
  <c r="AL115" i="4" s="1"/>
  <c r="D338" i="3"/>
  <c r="G338" i="3" s="1"/>
  <c r="AM115" i="4" s="1"/>
  <c r="D339" i="3"/>
  <c r="G339" i="3" s="1"/>
  <c r="AN115" i="4" s="1"/>
  <c r="D340" i="3"/>
  <c r="G340" i="3" s="1"/>
  <c r="AO115" i="4" s="1"/>
  <c r="D341" i="3"/>
  <c r="G341" i="3" s="1"/>
  <c r="AP115" i="4" s="1"/>
  <c r="D342" i="3"/>
  <c r="G342" i="3" s="1"/>
  <c r="AQ115" i="4" s="1"/>
  <c r="D343" i="3"/>
  <c r="G343" i="3" s="1"/>
  <c r="AR115" i="4" s="1"/>
  <c r="D344" i="3"/>
  <c r="G344" i="3" s="1"/>
  <c r="AS115" i="4" s="1"/>
  <c r="D345" i="3"/>
  <c r="G345" i="3" s="1"/>
  <c r="AT115" i="4" s="1"/>
  <c r="D346" i="3"/>
  <c r="G346" i="3" s="1"/>
  <c r="AU115" i="4" s="1"/>
  <c r="D347" i="3"/>
  <c r="G347" i="3" s="1"/>
  <c r="AV115" i="4" s="1"/>
  <c r="D348" i="3"/>
  <c r="G348" i="3" s="1"/>
  <c r="AW115" i="4" s="1"/>
  <c r="D349" i="3"/>
  <c r="G349" i="3" s="1"/>
  <c r="AX115" i="4" s="1"/>
  <c r="D350" i="3"/>
  <c r="G350" i="3" s="1"/>
  <c r="AY115" i="4" s="1"/>
  <c r="D351" i="3"/>
  <c r="G351" i="3" s="1"/>
  <c r="AZ115" i="4" s="1"/>
  <c r="D352" i="3"/>
  <c r="G352" i="3" s="1"/>
  <c r="BA115" i="4" s="1"/>
  <c r="D353" i="3"/>
  <c r="G353" i="3" s="1"/>
  <c r="BB115" i="4" s="1"/>
  <c r="D354" i="3"/>
  <c r="G354" i="3" s="1"/>
  <c r="BC115" i="4" s="1"/>
  <c r="D355" i="3"/>
  <c r="G355" i="3" s="1"/>
  <c r="BD115" i="4" s="1"/>
  <c r="D356" i="3"/>
  <c r="G356" i="3" s="1"/>
  <c r="BE115" i="4" s="1"/>
  <c r="D357" i="3"/>
  <c r="G357" i="3" s="1"/>
  <c r="BF115" i="4" s="1"/>
  <c r="D358" i="3"/>
  <c r="G358" i="3" s="1"/>
  <c r="BG115" i="4" s="1"/>
  <c r="D359" i="3"/>
  <c r="G359" i="3" s="1"/>
  <c r="BH115" i="4" s="1"/>
  <c r="D360" i="3"/>
  <c r="G360" i="3" s="1"/>
  <c r="BI115" i="4" s="1"/>
  <c r="D361" i="3"/>
  <c r="G361" i="3" s="1"/>
  <c r="BJ115" i="4" s="1"/>
  <c r="D362" i="3"/>
  <c r="G362" i="3" s="1"/>
  <c r="C116" i="4" s="1"/>
  <c r="D363" i="3"/>
  <c r="G363" i="3" s="1"/>
  <c r="D116" i="4" s="1"/>
  <c r="D364" i="3"/>
  <c r="G364" i="3" s="1"/>
  <c r="E116" i="4" s="1"/>
  <c r="D365" i="3"/>
  <c r="G365" i="3" s="1"/>
  <c r="F116" i="4" s="1"/>
  <c r="D366" i="3"/>
  <c r="G366" i="3" s="1"/>
  <c r="G116" i="4" s="1"/>
  <c r="D367" i="3"/>
  <c r="G367" i="3" s="1"/>
  <c r="H116" i="4" s="1"/>
  <c r="D368" i="3"/>
  <c r="G368" i="3" s="1"/>
  <c r="I116" i="4" s="1"/>
  <c r="D369" i="3"/>
  <c r="G369" i="3" s="1"/>
  <c r="J116" i="4" s="1"/>
  <c r="D370" i="3"/>
  <c r="G370" i="3" s="1"/>
  <c r="K116" i="4" s="1"/>
  <c r="D371" i="3"/>
  <c r="G371" i="3" s="1"/>
  <c r="L116" i="4" s="1"/>
  <c r="D372" i="3"/>
  <c r="G372" i="3" s="1"/>
  <c r="M116" i="4" s="1"/>
  <c r="D373" i="3"/>
  <c r="G373" i="3" s="1"/>
  <c r="N116" i="4" s="1"/>
  <c r="D374" i="3"/>
  <c r="G374" i="3" s="1"/>
  <c r="O116" i="4" s="1"/>
  <c r="D375" i="3"/>
  <c r="G375" i="3" s="1"/>
  <c r="P116" i="4" s="1"/>
  <c r="D376" i="3"/>
  <c r="G376" i="3" s="1"/>
  <c r="Q116" i="4" s="1"/>
  <c r="D377" i="3"/>
  <c r="G377" i="3" s="1"/>
  <c r="R116" i="4" s="1"/>
  <c r="D378" i="3"/>
  <c r="G378" i="3" s="1"/>
  <c r="S116" i="4" s="1"/>
  <c r="D379" i="3"/>
  <c r="G379" i="3" s="1"/>
  <c r="T116" i="4" s="1"/>
  <c r="D380" i="3"/>
  <c r="G380" i="3" s="1"/>
  <c r="U116" i="4" s="1"/>
  <c r="D381" i="3"/>
  <c r="G381" i="3" s="1"/>
  <c r="V116" i="4" s="1"/>
  <c r="D382" i="3"/>
  <c r="G382" i="3" s="1"/>
  <c r="W116" i="4" s="1"/>
  <c r="D383" i="3"/>
  <c r="G383" i="3" s="1"/>
  <c r="X116" i="4" s="1"/>
  <c r="D384" i="3"/>
  <c r="G384" i="3" s="1"/>
  <c r="Y116" i="4" s="1"/>
  <c r="D385" i="3"/>
  <c r="G385" i="3" s="1"/>
  <c r="Z116" i="4" s="1"/>
  <c r="D386" i="3"/>
  <c r="G386" i="3" s="1"/>
  <c r="AA116" i="4" s="1"/>
  <c r="D387" i="3"/>
  <c r="G387" i="3" s="1"/>
  <c r="AB116" i="4" s="1"/>
  <c r="D388" i="3"/>
  <c r="G388" i="3" s="1"/>
  <c r="AC116" i="4" s="1"/>
  <c r="D389" i="3"/>
  <c r="G389" i="3" s="1"/>
  <c r="AD116" i="4" s="1"/>
  <c r="D390" i="3"/>
  <c r="G390" i="3" s="1"/>
  <c r="AE116" i="4" s="1"/>
  <c r="D391" i="3"/>
  <c r="G391" i="3" s="1"/>
  <c r="AF116" i="4" s="1"/>
  <c r="D392" i="3"/>
  <c r="G392" i="3" s="1"/>
  <c r="AG116" i="4" s="1"/>
  <c r="D393" i="3"/>
  <c r="G393" i="3" s="1"/>
  <c r="AH116" i="4" s="1"/>
  <c r="D394" i="3"/>
  <c r="G394" i="3" s="1"/>
  <c r="AI116" i="4" s="1"/>
  <c r="D395" i="3"/>
  <c r="G395" i="3" s="1"/>
  <c r="AJ116" i="4" s="1"/>
  <c r="D396" i="3"/>
  <c r="G396" i="3" s="1"/>
  <c r="AK116" i="4" s="1"/>
  <c r="D397" i="3"/>
  <c r="G397" i="3" s="1"/>
  <c r="AL116" i="4" s="1"/>
  <c r="D398" i="3"/>
  <c r="G398" i="3" s="1"/>
  <c r="AM116" i="4" s="1"/>
  <c r="D399" i="3"/>
  <c r="G399" i="3" s="1"/>
  <c r="AN116" i="4" s="1"/>
  <c r="D400" i="3"/>
  <c r="G400" i="3" s="1"/>
  <c r="AO116" i="4" s="1"/>
  <c r="D401" i="3"/>
  <c r="G401" i="3" s="1"/>
  <c r="AP116" i="4" s="1"/>
  <c r="D402" i="3"/>
  <c r="G402" i="3" s="1"/>
  <c r="AQ116" i="4" s="1"/>
  <c r="D403" i="3"/>
  <c r="G403" i="3" s="1"/>
  <c r="AR116" i="4" s="1"/>
  <c r="D404" i="3"/>
  <c r="G404" i="3" s="1"/>
  <c r="AS116" i="4" s="1"/>
  <c r="D405" i="3"/>
  <c r="G405" i="3" s="1"/>
  <c r="AT116" i="4" s="1"/>
  <c r="D406" i="3"/>
  <c r="G406" i="3" s="1"/>
  <c r="AU116" i="4" s="1"/>
  <c r="D407" i="3"/>
  <c r="G407" i="3" s="1"/>
  <c r="AV116" i="4" s="1"/>
  <c r="D408" i="3"/>
  <c r="G408" i="3" s="1"/>
  <c r="AW116" i="4" s="1"/>
  <c r="D409" i="3"/>
  <c r="G409" i="3" s="1"/>
  <c r="AX116" i="4" s="1"/>
  <c r="D410" i="3"/>
  <c r="G410" i="3" s="1"/>
  <c r="AY116" i="4" s="1"/>
  <c r="D411" i="3"/>
  <c r="G411" i="3" s="1"/>
  <c r="AZ116" i="4" s="1"/>
  <c r="D412" i="3"/>
  <c r="G412" i="3" s="1"/>
  <c r="BA116" i="4" s="1"/>
  <c r="D413" i="3"/>
  <c r="G413" i="3" s="1"/>
  <c r="BB116" i="4" s="1"/>
  <c r="D414" i="3"/>
  <c r="G414" i="3" s="1"/>
  <c r="BC116" i="4" s="1"/>
  <c r="D415" i="3"/>
  <c r="G415" i="3" s="1"/>
  <c r="BD116" i="4" s="1"/>
  <c r="D416" i="3"/>
  <c r="G416" i="3" s="1"/>
  <c r="BE116" i="4" s="1"/>
  <c r="D417" i="3"/>
  <c r="G417" i="3" s="1"/>
  <c r="BF116" i="4" s="1"/>
  <c r="D418" i="3"/>
  <c r="G418" i="3" s="1"/>
  <c r="BG116" i="4" s="1"/>
  <c r="D419" i="3"/>
  <c r="G419" i="3" s="1"/>
  <c r="BH116" i="4" s="1"/>
  <c r="D420" i="3"/>
  <c r="G420" i="3" s="1"/>
  <c r="BI116" i="4" s="1"/>
  <c r="D421" i="3"/>
  <c r="G421" i="3" s="1"/>
  <c r="BJ116" i="4" s="1"/>
  <c r="D422" i="3"/>
  <c r="G422" i="3" s="1"/>
  <c r="C117" i="4" s="1"/>
  <c r="D423" i="3"/>
  <c r="G423" i="3" s="1"/>
  <c r="D117" i="4" s="1"/>
  <c r="D424" i="3"/>
  <c r="G424" i="3" s="1"/>
  <c r="E117" i="4" s="1"/>
  <c r="D425" i="3"/>
  <c r="G425" i="3" s="1"/>
  <c r="F117" i="4" s="1"/>
  <c r="D426" i="3"/>
  <c r="G426" i="3" s="1"/>
  <c r="G117" i="4" s="1"/>
  <c r="D427" i="3"/>
  <c r="G427" i="3" s="1"/>
  <c r="H117" i="4" s="1"/>
  <c r="D428" i="3"/>
  <c r="G428" i="3" s="1"/>
  <c r="I117" i="4" s="1"/>
  <c r="D429" i="3"/>
  <c r="G429" i="3" s="1"/>
  <c r="J117" i="4" s="1"/>
  <c r="D430" i="3"/>
  <c r="G430" i="3" s="1"/>
  <c r="K117" i="4" s="1"/>
  <c r="D431" i="3"/>
  <c r="G431" i="3" s="1"/>
  <c r="L117" i="4" s="1"/>
  <c r="D432" i="3"/>
  <c r="G432" i="3" s="1"/>
  <c r="M117" i="4" s="1"/>
  <c r="D433" i="3"/>
  <c r="G433" i="3" s="1"/>
  <c r="N117" i="4" s="1"/>
  <c r="D434" i="3"/>
  <c r="G434" i="3" s="1"/>
  <c r="O117" i="4" s="1"/>
  <c r="D435" i="3"/>
  <c r="G435" i="3" s="1"/>
  <c r="P117" i="4" s="1"/>
  <c r="D436" i="3"/>
  <c r="G436" i="3" s="1"/>
  <c r="Q117" i="4" s="1"/>
  <c r="D437" i="3"/>
  <c r="G437" i="3" s="1"/>
  <c r="R117" i="4" s="1"/>
  <c r="D438" i="3"/>
  <c r="G438" i="3" s="1"/>
  <c r="S117" i="4" s="1"/>
  <c r="D439" i="3"/>
  <c r="G439" i="3" s="1"/>
  <c r="T117" i="4" s="1"/>
  <c r="D440" i="3"/>
  <c r="G440" i="3" s="1"/>
  <c r="U117" i="4" s="1"/>
  <c r="D441" i="3"/>
  <c r="G441" i="3" s="1"/>
  <c r="V117" i="4" s="1"/>
  <c r="D442" i="3"/>
  <c r="G442" i="3" s="1"/>
  <c r="W117" i="4" s="1"/>
  <c r="D443" i="3"/>
  <c r="G443" i="3" s="1"/>
  <c r="X117" i="4" s="1"/>
  <c r="D444" i="3"/>
  <c r="G444" i="3" s="1"/>
  <c r="Y117" i="4" s="1"/>
  <c r="D445" i="3"/>
  <c r="G445" i="3" s="1"/>
  <c r="Z117" i="4" s="1"/>
  <c r="D446" i="3"/>
  <c r="G446" i="3" s="1"/>
  <c r="AA117" i="4" s="1"/>
  <c r="D447" i="3"/>
  <c r="G447" i="3" s="1"/>
  <c r="AB117" i="4" s="1"/>
  <c r="D448" i="3"/>
  <c r="G448" i="3" s="1"/>
  <c r="AC117" i="4" s="1"/>
  <c r="D449" i="3"/>
  <c r="G449" i="3" s="1"/>
  <c r="AD117" i="4" s="1"/>
  <c r="D450" i="3"/>
  <c r="G450" i="3" s="1"/>
  <c r="AE117" i="4" s="1"/>
  <c r="D451" i="3"/>
  <c r="G451" i="3" s="1"/>
  <c r="AF117" i="4" s="1"/>
  <c r="D452" i="3"/>
  <c r="G452" i="3" s="1"/>
  <c r="AG117" i="4" s="1"/>
  <c r="D453" i="3"/>
  <c r="G453" i="3" s="1"/>
  <c r="AH117" i="4" s="1"/>
  <c r="D454" i="3"/>
  <c r="G454" i="3" s="1"/>
  <c r="AI117" i="4" s="1"/>
  <c r="D455" i="3"/>
  <c r="G455" i="3" s="1"/>
  <c r="AJ117" i="4" s="1"/>
  <c r="D456" i="3"/>
  <c r="G456" i="3" s="1"/>
  <c r="AK117" i="4" s="1"/>
  <c r="D457" i="3"/>
  <c r="G457" i="3" s="1"/>
  <c r="AL117" i="4" s="1"/>
  <c r="D458" i="3"/>
  <c r="G458" i="3" s="1"/>
  <c r="AM117" i="4" s="1"/>
  <c r="D459" i="3"/>
  <c r="G459" i="3" s="1"/>
  <c r="AN117" i="4" s="1"/>
  <c r="D460" i="3"/>
  <c r="G460" i="3" s="1"/>
  <c r="AO117" i="4" s="1"/>
  <c r="D461" i="3"/>
  <c r="G461" i="3" s="1"/>
  <c r="AP117" i="4" s="1"/>
  <c r="D462" i="3"/>
  <c r="G462" i="3" s="1"/>
  <c r="AQ117" i="4" s="1"/>
  <c r="D463" i="3"/>
  <c r="G463" i="3" s="1"/>
  <c r="AR117" i="4" s="1"/>
  <c r="D464" i="3"/>
  <c r="G464" i="3" s="1"/>
  <c r="AS117" i="4" s="1"/>
  <c r="D465" i="3"/>
  <c r="G465" i="3" s="1"/>
  <c r="AT117" i="4" s="1"/>
  <c r="D466" i="3"/>
  <c r="G466" i="3" s="1"/>
  <c r="AU117" i="4" s="1"/>
  <c r="D467" i="3"/>
  <c r="G467" i="3" s="1"/>
  <c r="AV117" i="4" s="1"/>
  <c r="D468" i="3"/>
  <c r="G468" i="3" s="1"/>
  <c r="AW117" i="4" s="1"/>
  <c r="D469" i="3"/>
  <c r="G469" i="3" s="1"/>
  <c r="AX117" i="4" s="1"/>
  <c r="D470" i="3"/>
  <c r="G470" i="3" s="1"/>
  <c r="AY117" i="4" s="1"/>
  <c r="D471" i="3"/>
  <c r="G471" i="3" s="1"/>
  <c r="AZ117" i="4" s="1"/>
  <c r="D472" i="3"/>
  <c r="G472" i="3" s="1"/>
  <c r="BA117" i="4" s="1"/>
  <c r="D473" i="3"/>
  <c r="G473" i="3" s="1"/>
  <c r="BB117" i="4" s="1"/>
  <c r="D474" i="3"/>
  <c r="G474" i="3" s="1"/>
  <c r="BC117" i="4" s="1"/>
  <c r="D475" i="3"/>
  <c r="G475" i="3" s="1"/>
  <c r="BD117" i="4" s="1"/>
  <c r="D476" i="3"/>
  <c r="G476" i="3" s="1"/>
  <c r="BE117" i="4" s="1"/>
  <c r="D477" i="3"/>
  <c r="G477" i="3" s="1"/>
  <c r="BF117" i="4" s="1"/>
  <c r="D478" i="3"/>
  <c r="G478" i="3" s="1"/>
  <c r="BG117" i="4" s="1"/>
  <c r="D479" i="3"/>
  <c r="G479" i="3" s="1"/>
  <c r="BH117" i="4" s="1"/>
  <c r="D480" i="3"/>
  <c r="G480" i="3" s="1"/>
  <c r="BI117" i="4" s="1"/>
  <c r="D481" i="3"/>
  <c r="G481" i="3" s="1"/>
  <c r="BJ117" i="4" s="1"/>
  <c r="D482" i="3"/>
  <c r="G482" i="3" s="1"/>
  <c r="C118" i="4" s="1"/>
  <c r="D483" i="3"/>
  <c r="G483" i="3" s="1"/>
  <c r="D118" i="4" s="1"/>
  <c r="D484" i="3"/>
  <c r="G484" i="3" s="1"/>
  <c r="E118" i="4" s="1"/>
  <c r="D485" i="3"/>
  <c r="G485" i="3" s="1"/>
  <c r="F118" i="4" s="1"/>
  <c r="D486" i="3"/>
  <c r="G486" i="3" s="1"/>
  <c r="G118" i="4" s="1"/>
  <c r="D487" i="3"/>
  <c r="G487" i="3" s="1"/>
  <c r="H118" i="4" s="1"/>
  <c r="D488" i="3"/>
  <c r="G488" i="3" s="1"/>
  <c r="I118" i="4" s="1"/>
  <c r="D489" i="3"/>
  <c r="G489" i="3" s="1"/>
  <c r="J118" i="4" s="1"/>
  <c r="D490" i="3"/>
  <c r="G490" i="3" s="1"/>
  <c r="K118" i="4" s="1"/>
  <c r="D491" i="3"/>
  <c r="G491" i="3" s="1"/>
  <c r="L118" i="4" s="1"/>
  <c r="D492" i="3"/>
  <c r="G492" i="3" s="1"/>
  <c r="M118" i="4" s="1"/>
  <c r="D493" i="3"/>
  <c r="G493" i="3" s="1"/>
  <c r="N118" i="4" s="1"/>
  <c r="D494" i="3"/>
  <c r="G494" i="3" s="1"/>
  <c r="O118" i="4" s="1"/>
  <c r="D495" i="3"/>
  <c r="G495" i="3" s="1"/>
  <c r="P118" i="4" s="1"/>
  <c r="D496" i="3"/>
  <c r="G496" i="3" s="1"/>
  <c r="Q118" i="4" s="1"/>
  <c r="D497" i="3"/>
  <c r="G497" i="3" s="1"/>
  <c r="R118" i="4" s="1"/>
  <c r="D498" i="3"/>
  <c r="G498" i="3" s="1"/>
  <c r="S118" i="4" s="1"/>
  <c r="D499" i="3"/>
  <c r="G499" i="3" s="1"/>
  <c r="T118" i="4" s="1"/>
  <c r="D500" i="3"/>
  <c r="G500" i="3" s="1"/>
  <c r="U118" i="4" s="1"/>
  <c r="D501" i="3"/>
  <c r="G501" i="3" s="1"/>
  <c r="V118" i="4" s="1"/>
  <c r="D502" i="3"/>
  <c r="G502" i="3" s="1"/>
  <c r="W118" i="4" s="1"/>
  <c r="D503" i="3"/>
  <c r="G503" i="3" s="1"/>
  <c r="X118" i="4" s="1"/>
  <c r="D504" i="3"/>
  <c r="G504" i="3" s="1"/>
  <c r="Y118" i="4" s="1"/>
  <c r="D505" i="3"/>
  <c r="G505" i="3" s="1"/>
  <c r="Z118" i="4" s="1"/>
  <c r="D506" i="3"/>
  <c r="G506" i="3" s="1"/>
  <c r="AA118" i="4" s="1"/>
  <c r="D507" i="3"/>
  <c r="G507" i="3" s="1"/>
  <c r="AB118" i="4" s="1"/>
  <c r="D508" i="3"/>
  <c r="G508" i="3" s="1"/>
  <c r="AC118" i="4" s="1"/>
  <c r="D509" i="3"/>
  <c r="G509" i="3" s="1"/>
  <c r="AD118" i="4" s="1"/>
  <c r="D510" i="3"/>
  <c r="G510" i="3" s="1"/>
  <c r="AE118" i="4" s="1"/>
  <c r="D511" i="3"/>
  <c r="G511" i="3" s="1"/>
  <c r="AF118" i="4" s="1"/>
  <c r="D512" i="3"/>
  <c r="G512" i="3" s="1"/>
  <c r="AG118" i="4" s="1"/>
  <c r="D513" i="3"/>
  <c r="G513" i="3" s="1"/>
  <c r="AH118" i="4" s="1"/>
  <c r="D514" i="3"/>
  <c r="G514" i="3" s="1"/>
  <c r="AI118" i="4" s="1"/>
  <c r="D515" i="3"/>
  <c r="G515" i="3" s="1"/>
  <c r="AJ118" i="4" s="1"/>
  <c r="D516" i="3"/>
  <c r="G516" i="3" s="1"/>
  <c r="AK118" i="4" s="1"/>
  <c r="D517" i="3"/>
  <c r="G517" i="3" s="1"/>
  <c r="AL118" i="4" s="1"/>
  <c r="D518" i="3"/>
  <c r="G518" i="3" s="1"/>
  <c r="AM118" i="4" s="1"/>
  <c r="D519" i="3"/>
  <c r="G519" i="3" s="1"/>
  <c r="AN118" i="4" s="1"/>
  <c r="D520" i="3"/>
  <c r="G520" i="3" s="1"/>
  <c r="AO118" i="4" s="1"/>
  <c r="D521" i="3"/>
  <c r="G521" i="3" s="1"/>
  <c r="AP118" i="4" s="1"/>
  <c r="D522" i="3"/>
  <c r="G522" i="3" s="1"/>
  <c r="AQ118" i="4" s="1"/>
  <c r="D523" i="3"/>
  <c r="G523" i="3" s="1"/>
  <c r="AR118" i="4" s="1"/>
  <c r="D524" i="3"/>
  <c r="G524" i="3" s="1"/>
  <c r="AS118" i="4" s="1"/>
  <c r="D525" i="3"/>
  <c r="G525" i="3" s="1"/>
  <c r="AT118" i="4" s="1"/>
  <c r="D526" i="3"/>
  <c r="G526" i="3" s="1"/>
  <c r="AU118" i="4" s="1"/>
  <c r="D527" i="3"/>
  <c r="G527" i="3" s="1"/>
  <c r="AV118" i="4" s="1"/>
  <c r="D528" i="3"/>
  <c r="G528" i="3" s="1"/>
  <c r="AW118" i="4" s="1"/>
  <c r="D529" i="3"/>
  <c r="G529" i="3" s="1"/>
  <c r="AX118" i="4" s="1"/>
  <c r="D530" i="3"/>
  <c r="G530" i="3" s="1"/>
  <c r="AY118" i="4" s="1"/>
  <c r="D531" i="3"/>
  <c r="G531" i="3" s="1"/>
  <c r="AZ118" i="4" s="1"/>
  <c r="D532" i="3"/>
  <c r="G532" i="3" s="1"/>
  <c r="BA118" i="4" s="1"/>
  <c r="D533" i="3"/>
  <c r="G533" i="3" s="1"/>
  <c r="BB118" i="4" s="1"/>
  <c r="D534" i="3"/>
  <c r="G534" i="3" s="1"/>
  <c r="BC118" i="4" s="1"/>
  <c r="D535" i="3"/>
  <c r="G535" i="3" s="1"/>
  <c r="BD118" i="4" s="1"/>
  <c r="D536" i="3"/>
  <c r="G536" i="3" s="1"/>
  <c r="BE118" i="4" s="1"/>
  <c r="D537" i="3"/>
  <c r="G537" i="3" s="1"/>
  <c r="BF118" i="4" s="1"/>
  <c r="D538" i="3"/>
  <c r="G538" i="3" s="1"/>
  <c r="BG118" i="4" s="1"/>
  <c r="D539" i="3"/>
  <c r="G539" i="3" s="1"/>
  <c r="BH118" i="4" s="1"/>
  <c r="D540" i="3"/>
  <c r="G540" i="3" s="1"/>
  <c r="BI118" i="4" s="1"/>
  <c r="D541" i="3"/>
  <c r="G541" i="3" s="1"/>
  <c r="BJ118" i="4" s="1"/>
  <c r="D542" i="3"/>
  <c r="G542" i="3" s="1"/>
  <c r="C119" i="4" s="1"/>
  <c r="D543" i="3"/>
  <c r="G543" i="3" s="1"/>
  <c r="D119" i="4" s="1"/>
  <c r="D544" i="3"/>
  <c r="G544" i="3" s="1"/>
  <c r="E119" i="4" s="1"/>
  <c r="D545" i="3"/>
  <c r="G545" i="3" s="1"/>
  <c r="F119" i="4" s="1"/>
  <c r="D546" i="3"/>
  <c r="G546" i="3" s="1"/>
  <c r="G119" i="4" s="1"/>
  <c r="D547" i="3"/>
  <c r="G547" i="3" s="1"/>
  <c r="H119" i="4" s="1"/>
  <c r="D548" i="3"/>
  <c r="G548" i="3" s="1"/>
  <c r="I119" i="4" s="1"/>
  <c r="D549" i="3"/>
  <c r="G549" i="3" s="1"/>
  <c r="J119" i="4" s="1"/>
  <c r="D550" i="3"/>
  <c r="G550" i="3" s="1"/>
  <c r="K119" i="4" s="1"/>
  <c r="D551" i="3"/>
  <c r="G551" i="3" s="1"/>
  <c r="L119" i="4" s="1"/>
  <c r="D552" i="3"/>
  <c r="G552" i="3" s="1"/>
  <c r="M119" i="4" s="1"/>
  <c r="D553" i="3"/>
  <c r="G553" i="3" s="1"/>
  <c r="N119" i="4" s="1"/>
  <c r="D554" i="3"/>
  <c r="G554" i="3" s="1"/>
  <c r="O119" i="4" s="1"/>
  <c r="D555" i="3"/>
  <c r="G555" i="3" s="1"/>
  <c r="P119" i="4" s="1"/>
  <c r="D556" i="3"/>
  <c r="G556" i="3" s="1"/>
  <c r="Q119" i="4" s="1"/>
  <c r="D557" i="3"/>
  <c r="G557" i="3" s="1"/>
  <c r="R119" i="4" s="1"/>
  <c r="D558" i="3"/>
  <c r="G558" i="3" s="1"/>
  <c r="S119" i="4" s="1"/>
  <c r="D559" i="3"/>
  <c r="G559" i="3" s="1"/>
  <c r="T119" i="4" s="1"/>
  <c r="D560" i="3"/>
  <c r="G560" i="3" s="1"/>
  <c r="U119" i="4" s="1"/>
  <c r="D561" i="3"/>
  <c r="G561" i="3" s="1"/>
  <c r="V119" i="4" s="1"/>
  <c r="D562" i="3"/>
  <c r="G562" i="3" s="1"/>
  <c r="W119" i="4" s="1"/>
  <c r="D563" i="3"/>
  <c r="G563" i="3" s="1"/>
  <c r="X119" i="4" s="1"/>
  <c r="D564" i="3"/>
  <c r="G564" i="3" s="1"/>
  <c r="Y119" i="4" s="1"/>
  <c r="D565" i="3"/>
  <c r="G565" i="3" s="1"/>
  <c r="Z119" i="4" s="1"/>
  <c r="D566" i="3"/>
  <c r="G566" i="3" s="1"/>
  <c r="AA119" i="4" s="1"/>
  <c r="D567" i="3"/>
  <c r="G567" i="3" s="1"/>
  <c r="AB119" i="4" s="1"/>
  <c r="D568" i="3"/>
  <c r="G568" i="3" s="1"/>
  <c r="AC119" i="4" s="1"/>
  <c r="D569" i="3"/>
  <c r="G569" i="3" s="1"/>
  <c r="AD119" i="4" s="1"/>
  <c r="D570" i="3"/>
  <c r="G570" i="3" s="1"/>
  <c r="AE119" i="4" s="1"/>
  <c r="D571" i="3"/>
  <c r="G571" i="3" s="1"/>
  <c r="AF119" i="4" s="1"/>
  <c r="D572" i="3"/>
  <c r="G572" i="3" s="1"/>
  <c r="AG119" i="4" s="1"/>
  <c r="D573" i="3"/>
  <c r="G573" i="3" s="1"/>
  <c r="AH119" i="4" s="1"/>
  <c r="D574" i="3"/>
  <c r="G574" i="3" s="1"/>
  <c r="AI119" i="4" s="1"/>
  <c r="D575" i="3"/>
  <c r="G575" i="3" s="1"/>
  <c r="AJ119" i="4" s="1"/>
  <c r="D576" i="3"/>
  <c r="G576" i="3" s="1"/>
  <c r="AK119" i="4" s="1"/>
  <c r="D577" i="3"/>
  <c r="G577" i="3" s="1"/>
  <c r="AL119" i="4" s="1"/>
  <c r="D578" i="3"/>
  <c r="G578" i="3" s="1"/>
  <c r="AM119" i="4" s="1"/>
  <c r="D579" i="3"/>
  <c r="G579" i="3" s="1"/>
  <c r="AN119" i="4" s="1"/>
  <c r="D580" i="3"/>
  <c r="G580" i="3" s="1"/>
  <c r="AO119" i="4" s="1"/>
  <c r="D581" i="3"/>
  <c r="G581" i="3" s="1"/>
  <c r="AP119" i="4" s="1"/>
  <c r="D582" i="3"/>
  <c r="G582" i="3" s="1"/>
  <c r="AQ119" i="4" s="1"/>
  <c r="D583" i="3"/>
  <c r="G583" i="3" s="1"/>
  <c r="AR119" i="4" s="1"/>
  <c r="D584" i="3"/>
  <c r="G584" i="3" s="1"/>
  <c r="AS119" i="4" s="1"/>
  <c r="D585" i="3"/>
  <c r="G585" i="3" s="1"/>
  <c r="AT119" i="4" s="1"/>
  <c r="D586" i="3"/>
  <c r="G586" i="3" s="1"/>
  <c r="AU119" i="4" s="1"/>
  <c r="D587" i="3"/>
  <c r="G587" i="3" s="1"/>
  <c r="AV119" i="4" s="1"/>
  <c r="D588" i="3"/>
  <c r="G588" i="3" s="1"/>
  <c r="AW119" i="4" s="1"/>
  <c r="D589" i="3"/>
  <c r="G589" i="3" s="1"/>
  <c r="AX119" i="4" s="1"/>
  <c r="D590" i="3"/>
  <c r="G590" i="3" s="1"/>
  <c r="AY119" i="4" s="1"/>
  <c r="D591" i="3"/>
  <c r="G591" i="3" s="1"/>
  <c r="AZ119" i="4" s="1"/>
  <c r="D592" i="3"/>
  <c r="G592" i="3" s="1"/>
  <c r="BA119" i="4" s="1"/>
  <c r="D593" i="3"/>
  <c r="G593" i="3" s="1"/>
  <c r="BB119" i="4" s="1"/>
  <c r="D594" i="3"/>
  <c r="G594" i="3" s="1"/>
  <c r="BC119" i="4" s="1"/>
  <c r="D595" i="3"/>
  <c r="G595" i="3" s="1"/>
  <c r="BD119" i="4" s="1"/>
  <c r="D596" i="3"/>
  <c r="G596" i="3" s="1"/>
  <c r="BE119" i="4" s="1"/>
  <c r="D597" i="3"/>
  <c r="G597" i="3" s="1"/>
  <c r="BF119" i="4" s="1"/>
  <c r="D598" i="3"/>
  <c r="G598" i="3" s="1"/>
  <c r="BG119" i="4" s="1"/>
  <c r="D599" i="3"/>
  <c r="G599" i="3" s="1"/>
  <c r="BH119" i="4" s="1"/>
  <c r="D600" i="3"/>
  <c r="G600" i="3" s="1"/>
  <c r="BI119" i="4" s="1"/>
  <c r="D601" i="3"/>
  <c r="G601" i="3" s="1"/>
  <c r="BJ119" i="4" s="1"/>
  <c r="D602" i="3"/>
  <c r="G602" i="3" s="1"/>
  <c r="C120" i="4" s="1"/>
  <c r="D603" i="3"/>
  <c r="G603" i="3" s="1"/>
  <c r="D120" i="4" s="1"/>
  <c r="D604" i="3"/>
  <c r="G604" i="3" s="1"/>
  <c r="E120" i="4" s="1"/>
  <c r="D605" i="3"/>
  <c r="G605" i="3" s="1"/>
  <c r="F120" i="4" s="1"/>
  <c r="D606" i="3"/>
  <c r="G606" i="3" s="1"/>
  <c r="G120" i="4" s="1"/>
  <c r="D607" i="3"/>
  <c r="G607" i="3" s="1"/>
  <c r="H120" i="4" s="1"/>
  <c r="D608" i="3"/>
  <c r="G608" i="3" s="1"/>
  <c r="I120" i="4" s="1"/>
  <c r="D609" i="3"/>
  <c r="G609" i="3" s="1"/>
  <c r="J120" i="4" s="1"/>
  <c r="D610" i="3"/>
  <c r="G610" i="3" s="1"/>
  <c r="K120" i="4" s="1"/>
  <c r="D611" i="3"/>
  <c r="G611" i="3" s="1"/>
  <c r="L120" i="4" s="1"/>
  <c r="D612" i="3"/>
  <c r="G612" i="3" s="1"/>
  <c r="M120" i="4" s="1"/>
  <c r="D613" i="3"/>
  <c r="G613" i="3" s="1"/>
  <c r="N120" i="4" s="1"/>
  <c r="D614" i="3"/>
  <c r="G614" i="3" s="1"/>
  <c r="O120" i="4" s="1"/>
  <c r="D615" i="3"/>
  <c r="G615" i="3" s="1"/>
  <c r="P120" i="4" s="1"/>
  <c r="D616" i="3"/>
  <c r="G616" i="3" s="1"/>
  <c r="Q120" i="4" s="1"/>
  <c r="D617" i="3"/>
  <c r="G617" i="3" s="1"/>
  <c r="R120" i="4" s="1"/>
  <c r="D618" i="3"/>
  <c r="G618" i="3" s="1"/>
  <c r="S120" i="4" s="1"/>
  <c r="D619" i="3"/>
  <c r="G619" i="3" s="1"/>
  <c r="T120" i="4" s="1"/>
  <c r="D620" i="3"/>
  <c r="G620" i="3" s="1"/>
  <c r="U120" i="4" s="1"/>
  <c r="D621" i="3"/>
  <c r="G621" i="3" s="1"/>
  <c r="V120" i="4" s="1"/>
  <c r="D622" i="3"/>
  <c r="G622" i="3" s="1"/>
  <c r="W120" i="4" s="1"/>
  <c r="D623" i="3"/>
  <c r="G623" i="3" s="1"/>
  <c r="X120" i="4" s="1"/>
  <c r="D624" i="3"/>
  <c r="G624" i="3" s="1"/>
  <c r="Y120" i="4" s="1"/>
  <c r="D625" i="3"/>
  <c r="G625" i="3" s="1"/>
  <c r="Z120" i="4" s="1"/>
  <c r="D626" i="3"/>
  <c r="G626" i="3" s="1"/>
  <c r="AA120" i="4" s="1"/>
  <c r="D627" i="3"/>
  <c r="G627" i="3" s="1"/>
  <c r="AB120" i="4" s="1"/>
  <c r="D628" i="3"/>
  <c r="G628" i="3" s="1"/>
  <c r="AC120" i="4" s="1"/>
  <c r="D629" i="3"/>
  <c r="G629" i="3" s="1"/>
  <c r="AD120" i="4" s="1"/>
  <c r="D630" i="3"/>
  <c r="G630" i="3" s="1"/>
  <c r="AE120" i="4" s="1"/>
  <c r="D631" i="3"/>
  <c r="G631" i="3" s="1"/>
  <c r="AF120" i="4" s="1"/>
  <c r="D632" i="3"/>
  <c r="G632" i="3" s="1"/>
  <c r="AG120" i="4" s="1"/>
  <c r="D633" i="3"/>
  <c r="G633" i="3" s="1"/>
  <c r="AH120" i="4" s="1"/>
  <c r="D634" i="3"/>
  <c r="G634" i="3" s="1"/>
  <c r="AI120" i="4" s="1"/>
  <c r="D635" i="3"/>
  <c r="G635" i="3" s="1"/>
  <c r="AJ120" i="4" s="1"/>
  <c r="D636" i="3"/>
  <c r="G636" i="3" s="1"/>
  <c r="AK120" i="4" s="1"/>
  <c r="D637" i="3"/>
  <c r="G637" i="3" s="1"/>
  <c r="AL120" i="4" s="1"/>
  <c r="D638" i="3"/>
  <c r="G638" i="3" s="1"/>
  <c r="AM120" i="4" s="1"/>
  <c r="D639" i="3"/>
  <c r="G639" i="3" s="1"/>
  <c r="AN120" i="4" s="1"/>
  <c r="D640" i="3"/>
  <c r="G640" i="3" s="1"/>
  <c r="AO120" i="4" s="1"/>
  <c r="D641" i="3"/>
  <c r="G641" i="3" s="1"/>
  <c r="AP120" i="4" s="1"/>
  <c r="D642" i="3"/>
  <c r="G642" i="3" s="1"/>
  <c r="AQ120" i="4" s="1"/>
  <c r="D643" i="3"/>
  <c r="G643" i="3" s="1"/>
  <c r="AR120" i="4" s="1"/>
  <c r="D644" i="3"/>
  <c r="G644" i="3" s="1"/>
  <c r="AS120" i="4" s="1"/>
  <c r="D645" i="3"/>
  <c r="G645" i="3" s="1"/>
  <c r="AT120" i="4" s="1"/>
  <c r="D646" i="3"/>
  <c r="G646" i="3" s="1"/>
  <c r="AU120" i="4" s="1"/>
  <c r="D647" i="3"/>
  <c r="G647" i="3" s="1"/>
  <c r="AV120" i="4" s="1"/>
  <c r="D648" i="3"/>
  <c r="G648" i="3" s="1"/>
  <c r="AW120" i="4" s="1"/>
  <c r="D649" i="3"/>
  <c r="G649" i="3" s="1"/>
  <c r="AX120" i="4" s="1"/>
  <c r="D650" i="3"/>
  <c r="G650" i="3" s="1"/>
  <c r="AY120" i="4" s="1"/>
  <c r="D651" i="3"/>
  <c r="G651" i="3" s="1"/>
  <c r="AZ120" i="4" s="1"/>
  <c r="D652" i="3"/>
  <c r="G652" i="3" s="1"/>
  <c r="BA120" i="4" s="1"/>
  <c r="D653" i="3"/>
  <c r="G653" i="3" s="1"/>
  <c r="BB120" i="4" s="1"/>
  <c r="D654" i="3"/>
  <c r="G654" i="3" s="1"/>
  <c r="BC120" i="4" s="1"/>
  <c r="D655" i="3"/>
  <c r="G655" i="3" s="1"/>
  <c r="BD120" i="4" s="1"/>
  <c r="D656" i="3"/>
  <c r="G656" i="3" s="1"/>
  <c r="BE120" i="4" s="1"/>
  <c r="D657" i="3"/>
  <c r="G657" i="3" s="1"/>
  <c r="BF120" i="4" s="1"/>
  <c r="D658" i="3"/>
  <c r="G658" i="3" s="1"/>
  <c r="BG120" i="4" s="1"/>
  <c r="D659" i="3"/>
  <c r="G659" i="3" s="1"/>
  <c r="BH120" i="4" s="1"/>
  <c r="D660" i="3"/>
  <c r="G660" i="3" s="1"/>
  <c r="BI120" i="4" s="1"/>
  <c r="D661" i="3"/>
  <c r="G661" i="3" s="1"/>
  <c r="BJ120" i="4" s="1"/>
  <c r="D662" i="3"/>
  <c r="G662" i="3" s="1"/>
  <c r="C121" i="4" s="1"/>
  <c r="D663" i="3"/>
  <c r="G663" i="3" s="1"/>
  <c r="D121" i="4" s="1"/>
  <c r="D664" i="3"/>
  <c r="G664" i="3" s="1"/>
  <c r="E121" i="4" s="1"/>
  <c r="D665" i="3"/>
  <c r="G665" i="3" s="1"/>
  <c r="F121" i="4" s="1"/>
  <c r="D666" i="3"/>
  <c r="G666" i="3" s="1"/>
  <c r="G121" i="4" s="1"/>
  <c r="D667" i="3"/>
  <c r="G667" i="3" s="1"/>
  <c r="H121" i="4" s="1"/>
  <c r="D668" i="3"/>
  <c r="G668" i="3" s="1"/>
  <c r="I121" i="4" s="1"/>
  <c r="D669" i="3"/>
  <c r="G669" i="3" s="1"/>
  <c r="J121" i="4" s="1"/>
  <c r="D670" i="3"/>
  <c r="G670" i="3" s="1"/>
  <c r="K121" i="4" s="1"/>
  <c r="D671" i="3"/>
  <c r="G671" i="3" s="1"/>
  <c r="L121" i="4" s="1"/>
  <c r="D672" i="3"/>
  <c r="G672" i="3" s="1"/>
  <c r="M121" i="4" s="1"/>
  <c r="D673" i="3"/>
  <c r="G673" i="3" s="1"/>
  <c r="N121" i="4" s="1"/>
  <c r="D674" i="3"/>
  <c r="G674" i="3" s="1"/>
  <c r="O121" i="4" s="1"/>
  <c r="D675" i="3"/>
  <c r="G675" i="3" s="1"/>
  <c r="P121" i="4" s="1"/>
  <c r="D676" i="3"/>
  <c r="G676" i="3" s="1"/>
  <c r="Q121" i="4" s="1"/>
  <c r="D677" i="3"/>
  <c r="G677" i="3" s="1"/>
  <c r="R121" i="4" s="1"/>
  <c r="D678" i="3"/>
  <c r="G678" i="3" s="1"/>
  <c r="S121" i="4" s="1"/>
  <c r="D679" i="3"/>
  <c r="G679" i="3" s="1"/>
  <c r="T121" i="4" s="1"/>
  <c r="D680" i="3"/>
  <c r="G680" i="3" s="1"/>
  <c r="U121" i="4" s="1"/>
  <c r="D681" i="3"/>
  <c r="G681" i="3" s="1"/>
  <c r="V121" i="4" s="1"/>
  <c r="D682" i="3"/>
  <c r="G682" i="3" s="1"/>
  <c r="W121" i="4" s="1"/>
  <c r="D683" i="3"/>
  <c r="G683" i="3" s="1"/>
  <c r="X121" i="4" s="1"/>
  <c r="D684" i="3"/>
  <c r="G684" i="3" s="1"/>
  <c r="Y121" i="4" s="1"/>
  <c r="D685" i="3"/>
  <c r="G685" i="3" s="1"/>
  <c r="Z121" i="4" s="1"/>
  <c r="D686" i="3"/>
  <c r="G686" i="3" s="1"/>
  <c r="AA121" i="4" s="1"/>
  <c r="D687" i="3"/>
  <c r="G687" i="3" s="1"/>
  <c r="AB121" i="4" s="1"/>
  <c r="D688" i="3"/>
  <c r="G688" i="3" s="1"/>
  <c r="AC121" i="4" s="1"/>
  <c r="D689" i="3"/>
  <c r="G689" i="3" s="1"/>
  <c r="AD121" i="4" s="1"/>
  <c r="D690" i="3"/>
  <c r="G690" i="3" s="1"/>
  <c r="AE121" i="4" s="1"/>
  <c r="D691" i="3"/>
  <c r="G691" i="3" s="1"/>
  <c r="AF121" i="4" s="1"/>
  <c r="D692" i="3"/>
  <c r="G692" i="3" s="1"/>
  <c r="AG121" i="4" s="1"/>
  <c r="D693" i="3"/>
  <c r="G693" i="3" s="1"/>
  <c r="AH121" i="4" s="1"/>
  <c r="D694" i="3"/>
  <c r="G694" i="3" s="1"/>
  <c r="AI121" i="4" s="1"/>
  <c r="D695" i="3"/>
  <c r="G695" i="3" s="1"/>
  <c r="AJ121" i="4" s="1"/>
  <c r="D696" i="3"/>
  <c r="G696" i="3" s="1"/>
  <c r="AK121" i="4" s="1"/>
  <c r="D697" i="3"/>
  <c r="G697" i="3" s="1"/>
  <c r="AL121" i="4" s="1"/>
  <c r="D698" i="3"/>
  <c r="G698" i="3" s="1"/>
  <c r="AM121" i="4" s="1"/>
  <c r="D699" i="3"/>
  <c r="G699" i="3" s="1"/>
  <c r="AN121" i="4" s="1"/>
  <c r="D700" i="3"/>
  <c r="G700" i="3" s="1"/>
  <c r="AO121" i="4" s="1"/>
  <c r="D701" i="3"/>
  <c r="G701" i="3" s="1"/>
  <c r="AP121" i="4" s="1"/>
  <c r="D702" i="3"/>
  <c r="G702" i="3" s="1"/>
  <c r="AQ121" i="4" s="1"/>
  <c r="D703" i="3"/>
  <c r="G703" i="3" s="1"/>
  <c r="AR121" i="4" s="1"/>
  <c r="D704" i="3"/>
  <c r="G704" i="3" s="1"/>
  <c r="AS121" i="4" s="1"/>
  <c r="D705" i="3"/>
  <c r="G705" i="3" s="1"/>
  <c r="AT121" i="4" s="1"/>
  <c r="D706" i="3"/>
  <c r="G706" i="3" s="1"/>
  <c r="AU121" i="4" s="1"/>
  <c r="D707" i="3"/>
  <c r="G707" i="3" s="1"/>
  <c r="AV121" i="4" s="1"/>
  <c r="D708" i="3"/>
  <c r="G708" i="3" s="1"/>
  <c r="AW121" i="4" s="1"/>
  <c r="D709" i="3"/>
  <c r="G709" i="3" s="1"/>
  <c r="AX121" i="4" s="1"/>
  <c r="D710" i="3"/>
  <c r="G710" i="3" s="1"/>
  <c r="AY121" i="4" s="1"/>
  <c r="D711" i="3"/>
  <c r="G711" i="3" s="1"/>
  <c r="AZ121" i="4" s="1"/>
  <c r="D712" i="3"/>
  <c r="G712" i="3" s="1"/>
  <c r="BA121" i="4" s="1"/>
  <c r="D713" i="3"/>
  <c r="G713" i="3" s="1"/>
  <c r="BB121" i="4" s="1"/>
  <c r="D714" i="3"/>
  <c r="G714" i="3" s="1"/>
  <c r="BC121" i="4" s="1"/>
  <c r="D715" i="3"/>
  <c r="G715" i="3" s="1"/>
  <c r="BD121" i="4" s="1"/>
  <c r="D716" i="3"/>
  <c r="G716" i="3" s="1"/>
  <c r="BE121" i="4" s="1"/>
  <c r="D717" i="3"/>
  <c r="G717" i="3" s="1"/>
  <c r="BF121" i="4" s="1"/>
  <c r="D718" i="3"/>
  <c r="G718" i="3" s="1"/>
  <c r="BG121" i="4" s="1"/>
  <c r="D719" i="3"/>
  <c r="G719" i="3" s="1"/>
  <c r="BH121" i="4" s="1"/>
  <c r="D720" i="3"/>
  <c r="G720" i="3" s="1"/>
  <c r="BI121" i="4" s="1"/>
  <c r="D721" i="3"/>
  <c r="G721" i="3" s="1"/>
  <c r="BJ121" i="4" s="1"/>
  <c r="D722" i="3"/>
  <c r="G722" i="3" s="1"/>
  <c r="C122" i="4" s="1"/>
  <c r="D723" i="3"/>
  <c r="G723" i="3" s="1"/>
  <c r="D122" i="4" s="1"/>
  <c r="D724" i="3"/>
  <c r="G724" i="3" s="1"/>
  <c r="E122" i="4" s="1"/>
  <c r="D725" i="3"/>
  <c r="G725" i="3" s="1"/>
  <c r="F122" i="4" s="1"/>
  <c r="D726" i="3"/>
  <c r="G726" i="3" s="1"/>
  <c r="G122" i="4" s="1"/>
  <c r="D727" i="3"/>
  <c r="G727" i="3" s="1"/>
  <c r="H122" i="4" s="1"/>
  <c r="D728" i="3"/>
  <c r="G728" i="3" s="1"/>
  <c r="I122" i="4" s="1"/>
  <c r="D729" i="3"/>
  <c r="G729" i="3" s="1"/>
  <c r="J122" i="4" s="1"/>
  <c r="D730" i="3"/>
  <c r="G730" i="3" s="1"/>
  <c r="K122" i="4" s="1"/>
  <c r="D731" i="3"/>
  <c r="G731" i="3" s="1"/>
  <c r="L122" i="4" s="1"/>
  <c r="D732" i="3"/>
  <c r="G732" i="3" s="1"/>
  <c r="M122" i="4" s="1"/>
  <c r="D733" i="3"/>
  <c r="G733" i="3" s="1"/>
  <c r="N122" i="4" s="1"/>
  <c r="D734" i="3"/>
  <c r="G734" i="3" s="1"/>
  <c r="O122" i="4" s="1"/>
  <c r="D735" i="3"/>
  <c r="G735" i="3" s="1"/>
  <c r="P122" i="4" s="1"/>
  <c r="D736" i="3"/>
  <c r="G736" i="3" s="1"/>
  <c r="Q122" i="4" s="1"/>
  <c r="D737" i="3"/>
  <c r="G737" i="3" s="1"/>
  <c r="R122" i="4" s="1"/>
  <c r="D738" i="3"/>
  <c r="G738" i="3" s="1"/>
  <c r="S122" i="4" s="1"/>
  <c r="D739" i="3"/>
  <c r="G739" i="3" s="1"/>
  <c r="T122" i="4" s="1"/>
  <c r="D740" i="3"/>
  <c r="G740" i="3" s="1"/>
  <c r="U122" i="4" s="1"/>
  <c r="D741" i="3"/>
  <c r="G741" i="3" s="1"/>
  <c r="V122" i="4" s="1"/>
  <c r="D742" i="3"/>
  <c r="G742" i="3" s="1"/>
  <c r="W122" i="4" s="1"/>
  <c r="D743" i="3"/>
  <c r="G743" i="3" s="1"/>
  <c r="X122" i="4" s="1"/>
  <c r="D744" i="3"/>
  <c r="G744" i="3" s="1"/>
  <c r="Y122" i="4" s="1"/>
  <c r="D745" i="3"/>
  <c r="G745" i="3" s="1"/>
  <c r="Z122" i="4" s="1"/>
  <c r="D746" i="3"/>
  <c r="G746" i="3" s="1"/>
  <c r="AA122" i="4" s="1"/>
  <c r="D747" i="3"/>
  <c r="G747" i="3" s="1"/>
  <c r="AB122" i="4" s="1"/>
  <c r="D748" i="3"/>
  <c r="G748" i="3" s="1"/>
  <c r="AC122" i="4" s="1"/>
  <c r="D749" i="3"/>
  <c r="G749" i="3" s="1"/>
  <c r="AD122" i="4" s="1"/>
  <c r="D750" i="3"/>
  <c r="G750" i="3" s="1"/>
  <c r="AE122" i="4" s="1"/>
  <c r="D751" i="3"/>
  <c r="G751" i="3" s="1"/>
  <c r="AF122" i="4" s="1"/>
  <c r="D752" i="3"/>
  <c r="G752" i="3" s="1"/>
  <c r="AG122" i="4" s="1"/>
  <c r="D753" i="3"/>
  <c r="G753" i="3" s="1"/>
  <c r="AH122" i="4" s="1"/>
  <c r="D754" i="3"/>
  <c r="G754" i="3" s="1"/>
  <c r="AI122" i="4" s="1"/>
  <c r="D755" i="3"/>
  <c r="G755" i="3" s="1"/>
  <c r="AJ122" i="4" s="1"/>
  <c r="D756" i="3"/>
  <c r="G756" i="3" s="1"/>
  <c r="AK122" i="4" s="1"/>
  <c r="D757" i="3"/>
  <c r="G757" i="3" s="1"/>
  <c r="AL122" i="4" s="1"/>
  <c r="D758" i="3"/>
  <c r="G758" i="3" s="1"/>
  <c r="AM122" i="4" s="1"/>
  <c r="D759" i="3"/>
  <c r="G759" i="3" s="1"/>
  <c r="AN122" i="4" s="1"/>
  <c r="D760" i="3"/>
  <c r="G760" i="3" s="1"/>
  <c r="AO122" i="4" s="1"/>
  <c r="D761" i="3"/>
  <c r="G761" i="3" s="1"/>
  <c r="AP122" i="4" s="1"/>
  <c r="D762" i="3"/>
  <c r="G762" i="3" s="1"/>
  <c r="AQ122" i="4" s="1"/>
  <c r="D763" i="3"/>
  <c r="G763" i="3" s="1"/>
  <c r="AR122" i="4" s="1"/>
  <c r="D764" i="3"/>
  <c r="G764" i="3" s="1"/>
  <c r="AS122" i="4" s="1"/>
  <c r="D765" i="3"/>
  <c r="G765" i="3" s="1"/>
  <c r="AT122" i="4" s="1"/>
  <c r="D766" i="3"/>
  <c r="G766" i="3" s="1"/>
  <c r="AU122" i="4" s="1"/>
  <c r="D767" i="3"/>
  <c r="G767" i="3" s="1"/>
  <c r="AV122" i="4" s="1"/>
  <c r="D768" i="3"/>
  <c r="G768" i="3" s="1"/>
  <c r="AW122" i="4" s="1"/>
  <c r="D769" i="3"/>
  <c r="G769" i="3" s="1"/>
  <c r="AX122" i="4" s="1"/>
  <c r="D770" i="3"/>
  <c r="G770" i="3" s="1"/>
  <c r="AY122" i="4" s="1"/>
  <c r="D771" i="3"/>
  <c r="G771" i="3" s="1"/>
  <c r="AZ122" i="4" s="1"/>
  <c r="D772" i="3"/>
  <c r="G772" i="3" s="1"/>
  <c r="BA122" i="4" s="1"/>
  <c r="D773" i="3"/>
  <c r="G773" i="3" s="1"/>
  <c r="BB122" i="4" s="1"/>
  <c r="D774" i="3"/>
  <c r="G774" i="3" s="1"/>
  <c r="BC122" i="4" s="1"/>
  <c r="D775" i="3"/>
  <c r="G775" i="3" s="1"/>
  <c r="BD122" i="4" s="1"/>
  <c r="D776" i="3"/>
  <c r="G776" i="3" s="1"/>
  <c r="BE122" i="4" s="1"/>
  <c r="D777" i="3"/>
  <c r="G777" i="3" s="1"/>
  <c r="BF122" i="4" s="1"/>
  <c r="D778" i="3"/>
  <c r="G778" i="3" s="1"/>
  <c r="BG122" i="4" s="1"/>
  <c r="D779" i="3"/>
  <c r="G779" i="3" s="1"/>
  <c r="BH122" i="4" s="1"/>
  <c r="D780" i="3"/>
  <c r="G780" i="3" s="1"/>
  <c r="BI122" i="4" s="1"/>
  <c r="D781" i="3"/>
  <c r="G781" i="3" s="1"/>
  <c r="BJ122" i="4" s="1"/>
  <c r="D782" i="3"/>
  <c r="G782" i="3" s="1"/>
  <c r="C123" i="4" s="1"/>
  <c r="D783" i="3"/>
  <c r="G783" i="3" s="1"/>
  <c r="D123" i="4" s="1"/>
  <c r="D784" i="3"/>
  <c r="G784" i="3" s="1"/>
  <c r="E123" i="4" s="1"/>
  <c r="D785" i="3"/>
  <c r="G785" i="3" s="1"/>
  <c r="F123" i="4" s="1"/>
  <c r="D786" i="3"/>
  <c r="G786" i="3" s="1"/>
  <c r="G123" i="4" s="1"/>
  <c r="D787" i="3"/>
  <c r="G787" i="3" s="1"/>
  <c r="H123" i="4" s="1"/>
  <c r="D788" i="3"/>
  <c r="G788" i="3" s="1"/>
  <c r="I123" i="4" s="1"/>
  <c r="D789" i="3"/>
  <c r="G789" i="3" s="1"/>
  <c r="J123" i="4" s="1"/>
  <c r="D790" i="3"/>
  <c r="G790" i="3" s="1"/>
  <c r="K123" i="4" s="1"/>
  <c r="D791" i="3"/>
  <c r="G791" i="3" s="1"/>
  <c r="L123" i="4" s="1"/>
  <c r="D792" i="3"/>
  <c r="G792" i="3" s="1"/>
  <c r="M123" i="4" s="1"/>
  <c r="D793" i="3"/>
  <c r="G793" i="3" s="1"/>
  <c r="N123" i="4" s="1"/>
  <c r="D794" i="3"/>
  <c r="G794" i="3" s="1"/>
  <c r="O123" i="4" s="1"/>
  <c r="D795" i="3"/>
  <c r="G795" i="3" s="1"/>
  <c r="P123" i="4" s="1"/>
  <c r="D796" i="3"/>
  <c r="G796" i="3" s="1"/>
  <c r="Q123" i="4" s="1"/>
  <c r="D797" i="3"/>
  <c r="G797" i="3" s="1"/>
  <c r="R123" i="4" s="1"/>
  <c r="D798" i="3"/>
  <c r="G798" i="3" s="1"/>
  <c r="S123" i="4" s="1"/>
  <c r="D799" i="3"/>
  <c r="G799" i="3" s="1"/>
  <c r="T123" i="4" s="1"/>
  <c r="D800" i="3"/>
  <c r="G800" i="3" s="1"/>
  <c r="U123" i="4" s="1"/>
  <c r="D801" i="3"/>
  <c r="G801" i="3" s="1"/>
  <c r="V123" i="4" s="1"/>
  <c r="D802" i="3"/>
  <c r="G802" i="3" s="1"/>
  <c r="W123" i="4" s="1"/>
  <c r="D803" i="3"/>
  <c r="G803" i="3" s="1"/>
  <c r="X123" i="4" s="1"/>
  <c r="D804" i="3"/>
  <c r="G804" i="3" s="1"/>
  <c r="Y123" i="4" s="1"/>
  <c r="D805" i="3"/>
  <c r="G805" i="3" s="1"/>
  <c r="Z123" i="4" s="1"/>
  <c r="D806" i="3"/>
  <c r="G806" i="3" s="1"/>
  <c r="AA123" i="4" s="1"/>
  <c r="D807" i="3"/>
  <c r="G807" i="3" s="1"/>
  <c r="AB123" i="4" s="1"/>
  <c r="D808" i="3"/>
  <c r="G808" i="3" s="1"/>
  <c r="AC123" i="4" s="1"/>
  <c r="D809" i="3"/>
  <c r="G809" i="3" s="1"/>
  <c r="AD123" i="4" s="1"/>
  <c r="D810" i="3"/>
  <c r="G810" i="3" s="1"/>
  <c r="AE123" i="4" s="1"/>
  <c r="D811" i="3"/>
  <c r="G811" i="3" s="1"/>
  <c r="AF123" i="4" s="1"/>
  <c r="D812" i="3"/>
  <c r="G812" i="3" s="1"/>
  <c r="AG123" i="4" s="1"/>
  <c r="D813" i="3"/>
  <c r="G813" i="3" s="1"/>
  <c r="AH123" i="4" s="1"/>
  <c r="D814" i="3"/>
  <c r="G814" i="3" s="1"/>
  <c r="AI123" i="4" s="1"/>
  <c r="D815" i="3"/>
  <c r="G815" i="3" s="1"/>
  <c r="AJ123" i="4" s="1"/>
  <c r="D816" i="3"/>
  <c r="G816" i="3" s="1"/>
  <c r="AK123" i="4" s="1"/>
  <c r="D817" i="3"/>
  <c r="G817" i="3" s="1"/>
  <c r="AL123" i="4" s="1"/>
  <c r="D818" i="3"/>
  <c r="G818" i="3" s="1"/>
  <c r="AM123" i="4" s="1"/>
  <c r="D819" i="3"/>
  <c r="G819" i="3" s="1"/>
  <c r="AN123" i="4" s="1"/>
  <c r="D820" i="3"/>
  <c r="G820" i="3" s="1"/>
  <c r="AO123" i="4" s="1"/>
  <c r="D821" i="3"/>
  <c r="G821" i="3" s="1"/>
  <c r="AP123" i="4" s="1"/>
  <c r="D822" i="3"/>
  <c r="G822" i="3" s="1"/>
  <c r="AQ123" i="4" s="1"/>
  <c r="D823" i="3"/>
  <c r="G823" i="3" s="1"/>
  <c r="AR123" i="4" s="1"/>
  <c r="D824" i="3"/>
  <c r="G824" i="3" s="1"/>
  <c r="AS123" i="4" s="1"/>
  <c r="D825" i="3"/>
  <c r="G825" i="3" s="1"/>
  <c r="AT123" i="4" s="1"/>
  <c r="D826" i="3"/>
  <c r="G826" i="3" s="1"/>
  <c r="AU123" i="4" s="1"/>
  <c r="D827" i="3"/>
  <c r="G827" i="3" s="1"/>
  <c r="AV123" i="4" s="1"/>
  <c r="D828" i="3"/>
  <c r="G828" i="3" s="1"/>
  <c r="AW123" i="4" s="1"/>
  <c r="D829" i="3"/>
  <c r="G829" i="3" s="1"/>
  <c r="AX123" i="4" s="1"/>
  <c r="D830" i="3"/>
  <c r="G830" i="3" s="1"/>
  <c r="AY123" i="4" s="1"/>
  <c r="D831" i="3"/>
  <c r="G831" i="3" s="1"/>
  <c r="AZ123" i="4" s="1"/>
  <c r="D832" i="3"/>
  <c r="G832" i="3" s="1"/>
  <c r="BA123" i="4" s="1"/>
  <c r="D833" i="3"/>
  <c r="G833" i="3" s="1"/>
  <c r="BB123" i="4" s="1"/>
  <c r="D834" i="3"/>
  <c r="G834" i="3" s="1"/>
  <c r="BC123" i="4" s="1"/>
  <c r="D835" i="3"/>
  <c r="G835" i="3" s="1"/>
  <c r="BD123" i="4" s="1"/>
  <c r="D836" i="3"/>
  <c r="G836" i="3" s="1"/>
  <c r="BE123" i="4" s="1"/>
  <c r="D837" i="3"/>
  <c r="G837" i="3" s="1"/>
  <c r="BF123" i="4" s="1"/>
  <c r="D838" i="3"/>
  <c r="G838" i="3" s="1"/>
  <c r="BG123" i="4" s="1"/>
  <c r="D839" i="3"/>
  <c r="G839" i="3" s="1"/>
  <c r="BH123" i="4" s="1"/>
  <c r="D840" i="3"/>
  <c r="G840" i="3" s="1"/>
  <c r="BI123" i="4" s="1"/>
  <c r="D841" i="3"/>
  <c r="G841" i="3" s="1"/>
  <c r="BJ123" i="4" s="1"/>
  <c r="D842" i="3"/>
  <c r="G842" i="3" s="1"/>
  <c r="C124" i="4" s="1"/>
  <c r="D843" i="3"/>
  <c r="G843" i="3" s="1"/>
  <c r="D124" i="4" s="1"/>
  <c r="D844" i="3"/>
  <c r="G844" i="3" s="1"/>
  <c r="E124" i="4" s="1"/>
  <c r="D845" i="3"/>
  <c r="G845" i="3" s="1"/>
  <c r="F124" i="4" s="1"/>
  <c r="D846" i="3"/>
  <c r="G846" i="3" s="1"/>
  <c r="G124" i="4" s="1"/>
  <c r="D847" i="3"/>
  <c r="G847" i="3" s="1"/>
  <c r="H124" i="4" s="1"/>
  <c r="D848" i="3"/>
  <c r="G848" i="3" s="1"/>
  <c r="I124" i="4" s="1"/>
  <c r="D849" i="3"/>
  <c r="G849" i="3" s="1"/>
  <c r="J124" i="4" s="1"/>
  <c r="D850" i="3"/>
  <c r="G850" i="3" s="1"/>
  <c r="K124" i="4" s="1"/>
  <c r="D851" i="3"/>
  <c r="G851" i="3" s="1"/>
  <c r="L124" i="4" s="1"/>
  <c r="D852" i="3"/>
  <c r="G852" i="3" s="1"/>
  <c r="M124" i="4" s="1"/>
  <c r="D853" i="3"/>
  <c r="G853" i="3" s="1"/>
  <c r="N124" i="4" s="1"/>
  <c r="D854" i="3"/>
  <c r="G854" i="3" s="1"/>
  <c r="O124" i="4" s="1"/>
  <c r="D855" i="3"/>
  <c r="G855" i="3" s="1"/>
  <c r="P124" i="4" s="1"/>
  <c r="D856" i="3"/>
  <c r="G856" i="3" s="1"/>
  <c r="Q124" i="4" s="1"/>
  <c r="D857" i="3"/>
  <c r="G857" i="3" s="1"/>
  <c r="R124" i="4" s="1"/>
  <c r="D858" i="3"/>
  <c r="G858" i="3" s="1"/>
  <c r="S124" i="4" s="1"/>
  <c r="D859" i="3"/>
  <c r="G859" i="3" s="1"/>
  <c r="T124" i="4" s="1"/>
  <c r="D860" i="3"/>
  <c r="G860" i="3" s="1"/>
  <c r="U124" i="4" s="1"/>
  <c r="D861" i="3"/>
  <c r="G861" i="3" s="1"/>
  <c r="V124" i="4" s="1"/>
  <c r="D862" i="3"/>
  <c r="G862" i="3" s="1"/>
  <c r="W124" i="4" s="1"/>
  <c r="D863" i="3"/>
  <c r="G863" i="3" s="1"/>
  <c r="X124" i="4" s="1"/>
  <c r="D864" i="3"/>
  <c r="G864" i="3" s="1"/>
  <c r="Y124" i="4" s="1"/>
  <c r="D865" i="3"/>
  <c r="G865" i="3" s="1"/>
  <c r="Z124" i="4" s="1"/>
  <c r="D866" i="3"/>
  <c r="G866" i="3" s="1"/>
  <c r="AA124" i="4" s="1"/>
  <c r="D867" i="3"/>
  <c r="G867" i="3" s="1"/>
  <c r="AB124" i="4" s="1"/>
  <c r="D868" i="3"/>
  <c r="G868" i="3" s="1"/>
  <c r="AC124" i="4" s="1"/>
  <c r="D869" i="3"/>
  <c r="G869" i="3" s="1"/>
  <c r="AD124" i="4" s="1"/>
  <c r="D870" i="3"/>
  <c r="G870" i="3" s="1"/>
  <c r="AE124" i="4" s="1"/>
  <c r="D871" i="3"/>
  <c r="G871" i="3" s="1"/>
  <c r="AF124" i="4" s="1"/>
  <c r="D872" i="3"/>
  <c r="G872" i="3" s="1"/>
  <c r="AG124" i="4" s="1"/>
  <c r="D873" i="3"/>
  <c r="G873" i="3" s="1"/>
  <c r="AH124" i="4" s="1"/>
  <c r="D874" i="3"/>
  <c r="G874" i="3" s="1"/>
  <c r="AI124" i="4" s="1"/>
  <c r="D875" i="3"/>
  <c r="G875" i="3" s="1"/>
  <c r="AJ124" i="4" s="1"/>
  <c r="D876" i="3"/>
  <c r="G876" i="3" s="1"/>
  <c r="AK124" i="4" s="1"/>
  <c r="D877" i="3"/>
  <c r="G877" i="3" s="1"/>
  <c r="AL124" i="4" s="1"/>
  <c r="D878" i="3"/>
  <c r="G878" i="3" s="1"/>
  <c r="AM124" i="4" s="1"/>
  <c r="D879" i="3"/>
  <c r="G879" i="3" s="1"/>
  <c r="AN124" i="4" s="1"/>
  <c r="D880" i="3"/>
  <c r="G880" i="3" s="1"/>
  <c r="AO124" i="4" s="1"/>
  <c r="D881" i="3"/>
  <c r="G881" i="3" s="1"/>
  <c r="AP124" i="4" s="1"/>
  <c r="D882" i="3"/>
  <c r="G882" i="3" s="1"/>
  <c r="AQ124" i="4" s="1"/>
  <c r="D883" i="3"/>
  <c r="G883" i="3" s="1"/>
  <c r="AR124" i="4" s="1"/>
  <c r="D884" i="3"/>
  <c r="G884" i="3" s="1"/>
  <c r="AS124" i="4" s="1"/>
  <c r="D885" i="3"/>
  <c r="G885" i="3" s="1"/>
  <c r="AT124" i="4" s="1"/>
  <c r="D886" i="3"/>
  <c r="G886" i="3" s="1"/>
  <c r="AU124" i="4" s="1"/>
  <c r="D887" i="3"/>
  <c r="G887" i="3" s="1"/>
  <c r="AV124" i="4" s="1"/>
  <c r="D888" i="3"/>
  <c r="G888" i="3" s="1"/>
  <c r="AW124" i="4" s="1"/>
  <c r="D889" i="3"/>
  <c r="G889" i="3" s="1"/>
  <c r="AX124" i="4" s="1"/>
  <c r="D890" i="3"/>
  <c r="G890" i="3" s="1"/>
  <c r="AY124" i="4" s="1"/>
  <c r="D891" i="3"/>
  <c r="G891" i="3" s="1"/>
  <c r="AZ124" i="4" s="1"/>
  <c r="D892" i="3"/>
  <c r="G892" i="3" s="1"/>
  <c r="BA124" i="4" s="1"/>
  <c r="D893" i="3"/>
  <c r="G893" i="3" s="1"/>
  <c r="BB124" i="4" s="1"/>
  <c r="D894" i="3"/>
  <c r="G894" i="3" s="1"/>
  <c r="BC124" i="4" s="1"/>
  <c r="D895" i="3"/>
  <c r="G895" i="3" s="1"/>
  <c r="BD124" i="4" s="1"/>
  <c r="D896" i="3"/>
  <c r="G896" i="3" s="1"/>
  <c r="BE124" i="4" s="1"/>
  <c r="D897" i="3"/>
  <c r="G897" i="3" s="1"/>
  <c r="BF124" i="4" s="1"/>
  <c r="D898" i="3"/>
  <c r="G898" i="3" s="1"/>
  <c r="BG124" i="4" s="1"/>
  <c r="D899" i="3"/>
  <c r="G899" i="3" s="1"/>
  <c r="BH124" i="4" s="1"/>
  <c r="D900" i="3"/>
  <c r="G900" i="3" s="1"/>
  <c r="BI124" i="4" s="1"/>
  <c r="D901" i="3"/>
  <c r="G901" i="3" s="1"/>
  <c r="BJ124" i="4" s="1"/>
  <c r="D902" i="3"/>
  <c r="G902" i="3" s="1"/>
  <c r="C125" i="4" s="1"/>
  <c r="D903" i="3"/>
  <c r="G903" i="3" s="1"/>
  <c r="D125" i="4" s="1"/>
  <c r="D904" i="3"/>
  <c r="G904" i="3" s="1"/>
  <c r="E125" i="4" s="1"/>
  <c r="D905" i="3"/>
  <c r="G905" i="3" s="1"/>
  <c r="F125" i="4" s="1"/>
  <c r="D906" i="3"/>
  <c r="G906" i="3" s="1"/>
  <c r="G125" i="4" s="1"/>
  <c r="D907" i="3"/>
  <c r="G907" i="3" s="1"/>
  <c r="H125" i="4" s="1"/>
  <c r="D908" i="3"/>
  <c r="G908" i="3" s="1"/>
  <c r="I125" i="4" s="1"/>
  <c r="D909" i="3"/>
  <c r="G909" i="3" s="1"/>
  <c r="J125" i="4" s="1"/>
  <c r="D910" i="3"/>
  <c r="G910" i="3" s="1"/>
  <c r="K125" i="4" s="1"/>
  <c r="D911" i="3"/>
  <c r="G911" i="3" s="1"/>
  <c r="L125" i="4" s="1"/>
  <c r="D912" i="3"/>
  <c r="G912" i="3" s="1"/>
  <c r="M125" i="4" s="1"/>
  <c r="D913" i="3"/>
  <c r="G913" i="3" s="1"/>
  <c r="N125" i="4" s="1"/>
  <c r="D914" i="3"/>
  <c r="G914" i="3" s="1"/>
  <c r="O125" i="4" s="1"/>
  <c r="D915" i="3"/>
  <c r="G915" i="3" s="1"/>
  <c r="P125" i="4" s="1"/>
  <c r="D916" i="3"/>
  <c r="G916" i="3" s="1"/>
  <c r="Q125" i="4" s="1"/>
  <c r="D917" i="3"/>
  <c r="G917" i="3" s="1"/>
  <c r="R125" i="4" s="1"/>
  <c r="D918" i="3"/>
  <c r="G918" i="3" s="1"/>
  <c r="S125" i="4" s="1"/>
  <c r="D919" i="3"/>
  <c r="G919" i="3" s="1"/>
  <c r="T125" i="4" s="1"/>
  <c r="D920" i="3"/>
  <c r="G920" i="3" s="1"/>
  <c r="U125" i="4" s="1"/>
  <c r="D921" i="3"/>
  <c r="G921" i="3" s="1"/>
  <c r="V125" i="4" s="1"/>
  <c r="D922" i="3"/>
  <c r="G922" i="3" s="1"/>
  <c r="W125" i="4" s="1"/>
  <c r="D923" i="3"/>
  <c r="G923" i="3" s="1"/>
  <c r="X125" i="4" s="1"/>
  <c r="D924" i="3"/>
  <c r="G924" i="3" s="1"/>
  <c r="Y125" i="4" s="1"/>
  <c r="D925" i="3"/>
  <c r="G925" i="3" s="1"/>
  <c r="Z125" i="4" s="1"/>
  <c r="D926" i="3"/>
  <c r="G926" i="3" s="1"/>
  <c r="AA125" i="4" s="1"/>
  <c r="D927" i="3"/>
  <c r="G927" i="3" s="1"/>
  <c r="AB125" i="4" s="1"/>
  <c r="D928" i="3"/>
  <c r="G928" i="3" s="1"/>
  <c r="AC125" i="4" s="1"/>
  <c r="D929" i="3"/>
  <c r="G929" i="3" s="1"/>
  <c r="AD125" i="4" s="1"/>
  <c r="D930" i="3"/>
  <c r="G930" i="3" s="1"/>
  <c r="AE125" i="4" s="1"/>
  <c r="D931" i="3"/>
  <c r="G931" i="3" s="1"/>
  <c r="AF125" i="4" s="1"/>
  <c r="D932" i="3"/>
  <c r="G932" i="3" s="1"/>
  <c r="AG125" i="4" s="1"/>
  <c r="D933" i="3"/>
  <c r="G933" i="3" s="1"/>
  <c r="AH125" i="4" s="1"/>
  <c r="D934" i="3"/>
  <c r="G934" i="3" s="1"/>
  <c r="AI125" i="4" s="1"/>
  <c r="D935" i="3"/>
  <c r="G935" i="3" s="1"/>
  <c r="AJ125" i="4" s="1"/>
  <c r="D936" i="3"/>
  <c r="G936" i="3" s="1"/>
  <c r="AK125" i="4" s="1"/>
  <c r="D937" i="3"/>
  <c r="G937" i="3" s="1"/>
  <c r="AL125" i="4" s="1"/>
  <c r="D938" i="3"/>
  <c r="G938" i="3" s="1"/>
  <c r="AM125" i="4" s="1"/>
  <c r="D939" i="3"/>
  <c r="G939" i="3" s="1"/>
  <c r="AN125" i="4" s="1"/>
  <c r="D940" i="3"/>
  <c r="G940" i="3" s="1"/>
  <c r="AO125" i="4" s="1"/>
  <c r="D941" i="3"/>
  <c r="G941" i="3" s="1"/>
  <c r="AP125" i="4" s="1"/>
  <c r="D942" i="3"/>
  <c r="G942" i="3" s="1"/>
  <c r="AQ125" i="4" s="1"/>
  <c r="D943" i="3"/>
  <c r="G943" i="3" s="1"/>
  <c r="AR125" i="4" s="1"/>
  <c r="D944" i="3"/>
  <c r="G944" i="3" s="1"/>
  <c r="AS125" i="4" s="1"/>
  <c r="D945" i="3"/>
  <c r="G945" i="3" s="1"/>
  <c r="AT125" i="4" s="1"/>
  <c r="D946" i="3"/>
  <c r="G946" i="3" s="1"/>
  <c r="AU125" i="4" s="1"/>
  <c r="D947" i="3"/>
  <c r="G947" i="3" s="1"/>
  <c r="AV125" i="4" s="1"/>
  <c r="D948" i="3"/>
  <c r="G948" i="3" s="1"/>
  <c r="AW125" i="4" s="1"/>
  <c r="D949" i="3"/>
  <c r="G949" i="3" s="1"/>
  <c r="AX125" i="4" s="1"/>
  <c r="D950" i="3"/>
  <c r="G950" i="3" s="1"/>
  <c r="AY125" i="4" s="1"/>
  <c r="D951" i="3"/>
  <c r="G951" i="3" s="1"/>
  <c r="AZ125" i="4" s="1"/>
  <c r="D952" i="3"/>
  <c r="G952" i="3" s="1"/>
  <c r="BA125" i="4" s="1"/>
  <c r="D953" i="3"/>
  <c r="G953" i="3" s="1"/>
  <c r="BB125" i="4" s="1"/>
  <c r="D954" i="3"/>
  <c r="G954" i="3" s="1"/>
  <c r="BC125" i="4" s="1"/>
  <c r="D955" i="3"/>
  <c r="G955" i="3" s="1"/>
  <c r="BD125" i="4" s="1"/>
  <c r="D956" i="3"/>
  <c r="G956" i="3" s="1"/>
  <c r="BE125" i="4" s="1"/>
  <c r="D957" i="3"/>
  <c r="G957" i="3" s="1"/>
  <c r="BF125" i="4" s="1"/>
  <c r="D958" i="3"/>
  <c r="G958" i="3" s="1"/>
  <c r="BG125" i="4" s="1"/>
  <c r="D959" i="3"/>
  <c r="G959" i="3" s="1"/>
  <c r="BH125" i="4" s="1"/>
  <c r="D960" i="3"/>
  <c r="G960" i="3" s="1"/>
  <c r="BI125" i="4" s="1"/>
  <c r="D961" i="3"/>
  <c r="G961" i="3" s="1"/>
  <c r="BJ125" i="4" s="1"/>
  <c r="D962" i="3"/>
  <c r="G962" i="3" s="1"/>
  <c r="C126" i="4" s="1"/>
  <c r="D963" i="3"/>
  <c r="G963" i="3" s="1"/>
  <c r="D126" i="4" s="1"/>
  <c r="D964" i="3"/>
  <c r="G964" i="3" s="1"/>
  <c r="E126" i="4" s="1"/>
  <c r="D965" i="3"/>
  <c r="G965" i="3" s="1"/>
  <c r="F126" i="4" s="1"/>
  <c r="D966" i="3"/>
  <c r="G966" i="3" s="1"/>
  <c r="G126" i="4" s="1"/>
  <c r="D967" i="3"/>
  <c r="G967" i="3" s="1"/>
  <c r="H126" i="4" s="1"/>
  <c r="D968" i="3"/>
  <c r="G968" i="3" s="1"/>
  <c r="I126" i="4" s="1"/>
  <c r="D969" i="3"/>
  <c r="G969" i="3" s="1"/>
  <c r="J126" i="4" s="1"/>
  <c r="D970" i="3"/>
  <c r="G970" i="3" s="1"/>
  <c r="K126" i="4" s="1"/>
  <c r="D971" i="3"/>
  <c r="G971" i="3" s="1"/>
  <c r="L126" i="4" s="1"/>
  <c r="D972" i="3"/>
  <c r="G972" i="3" s="1"/>
  <c r="M126" i="4" s="1"/>
  <c r="D973" i="3"/>
  <c r="G973" i="3" s="1"/>
  <c r="N126" i="4" s="1"/>
  <c r="D974" i="3"/>
  <c r="G974" i="3" s="1"/>
  <c r="O126" i="4" s="1"/>
  <c r="D975" i="3"/>
  <c r="G975" i="3" s="1"/>
  <c r="P126" i="4" s="1"/>
  <c r="D976" i="3"/>
  <c r="G976" i="3" s="1"/>
  <c r="Q126" i="4" s="1"/>
  <c r="D977" i="3"/>
  <c r="G977" i="3" s="1"/>
  <c r="R126" i="4" s="1"/>
  <c r="D978" i="3"/>
  <c r="G978" i="3" s="1"/>
  <c r="S126" i="4" s="1"/>
  <c r="D979" i="3"/>
  <c r="G979" i="3" s="1"/>
  <c r="T126" i="4" s="1"/>
  <c r="D980" i="3"/>
  <c r="G980" i="3" s="1"/>
  <c r="U126" i="4" s="1"/>
  <c r="D981" i="3"/>
  <c r="G981" i="3" s="1"/>
  <c r="V126" i="4" s="1"/>
  <c r="D982" i="3"/>
  <c r="G982" i="3" s="1"/>
  <c r="W126" i="4" s="1"/>
  <c r="D983" i="3"/>
  <c r="G983" i="3" s="1"/>
  <c r="X126" i="4" s="1"/>
  <c r="D984" i="3"/>
  <c r="G984" i="3" s="1"/>
  <c r="Y126" i="4" s="1"/>
  <c r="D985" i="3"/>
  <c r="G985" i="3" s="1"/>
  <c r="Z126" i="4" s="1"/>
  <c r="D986" i="3"/>
  <c r="G986" i="3" s="1"/>
  <c r="AA126" i="4" s="1"/>
  <c r="D987" i="3"/>
  <c r="G987" i="3" s="1"/>
  <c r="AB126" i="4" s="1"/>
  <c r="D988" i="3"/>
  <c r="G988" i="3" s="1"/>
  <c r="AC126" i="4" s="1"/>
  <c r="D989" i="3"/>
  <c r="G989" i="3" s="1"/>
  <c r="AD126" i="4" s="1"/>
  <c r="D990" i="3"/>
  <c r="G990" i="3" s="1"/>
  <c r="AE126" i="4" s="1"/>
  <c r="D991" i="3"/>
  <c r="G991" i="3" s="1"/>
  <c r="AF126" i="4" s="1"/>
  <c r="D992" i="3"/>
  <c r="G992" i="3" s="1"/>
  <c r="AG126" i="4" s="1"/>
  <c r="D993" i="3"/>
  <c r="G993" i="3" s="1"/>
  <c r="AH126" i="4" s="1"/>
  <c r="D994" i="3"/>
  <c r="G994" i="3" s="1"/>
  <c r="AI126" i="4" s="1"/>
  <c r="D995" i="3"/>
  <c r="G995" i="3" s="1"/>
  <c r="AJ126" i="4" s="1"/>
  <c r="D996" i="3"/>
  <c r="G996" i="3" s="1"/>
  <c r="AK126" i="4" s="1"/>
  <c r="D997" i="3"/>
  <c r="G997" i="3" s="1"/>
  <c r="AL126" i="4" s="1"/>
  <c r="D998" i="3"/>
  <c r="G998" i="3" s="1"/>
  <c r="AM126" i="4" s="1"/>
  <c r="D999" i="3"/>
  <c r="G999" i="3" s="1"/>
  <c r="AN126" i="4" s="1"/>
  <c r="D1000" i="3"/>
  <c r="G1000" i="3" s="1"/>
  <c r="AO126" i="4" s="1"/>
  <c r="D1001" i="3"/>
  <c r="G1001" i="3" s="1"/>
  <c r="AP126" i="4" s="1"/>
  <c r="D1002" i="3"/>
  <c r="G1002" i="3" s="1"/>
  <c r="AQ126" i="4" s="1"/>
  <c r="D1003" i="3"/>
  <c r="G1003" i="3" s="1"/>
  <c r="AR126" i="4" s="1"/>
  <c r="D1004" i="3"/>
  <c r="G1004" i="3" s="1"/>
  <c r="AS126" i="4" s="1"/>
  <c r="D1005" i="3"/>
  <c r="G1005" i="3" s="1"/>
  <c r="AT126" i="4" s="1"/>
  <c r="D1006" i="3"/>
  <c r="G1006" i="3" s="1"/>
  <c r="AU126" i="4" s="1"/>
  <c r="D1007" i="3"/>
  <c r="G1007" i="3" s="1"/>
  <c r="AV126" i="4" s="1"/>
  <c r="D1008" i="3"/>
  <c r="G1008" i="3" s="1"/>
  <c r="AW126" i="4" s="1"/>
  <c r="D1009" i="3"/>
  <c r="G1009" i="3" s="1"/>
  <c r="AX126" i="4" s="1"/>
  <c r="D1010" i="3"/>
  <c r="G1010" i="3" s="1"/>
  <c r="AY126" i="4" s="1"/>
  <c r="D1011" i="3"/>
  <c r="G1011" i="3" s="1"/>
  <c r="AZ126" i="4" s="1"/>
  <c r="D1012" i="3"/>
  <c r="G1012" i="3" s="1"/>
  <c r="BA126" i="4" s="1"/>
  <c r="D1013" i="3"/>
  <c r="G1013" i="3" s="1"/>
  <c r="BB126" i="4" s="1"/>
  <c r="D1014" i="3"/>
  <c r="G1014" i="3" s="1"/>
  <c r="BC126" i="4" s="1"/>
  <c r="D1015" i="3"/>
  <c r="G1015" i="3" s="1"/>
  <c r="BD126" i="4" s="1"/>
  <c r="D1016" i="3"/>
  <c r="G1016" i="3" s="1"/>
  <c r="BE126" i="4" s="1"/>
  <c r="D1017" i="3"/>
  <c r="G1017" i="3" s="1"/>
  <c r="BF126" i="4" s="1"/>
  <c r="D1018" i="3"/>
  <c r="G1018" i="3" s="1"/>
  <c r="BG126" i="4" s="1"/>
  <c r="D1019" i="3"/>
  <c r="G1019" i="3" s="1"/>
  <c r="BH126" i="4" s="1"/>
  <c r="D1020" i="3"/>
  <c r="G1020" i="3" s="1"/>
  <c r="BI126" i="4" s="1"/>
  <c r="D1021" i="3"/>
  <c r="G1021" i="3" s="1"/>
  <c r="BJ126" i="4" s="1"/>
  <c r="D1022" i="3"/>
  <c r="G1022" i="3" s="1"/>
  <c r="C127" i="4" s="1"/>
  <c r="D1023" i="3"/>
  <c r="G1023" i="3" s="1"/>
  <c r="D127" i="4" s="1"/>
  <c r="D1024" i="3"/>
  <c r="G1024" i="3" s="1"/>
  <c r="E127" i="4" s="1"/>
  <c r="D1025" i="3"/>
  <c r="G1025" i="3" s="1"/>
  <c r="F127" i="4" s="1"/>
  <c r="D1026" i="3"/>
  <c r="G1026" i="3" s="1"/>
  <c r="G127" i="4" s="1"/>
  <c r="D1027" i="3"/>
  <c r="G1027" i="3" s="1"/>
  <c r="H127" i="4" s="1"/>
  <c r="D1028" i="3"/>
  <c r="G1028" i="3" s="1"/>
  <c r="I127" i="4" s="1"/>
  <c r="D1029" i="3"/>
  <c r="G1029" i="3" s="1"/>
  <c r="J127" i="4" s="1"/>
  <c r="D1030" i="3"/>
  <c r="G1030" i="3" s="1"/>
  <c r="K127" i="4" s="1"/>
  <c r="D1031" i="3"/>
  <c r="G1031" i="3" s="1"/>
  <c r="L127" i="4" s="1"/>
  <c r="D1032" i="3"/>
  <c r="G1032" i="3" s="1"/>
  <c r="M127" i="4" s="1"/>
  <c r="D1033" i="3"/>
  <c r="G1033" i="3" s="1"/>
  <c r="N127" i="4" s="1"/>
  <c r="D1034" i="3"/>
  <c r="G1034" i="3" s="1"/>
  <c r="O127" i="4" s="1"/>
  <c r="D1035" i="3"/>
  <c r="G1035" i="3" s="1"/>
  <c r="P127" i="4" s="1"/>
  <c r="D1036" i="3"/>
  <c r="G1036" i="3" s="1"/>
  <c r="Q127" i="4" s="1"/>
  <c r="D1037" i="3"/>
  <c r="G1037" i="3" s="1"/>
  <c r="R127" i="4" s="1"/>
  <c r="D1038" i="3"/>
  <c r="G1038" i="3" s="1"/>
  <c r="S127" i="4" s="1"/>
  <c r="D1039" i="3"/>
  <c r="G1039" i="3" s="1"/>
  <c r="T127" i="4" s="1"/>
  <c r="D1040" i="3"/>
  <c r="G1040" i="3" s="1"/>
  <c r="U127" i="4" s="1"/>
  <c r="D1041" i="3"/>
  <c r="G1041" i="3" s="1"/>
  <c r="V127" i="4" s="1"/>
  <c r="D1042" i="3"/>
  <c r="G1042" i="3" s="1"/>
  <c r="W127" i="4" s="1"/>
  <c r="D1043" i="3"/>
  <c r="G1043" i="3" s="1"/>
  <c r="X127" i="4" s="1"/>
  <c r="D1044" i="3"/>
  <c r="G1044" i="3" s="1"/>
  <c r="Y127" i="4" s="1"/>
  <c r="D1045" i="3"/>
  <c r="G1045" i="3" s="1"/>
  <c r="Z127" i="4" s="1"/>
  <c r="D1046" i="3"/>
  <c r="G1046" i="3" s="1"/>
  <c r="AA127" i="4" s="1"/>
  <c r="D1047" i="3"/>
  <c r="G1047" i="3" s="1"/>
  <c r="AB127" i="4" s="1"/>
  <c r="D1048" i="3"/>
  <c r="G1048" i="3" s="1"/>
  <c r="AC127" i="4" s="1"/>
  <c r="D1049" i="3"/>
  <c r="G1049" i="3" s="1"/>
  <c r="AD127" i="4" s="1"/>
  <c r="D1050" i="3"/>
  <c r="G1050" i="3" s="1"/>
  <c r="AE127" i="4" s="1"/>
  <c r="D1051" i="3"/>
  <c r="G1051" i="3" s="1"/>
  <c r="AF127" i="4" s="1"/>
  <c r="D1052" i="3"/>
  <c r="G1052" i="3" s="1"/>
  <c r="AG127" i="4" s="1"/>
  <c r="D1053" i="3"/>
  <c r="G1053" i="3" s="1"/>
  <c r="AH127" i="4" s="1"/>
  <c r="D1054" i="3"/>
  <c r="G1054" i="3" s="1"/>
  <c r="AI127" i="4" s="1"/>
  <c r="D1055" i="3"/>
  <c r="G1055" i="3" s="1"/>
  <c r="AJ127" i="4" s="1"/>
  <c r="D1056" i="3"/>
  <c r="G1056" i="3" s="1"/>
  <c r="AK127" i="4" s="1"/>
  <c r="D1057" i="3"/>
  <c r="G1057" i="3" s="1"/>
  <c r="AL127" i="4" s="1"/>
  <c r="D1058" i="3"/>
  <c r="G1058" i="3" s="1"/>
  <c r="AM127" i="4" s="1"/>
  <c r="D1059" i="3"/>
  <c r="G1059" i="3" s="1"/>
  <c r="AN127" i="4" s="1"/>
  <c r="D1060" i="3"/>
  <c r="G1060" i="3" s="1"/>
  <c r="AO127" i="4" s="1"/>
  <c r="D1061" i="3"/>
  <c r="G1061" i="3" s="1"/>
  <c r="AP127" i="4" s="1"/>
  <c r="D1062" i="3"/>
  <c r="G1062" i="3" s="1"/>
  <c r="AQ127" i="4" s="1"/>
  <c r="D1063" i="3"/>
  <c r="G1063" i="3" s="1"/>
  <c r="AR127" i="4" s="1"/>
  <c r="D1064" i="3"/>
  <c r="G1064" i="3" s="1"/>
  <c r="AS127" i="4" s="1"/>
  <c r="D1065" i="3"/>
  <c r="G1065" i="3" s="1"/>
  <c r="AT127" i="4" s="1"/>
  <c r="D1066" i="3"/>
  <c r="G1066" i="3" s="1"/>
  <c r="AU127" i="4" s="1"/>
  <c r="D1067" i="3"/>
  <c r="G1067" i="3" s="1"/>
  <c r="AV127" i="4" s="1"/>
  <c r="D1068" i="3"/>
  <c r="G1068" i="3" s="1"/>
  <c r="AW127" i="4" s="1"/>
  <c r="D1069" i="3"/>
  <c r="G1069" i="3" s="1"/>
  <c r="AX127" i="4" s="1"/>
  <c r="D1070" i="3"/>
  <c r="G1070" i="3" s="1"/>
  <c r="AY127" i="4" s="1"/>
  <c r="D1071" i="3"/>
  <c r="G1071" i="3" s="1"/>
  <c r="AZ127" i="4" s="1"/>
  <c r="D1072" i="3"/>
  <c r="G1072" i="3" s="1"/>
  <c r="BA127" i="4" s="1"/>
  <c r="D1073" i="3"/>
  <c r="G1073" i="3" s="1"/>
  <c r="BB127" i="4" s="1"/>
  <c r="D1074" i="3"/>
  <c r="G1074" i="3" s="1"/>
  <c r="BC127" i="4" s="1"/>
  <c r="D1075" i="3"/>
  <c r="G1075" i="3" s="1"/>
  <c r="BD127" i="4" s="1"/>
  <c r="D1076" i="3"/>
  <c r="G1076" i="3" s="1"/>
  <c r="BE127" i="4" s="1"/>
  <c r="D1077" i="3"/>
  <c r="G1077" i="3" s="1"/>
  <c r="BF127" i="4" s="1"/>
  <c r="D1078" i="3"/>
  <c r="G1078" i="3" s="1"/>
  <c r="BG127" i="4" s="1"/>
  <c r="D1079" i="3"/>
  <c r="G1079" i="3" s="1"/>
  <c r="BH127" i="4" s="1"/>
  <c r="D1080" i="3"/>
  <c r="G1080" i="3" s="1"/>
  <c r="BI127" i="4" s="1"/>
  <c r="D1081" i="3"/>
  <c r="G1081" i="3" s="1"/>
  <c r="BJ127" i="4" s="1"/>
  <c r="D1082" i="3"/>
  <c r="G1082" i="3" s="1"/>
  <c r="C128" i="4" s="1"/>
  <c r="D1083" i="3"/>
  <c r="G1083" i="3" s="1"/>
  <c r="D128" i="4" s="1"/>
  <c r="D1084" i="3"/>
  <c r="G1084" i="3" s="1"/>
  <c r="E128" i="4" s="1"/>
  <c r="D1085" i="3"/>
  <c r="G1085" i="3" s="1"/>
  <c r="F128" i="4" s="1"/>
  <c r="D1086" i="3"/>
  <c r="G1086" i="3" s="1"/>
  <c r="G128" i="4" s="1"/>
  <c r="D1087" i="3"/>
  <c r="G1087" i="3" s="1"/>
  <c r="H128" i="4" s="1"/>
  <c r="D1088" i="3"/>
  <c r="G1088" i="3" s="1"/>
  <c r="I128" i="4" s="1"/>
  <c r="D1089" i="3"/>
  <c r="G1089" i="3" s="1"/>
  <c r="J128" i="4" s="1"/>
  <c r="D1090" i="3"/>
  <c r="G1090" i="3" s="1"/>
  <c r="K128" i="4" s="1"/>
  <c r="D1091" i="3"/>
  <c r="G1091" i="3" s="1"/>
  <c r="L128" i="4" s="1"/>
  <c r="D1092" i="3"/>
  <c r="G1092" i="3" s="1"/>
  <c r="M128" i="4" s="1"/>
  <c r="D1093" i="3"/>
  <c r="G1093" i="3" s="1"/>
  <c r="N128" i="4" s="1"/>
  <c r="D1094" i="3"/>
  <c r="G1094" i="3" s="1"/>
  <c r="O128" i="4" s="1"/>
  <c r="D1095" i="3"/>
  <c r="G1095" i="3" s="1"/>
  <c r="P128" i="4" s="1"/>
  <c r="D1096" i="3"/>
  <c r="G1096" i="3" s="1"/>
  <c r="Q128" i="4" s="1"/>
  <c r="D1097" i="3"/>
  <c r="G1097" i="3" s="1"/>
  <c r="R128" i="4" s="1"/>
  <c r="D1098" i="3"/>
  <c r="G1098" i="3" s="1"/>
  <c r="S128" i="4" s="1"/>
  <c r="D1099" i="3"/>
  <c r="G1099" i="3" s="1"/>
  <c r="T128" i="4" s="1"/>
  <c r="D1100" i="3"/>
  <c r="G1100" i="3" s="1"/>
  <c r="U128" i="4" s="1"/>
  <c r="D1101" i="3"/>
  <c r="G1101" i="3" s="1"/>
  <c r="V128" i="4" s="1"/>
  <c r="D1102" i="3"/>
  <c r="G1102" i="3" s="1"/>
  <c r="W128" i="4" s="1"/>
  <c r="D1103" i="3"/>
  <c r="G1103" i="3" s="1"/>
  <c r="X128" i="4" s="1"/>
  <c r="D1104" i="3"/>
  <c r="G1104" i="3" s="1"/>
  <c r="Y128" i="4" s="1"/>
  <c r="D1105" i="3"/>
  <c r="G1105" i="3" s="1"/>
  <c r="Z128" i="4" s="1"/>
  <c r="D1106" i="3"/>
  <c r="G1106" i="3" s="1"/>
  <c r="AA128" i="4" s="1"/>
  <c r="D1107" i="3"/>
  <c r="G1107" i="3" s="1"/>
  <c r="AB128" i="4" s="1"/>
  <c r="D1108" i="3"/>
  <c r="G1108" i="3" s="1"/>
  <c r="AC128" i="4" s="1"/>
  <c r="D1109" i="3"/>
  <c r="G1109" i="3" s="1"/>
  <c r="AD128" i="4" s="1"/>
  <c r="D1110" i="3"/>
  <c r="G1110" i="3" s="1"/>
  <c r="AE128" i="4" s="1"/>
  <c r="D1111" i="3"/>
  <c r="G1111" i="3" s="1"/>
  <c r="AF128" i="4" s="1"/>
  <c r="D1112" i="3"/>
  <c r="G1112" i="3" s="1"/>
  <c r="AG128" i="4" s="1"/>
  <c r="D1113" i="3"/>
  <c r="G1113" i="3" s="1"/>
  <c r="AH128" i="4" s="1"/>
  <c r="D1114" i="3"/>
  <c r="G1114" i="3" s="1"/>
  <c r="AI128" i="4" s="1"/>
  <c r="D1115" i="3"/>
  <c r="G1115" i="3" s="1"/>
  <c r="AJ128" i="4" s="1"/>
  <c r="D1116" i="3"/>
  <c r="G1116" i="3" s="1"/>
  <c r="AK128" i="4" s="1"/>
  <c r="D1117" i="3"/>
  <c r="G1117" i="3" s="1"/>
  <c r="AL128" i="4" s="1"/>
  <c r="D1118" i="3"/>
  <c r="G1118" i="3" s="1"/>
  <c r="AM128" i="4" s="1"/>
  <c r="D1119" i="3"/>
  <c r="G1119" i="3" s="1"/>
  <c r="AN128" i="4" s="1"/>
  <c r="D1120" i="3"/>
  <c r="G1120" i="3" s="1"/>
  <c r="AO128" i="4" s="1"/>
  <c r="D1121" i="3"/>
  <c r="G1121" i="3" s="1"/>
  <c r="AP128" i="4" s="1"/>
  <c r="D1122" i="3"/>
  <c r="G1122" i="3" s="1"/>
  <c r="AQ128" i="4" s="1"/>
  <c r="D1123" i="3"/>
  <c r="G1123" i="3" s="1"/>
  <c r="AR128" i="4" s="1"/>
  <c r="D1124" i="3"/>
  <c r="G1124" i="3" s="1"/>
  <c r="AS128" i="4" s="1"/>
  <c r="D1125" i="3"/>
  <c r="G1125" i="3" s="1"/>
  <c r="AT128" i="4" s="1"/>
  <c r="D1126" i="3"/>
  <c r="G1126" i="3" s="1"/>
  <c r="AU128" i="4" s="1"/>
  <c r="D1127" i="3"/>
  <c r="G1127" i="3" s="1"/>
  <c r="AV128" i="4" s="1"/>
  <c r="D1128" i="3"/>
  <c r="G1128" i="3" s="1"/>
  <c r="AW128" i="4" s="1"/>
  <c r="D1129" i="3"/>
  <c r="G1129" i="3" s="1"/>
  <c r="AX128" i="4" s="1"/>
  <c r="D1130" i="3"/>
  <c r="G1130" i="3" s="1"/>
  <c r="AY128" i="4" s="1"/>
  <c r="D1131" i="3"/>
  <c r="G1131" i="3" s="1"/>
  <c r="AZ128" i="4" s="1"/>
  <c r="D1132" i="3"/>
  <c r="G1132" i="3" s="1"/>
  <c r="BA128" i="4" s="1"/>
  <c r="D1133" i="3"/>
  <c r="G1133" i="3" s="1"/>
  <c r="BB128" i="4" s="1"/>
  <c r="D1134" i="3"/>
  <c r="G1134" i="3" s="1"/>
  <c r="BC128" i="4" s="1"/>
  <c r="D1135" i="3"/>
  <c r="G1135" i="3" s="1"/>
  <c r="BD128" i="4" s="1"/>
  <c r="D1136" i="3"/>
  <c r="G1136" i="3" s="1"/>
  <c r="BE128" i="4" s="1"/>
  <c r="D1137" i="3"/>
  <c r="G1137" i="3" s="1"/>
  <c r="BF128" i="4" s="1"/>
  <c r="D1138" i="3"/>
  <c r="G1138" i="3" s="1"/>
  <c r="BG128" i="4" s="1"/>
  <c r="D1139" i="3"/>
  <c r="G1139" i="3" s="1"/>
  <c r="BH128" i="4" s="1"/>
  <c r="D1140" i="3"/>
  <c r="G1140" i="3" s="1"/>
  <c r="BI128" i="4" s="1"/>
  <c r="D1141" i="3"/>
  <c r="G1141" i="3" s="1"/>
  <c r="BJ128" i="4" s="1"/>
  <c r="D1142" i="3"/>
  <c r="G1142" i="3" s="1"/>
  <c r="C129" i="4" s="1"/>
  <c r="D1143" i="3"/>
  <c r="G1143" i="3" s="1"/>
  <c r="D129" i="4" s="1"/>
  <c r="D1144" i="3"/>
  <c r="G1144" i="3" s="1"/>
  <c r="E129" i="4" s="1"/>
  <c r="D1145" i="3"/>
  <c r="G1145" i="3" s="1"/>
  <c r="F129" i="4" s="1"/>
  <c r="D1146" i="3"/>
  <c r="G1146" i="3" s="1"/>
  <c r="G129" i="4" s="1"/>
  <c r="D1147" i="3"/>
  <c r="G1147" i="3" s="1"/>
  <c r="H129" i="4" s="1"/>
  <c r="D1148" i="3"/>
  <c r="G1148" i="3" s="1"/>
  <c r="I129" i="4" s="1"/>
  <c r="D1149" i="3"/>
  <c r="G1149" i="3" s="1"/>
  <c r="J129" i="4" s="1"/>
  <c r="D1150" i="3"/>
  <c r="G1150" i="3" s="1"/>
  <c r="K129" i="4" s="1"/>
  <c r="D1151" i="3"/>
  <c r="G1151" i="3" s="1"/>
  <c r="L129" i="4" s="1"/>
  <c r="D1152" i="3"/>
  <c r="G1152" i="3" s="1"/>
  <c r="M129" i="4" s="1"/>
  <c r="D1153" i="3"/>
  <c r="G1153" i="3" s="1"/>
  <c r="N129" i="4" s="1"/>
  <c r="D1154" i="3"/>
  <c r="G1154" i="3" s="1"/>
  <c r="O129" i="4" s="1"/>
  <c r="D1155" i="3"/>
  <c r="G1155" i="3" s="1"/>
  <c r="P129" i="4" s="1"/>
  <c r="D1156" i="3"/>
  <c r="G1156" i="3" s="1"/>
  <c r="Q129" i="4" s="1"/>
  <c r="D1157" i="3"/>
  <c r="G1157" i="3" s="1"/>
  <c r="R129" i="4" s="1"/>
  <c r="D1158" i="3"/>
  <c r="G1158" i="3" s="1"/>
  <c r="S129" i="4" s="1"/>
  <c r="D1159" i="3"/>
  <c r="G1159" i="3" s="1"/>
  <c r="T129" i="4" s="1"/>
  <c r="D1160" i="3"/>
  <c r="G1160" i="3" s="1"/>
  <c r="U129" i="4" s="1"/>
  <c r="D1161" i="3"/>
  <c r="G1161" i="3" s="1"/>
  <c r="V129" i="4" s="1"/>
  <c r="D1162" i="3"/>
  <c r="G1162" i="3" s="1"/>
  <c r="W129" i="4" s="1"/>
  <c r="D1163" i="3"/>
  <c r="G1163" i="3" s="1"/>
  <c r="X129" i="4" s="1"/>
  <c r="D1164" i="3"/>
  <c r="G1164" i="3" s="1"/>
  <c r="Y129" i="4" s="1"/>
  <c r="D1165" i="3"/>
  <c r="G1165" i="3" s="1"/>
  <c r="Z129" i="4" s="1"/>
  <c r="D1166" i="3"/>
  <c r="G1166" i="3" s="1"/>
  <c r="AA129" i="4" s="1"/>
  <c r="D1167" i="3"/>
  <c r="G1167" i="3" s="1"/>
  <c r="AB129" i="4" s="1"/>
  <c r="D1168" i="3"/>
  <c r="G1168" i="3" s="1"/>
  <c r="AC129" i="4" s="1"/>
  <c r="D1169" i="3"/>
  <c r="G1169" i="3" s="1"/>
  <c r="AD129" i="4" s="1"/>
  <c r="D1170" i="3"/>
  <c r="G1170" i="3" s="1"/>
  <c r="AE129" i="4" s="1"/>
  <c r="D1171" i="3"/>
  <c r="G1171" i="3" s="1"/>
  <c r="AF129" i="4" s="1"/>
  <c r="D1172" i="3"/>
  <c r="G1172" i="3" s="1"/>
  <c r="AG129" i="4" s="1"/>
  <c r="D1173" i="3"/>
  <c r="G1173" i="3" s="1"/>
  <c r="AH129" i="4" s="1"/>
  <c r="D1174" i="3"/>
  <c r="G1174" i="3" s="1"/>
  <c r="AI129" i="4" s="1"/>
  <c r="D1175" i="3"/>
  <c r="G1175" i="3" s="1"/>
  <c r="AJ129" i="4" s="1"/>
  <c r="D1176" i="3"/>
  <c r="G1176" i="3" s="1"/>
  <c r="AK129" i="4" s="1"/>
  <c r="D1177" i="3"/>
  <c r="G1177" i="3" s="1"/>
  <c r="AL129" i="4" s="1"/>
  <c r="D1178" i="3"/>
  <c r="G1178" i="3" s="1"/>
  <c r="AM129" i="4" s="1"/>
  <c r="D1179" i="3"/>
  <c r="G1179" i="3" s="1"/>
  <c r="AN129" i="4" s="1"/>
  <c r="D1180" i="3"/>
  <c r="G1180" i="3" s="1"/>
  <c r="AO129" i="4" s="1"/>
  <c r="D1181" i="3"/>
  <c r="G1181" i="3" s="1"/>
  <c r="AP129" i="4" s="1"/>
  <c r="D1182" i="3"/>
  <c r="G1182" i="3" s="1"/>
  <c r="AQ129" i="4" s="1"/>
  <c r="D1183" i="3"/>
  <c r="G1183" i="3" s="1"/>
  <c r="AR129" i="4" s="1"/>
  <c r="D1184" i="3"/>
  <c r="G1184" i="3" s="1"/>
  <c r="AS129" i="4" s="1"/>
  <c r="D1185" i="3"/>
  <c r="G1185" i="3" s="1"/>
  <c r="AT129" i="4" s="1"/>
  <c r="D1186" i="3"/>
  <c r="G1186" i="3" s="1"/>
  <c r="AU129" i="4" s="1"/>
  <c r="D1187" i="3"/>
  <c r="G1187" i="3" s="1"/>
  <c r="AV129" i="4" s="1"/>
  <c r="D1188" i="3"/>
  <c r="G1188" i="3" s="1"/>
  <c r="AW129" i="4" s="1"/>
  <c r="D1189" i="3"/>
  <c r="G1189" i="3" s="1"/>
  <c r="AX129" i="4" s="1"/>
  <c r="D1190" i="3"/>
  <c r="G1190" i="3" s="1"/>
  <c r="AY129" i="4" s="1"/>
  <c r="D1191" i="3"/>
  <c r="G1191" i="3" s="1"/>
  <c r="AZ129" i="4" s="1"/>
  <c r="D1192" i="3"/>
  <c r="G1192" i="3" s="1"/>
  <c r="BA129" i="4" s="1"/>
  <c r="D1193" i="3"/>
  <c r="G1193" i="3" s="1"/>
  <c r="BB129" i="4" s="1"/>
  <c r="D1194" i="3"/>
  <c r="G1194" i="3" s="1"/>
  <c r="BC129" i="4" s="1"/>
  <c r="D1195" i="3"/>
  <c r="G1195" i="3" s="1"/>
  <c r="BD129" i="4" s="1"/>
  <c r="D1196" i="3"/>
  <c r="G1196" i="3" s="1"/>
  <c r="BE129" i="4" s="1"/>
  <c r="D1197" i="3"/>
  <c r="G1197" i="3" s="1"/>
  <c r="BF129" i="4" s="1"/>
  <c r="D1198" i="3"/>
  <c r="G1198" i="3" s="1"/>
  <c r="BG129" i="4" s="1"/>
  <c r="D1199" i="3"/>
  <c r="G1199" i="3" s="1"/>
  <c r="BH129" i="4" s="1"/>
  <c r="D1200" i="3"/>
  <c r="G1200" i="3" s="1"/>
  <c r="BI129" i="4" s="1"/>
  <c r="D1201" i="3"/>
  <c r="G1201" i="3" s="1"/>
  <c r="BJ129" i="4" s="1"/>
  <c r="D1202" i="3"/>
  <c r="G1202" i="3" s="1"/>
  <c r="C130" i="4" s="1"/>
  <c r="D1203" i="3"/>
  <c r="G1203" i="3" s="1"/>
  <c r="D130" i="4" s="1"/>
  <c r="D1204" i="3"/>
  <c r="G1204" i="3" s="1"/>
  <c r="E130" i="4" s="1"/>
  <c r="D1205" i="3"/>
  <c r="G1205" i="3" s="1"/>
  <c r="F130" i="4" s="1"/>
  <c r="D1206" i="3"/>
  <c r="G1206" i="3" s="1"/>
  <c r="G130" i="4" s="1"/>
  <c r="D1207" i="3"/>
  <c r="G1207" i="3" s="1"/>
  <c r="H130" i="4" s="1"/>
  <c r="D1208" i="3"/>
  <c r="G1208" i="3" s="1"/>
  <c r="I130" i="4" s="1"/>
  <c r="D1209" i="3"/>
  <c r="G1209" i="3" s="1"/>
  <c r="J130" i="4" s="1"/>
  <c r="D1210" i="3"/>
  <c r="G1210" i="3" s="1"/>
  <c r="K130" i="4" s="1"/>
  <c r="D1211" i="3"/>
  <c r="G1211" i="3" s="1"/>
  <c r="L130" i="4" s="1"/>
  <c r="D1212" i="3"/>
  <c r="G1212" i="3" s="1"/>
  <c r="M130" i="4" s="1"/>
  <c r="D1213" i="3"/>
  <c r="G1213" i="3" s="1"/>
  <c r="N130" i="4" s="1"/>
  <c r="D1214" i="3"/>
  <c r="G1214" i="3" s="1"/>
  <c r="O130" i="4" s="1"/>
  <c r="D1215" i="3"/>
  <c r="G1215" i="3" s="1"/>
  <c r="P130" i="4" s="1"/>
  <c r="D1216" i="3"/>
  <c r="G1216" i="3" s="1"/>
  <c r="Q130" i="4" s="1"/>
  <c r="D1217" i="3"/>
  <c r="G1217" i="3" s="1"/>
  <c r="R130" i="4" s="1"/>
  <c r="D1218" i="3"/>
  <c r="G1218" i="3" s="1"/>
  <c r="S130" i="4" s="1"/>
  <c r="D1219" i="3"/>
  <c r="G1219" i="3" s="1"/>
  <c r="T130" i="4" s="1"/>
  <c r="D1220" i="3"/>
  <c r="G1220" i="3" s="1"/>
  <c r="U130" i="4" s="1"/>
  <c r="D1221" i="3"/>
  <c r="G1221" i="3" s="1"/>
  <c r="V130" i="4" s="1"/>
  <c r="D1222" i="3"/>
  <c r="G1222" i="3" s="1"/>
  <c r="W130" i="4" s="1"/>
  <c r="D1223" i="3"/>
  <c r="G1223" i="3" s="1"/>
  <c r="X130" i="4" s="1"/>
  <c r="D1224" i="3"/>
  <c r="G1224" i="3" s="1"/>
  <c r="Y130" i="4" s="1"/>
  <c r="D1225" i="3"/>
  <c r="G1225" i="3" s="1"/>
  <c r="Z130" i="4" s="1"/>
  <c r="D1226" i="3"/>
  <c r="G1226" i="3" s="1"/>
  <c r="AA130" i="4" s="1"/>
  <c r="D1227" i="3"/>
  <c r="G1227" i="3" s="1"/>
  <c r="AB130" i="4" s="1"/>
  <c r="D1228" i="3"/>
  <c r="G1228" i="3" s="1"/>
  <c r="AC130" i="4" s="1"/>
  <c r="D1229" i="3"/>
  <c r="G1229" i="3" s="1"/>
  <c r="AD130" i="4" s="1"/>
  <c r="D1230" i="3"/>
  <c r="G1230" i="3" s="1"/>
  <c r="AE130" i="4" s="1"/>
  <c r="D1231" i="3"/>
  <c r="G1231" i="3" s="1"/>
  <c r="AF130" i="4" s="1"/>
  <c r="D1232" i="3"/>
  <c r="G1232" i="3" s="1"/>
  <c r="AG130" i="4" s="1"/>
  <c r="D1233" i="3"/>
  <c r="G1233" i="3" s="1"/>
  <c r="AH130" i="4" s="1"/>
  <c r="D1234" i="3"/>
  <c r="G1234" i="3" s="1"/>
  <c r="AI130" i="4" s="1"/>
  <c r="D1235" i="3"/>
  <c r="G1235" i="3" s="1"/>
  <c r="AJ130" i="4" s="1"/>
  <c r="D1236" i="3"/>
  <c r="G1236" i="3" s="1"/>
  <c r="AK130" i="4" s="1"/>
  <c r="D1237" i="3"/>
  <c r="G1237" i="3" s="1"/>
  <c r="AL130" i="4" s="1"/>
  <c r="D1238" i="3"/>
  <c r="G1238" i="3" s="1"/>
  <c r="AM130" i="4" s="1"/>
  <c r="D1239" i="3"/>
  <c r="G1239" i="3" s="1"/>
  <c r="AN130" i="4" s="1"/>
  <c r="D1240" i="3"/>
  <c r="G1240" i="3" s="1"/>
  <c r="AO130" i="4" s="1"/>
  <c r="D1241" i="3"/>
  <c r="G1241" i="3" s="1"/>
  <c r="AP130" i="4" s="1"/>
  <c r="D1242" i="3"/>
  <c r="G1242" i="3" s="1"/>
  <c r="AQ130" i="4" s="1"/>
  <c r="D1243" i="3"/>
  <c r="G1243" i="3" s="1"/>
  <c r="AR130" i="4" s="1"/>
  <c r="D1244" i="3"/>
  <c r="G1244" i="3" s="1"/>
  <c r="AS130" i="4" s="1"/>
  <c r="D1245" i="3"/>
  <c r="G1245" i="3" s="1"/>
  <c r="AT130" i="4" s="1"/>
  <c r="D1246" i="3"/>
  <c r="G1246" i="3" s="1"/>
  <c r="AU130" i="4" s="1"/>
  <c r="D1247" i="3"/>
  <c r="G1247" i="3" s="1"/>
  <c r="AV130" i="4" s="1"/>
  <c r="D1248" i="3"/>
  <c r="G1248" i="3" s="1"/>
  <c r="AW130" i="4" s="1"/>
  <c r="D1249" i="3"/>
  <c r="G1249" i="3" s="1"/>
  <c r="AX130" i="4" s="1"/>
  <c r="D1250" i="3"/>
  <c r="G1250" i="3" s="1"/>
  <c r="AY130" i="4" s="1"/>
  <c r="D1251" i="3"/>
  <c r="G1251" i="3" s="1"/>
  <c r="AZ130" i="4" s="1"/>
  <c r="D1252" i="3"/>
  <c r="G1252" i="3" s="1"/>
  <c r="BA130" i="4" s="1"/>
  <c r="D1253" i="3"/>
  <c r="G1253" i="3" s="1"/>
  <c r="BB130" i="4" s="1"/>
  <c r="D1254" i="3"/>
  <c r="G1254" i="3" s="1"/>
  <c r="BC130" i="4" s="1"/>
  <c r="D1255" i="3"/>
  <c r="G1255" i="3" s="1"/>
  <c r="BD130" i="4" s="1"/>
  <c r="D1256" i="3"/>
  <c r="G1256" i="3" s="1"/>
  <c r="BE130" i="4" s="1"/>
  <c r="D1257" i="3"/>
  <c r="G1257" i="3" s="1"/>
  <c r="BF130" i="4" s="1"/>
  <c r="D1258" i="3"/>
  <c r="G1258" i="3" s="1"/>
  <c r="BG130" i="4" s="1"/>
  <c r="D1259" i="3"/>
  <c r="G1259" i="3" s="1"/>
  <c r="BH130" i="4" s="1"/>
  <c r="D1260" i="3"/>
  <c r="G1260" i="3" s="1"/>
  <c r="BI130" i="4" s="1"/>
  <c r="D1261" i="3"/>
  <c r="G1261" i="3" s="1"/>
  <c r="BJ130" i="4" s="1"/>
  <c r="D1262" i="3"/>
  <c r="G1262" i="3" s="1"/>
  <c r="C131" i="4" s="1"/>
  <c r="D1263" i="3"/>
  <c r="G1263" i="3" s="1"/>
  <c r="D131" i="4" s="1"/>
  <c r="D1264" i="3"/>
  <c r="G1264" i="3" s="1"/>
  <c r="E131" i="4" s="1"/>
  <c r="D1265" i="3"/>
  <c r="G1265" i="3" s="1"/>
  <c r="F131" i="4" s="1"/>
  <c r="D1266" i="3"/>
  <c r="G1266" i="3" s="1"/>
  <c r="G131" i="4" s="1"/>
  <c r="D1267" i="3"/>
  <c r="G1267" i="3" s="1"/>
  <c r="H131" i="4" s="1"/>
  <c r="D1268" i="3"/>
  <c r="G1268" i="3" s="1"/>
  <c r="I131" i="4" s="1"/>
  <c r="D1269" i="3"/>
  <c r="G1269" i="3" s="1"/>
  <c r="J131" i="4" s="1"/>
  <c r="D1270" i="3"/>
  <c r="G1270" i="3" s="1"/>
  <c r="K131" i="4" s="1"/>
  <c r="D1271" i="3"/>
  <c r="G1271" i="3" s="1"/>
  <c r="L131" i="4" s="1"/>
  <c r="D1272" i="3"/>
  <c r="G1272" i="3" s="1"/>
  <c r="M131" i="4" s="1"/>
  <c r="D1273" i="3"/>
  <c r="G1273" i="3" s="1"/>
  <c r="N131" i="4" s="1"/>
  <c r="D1274" i="3"/>
  <c r="G1274" i="3" s="1"/>
  <c r="O131" i="4" s="1"/>
  <c r="D1275" i="3"/>
  <c r="G1275" i="3" s="1"/>
  <c r="P131" i="4" s="1"/>
  <c r="D1276" i="3"/>
  <c r="G1276" i="3" s="1"/>
  <c r="Q131" i="4" s="1"/>
  <c r="D1277" i="3"/>
  <c r="G1277" i="3" s="1"/>
  <c r="R131" i="4" s="1"/>
  <c r="D1278" i="3"/>
  <c r="G1278" i="3" s="1"/>
  <c r="S131" i="4" s="1"/>
  <c r="D1279" i="3"/>
  <c r="G1279" i="3" s="1"/>
  <c r="T131" i="4" s="1"/>
  <c r="D1280" i="3"/>
  <c r="G1280" i="3" s="1"/>
  <c r="U131" i="4" s="1"/>
  <c r="D1281" i="3"/>
  <c r="G1281" i="3" s="1"/>
  <c r="V131" i="4" s="1"/>
  <c r="D1282" i="3"/>
  <c r="G1282" i="3" s="1"/>
  <c r="W131" i="4" s="1"/>
  <c r="D1283" i="3"/>
  <c r="G1283" i="3" s="1"/>
  <c r="X131" i="4" s="1"/>
  <c r="D1284" i="3"/>
  <c r="G1284" i="3" s="1"/>
  <c r="Y131" i="4" s="1"/>
  <c r="D1285" i="3"/>
  <c r="G1285" i="3" s="1"/>
  <c r="Z131" i="4" s="1"/>
  <c r="D1286" i="3"/>
  <c r="G1286" i="3" s="1"/>
  <c r="AA131" i="4" s="1"/>
  <c r="D1287" i="3"/>
  <c r="G1287" i="3" s="1"/>
  <c r="AB131" i="4" s="1"/>
  <c r="D1288" i="3"/>
  <c r="G1288" i="3" s="1"/>
  <c r="AC131" i="4" s="1"/>
  <c r="D1289" i="3"/>
  <c r="G1289" i="3" s="1"/>
  <c r="AD131" i="4" s="1"/>
  <c r="D1290" i="3"/>
  <c r="G1290" i="3" s="1"/>
  <c r="AE131" i="4" s="1"/>
  <c r="D1291" i="3"/>
  <c r="G1291" i="3" s="1"/>
  <c r="AF131" i="4" s="1"/>
  <c r="D1292" i="3"/>
  <c r="G1292" i="3" s="1"/>
  <c r="AG131" i="4" s="1"/>
  <c r="D1293" i="3"/>
  <c r="G1293" i="3" s="1"/>
  <c r="AH131" i="4" s="1"/>
  <c r="D1294" i="3"/>
  <c r="G1294" i="3" s="1"/>
  <c r="AI131" i="4" s="1"/>
  <c r="D1295" i="3"/>
  <c r="G1295" i="3" s="1"/>
  <c r="AJ131" i="4" s="1"/>
  <c r="D1296" i="3"/>
  <c r="G1296" i="3" s="1"/>
  <c r="AK131" i="4" s="1"/>
  <c r="D1297" i="3"/>
  <c r="G1297" i="3" s="1"/>
  <c r="AL131" i="4" s="1"/>
  <c r="D1298" i="3"/>
  <c r="G1298" i="3" s="1"/>
  <c r="AM131" i="4" s="1"/>
  <c r="D1299" i="3"/>
  <c r="G1299" i="3" s="1"/>
  <c r="AN131" i="4" s="1"/>
  <c r="D1300" i="3"/>
  <c r="G1300" i="3" s="1"/>
  <c r="AO131" i="4" s="1"/>
  <c r="D1301" i="3"/>
  <c r="G1301" i="3" s="1"/>
  <c r="AP131" i="4" s="1"/>
  <c r="D1302" i="3"/>
  <c r="G1302" i="3" s="1"/>
  <c r="AQ131" i="4" s="1"/>
  <c r="D1303" i="3"/>
  <c r="G1303" i="3" s="1"/>
  <c r="AR131" i="4" s="1"/>
  <c r="D1304" i="3"/>
  <c r="G1304" i="3" s="1"/>
  <c r="AS131" i="4" s="1"/>
  <c r="D1305" i="3"/>
  <c r="G1305" i="3" s="1"/>
  <c r="AT131" i="4" s="1"/>
  <c r="D1306" i="3"/>
  <c r="G1306" i="3" s="1"/>
  <c r="AU131" i="4" s="1"/>
  <c r="D1307" i="3"/>
  <c r="G1307" i="3" s="1"/>
  <c r="AV131" i="4" s="1"/>
  <c r="D1308" i="3"/>
  <c r="G1308" i="3" s="1"/>
  <c r="AW131" i="4" s="1"/>
  <c r="D1309" i="3"/>
  <c r="G1309" i="3" s="1"/>
  <c r="AX131" i="4" s="1"/>
  <c r="D1310" i="3"/>
  <c r="G1310" i="3" s="1"/>
  <c r="AY131" i="4" s="1"/>
  <c r="D1311" i="3"/>
  <c r="G1311" i="3" s="1"/>
  <c r="AZ131" i="4" s="1"/>
  <c r="D1312" i="3"/>
  <c r="G1312" i="3" s="1"/>
  <c r="BA131" i="4" s="1"/>
  <c r="D1313" i="3"/>
  <c r="G1313" i="3" s="1"/>
  <c r="BB131" i="4" s="1"/>
  <c r="D1314" i="3"/>
  <c r="G1314" i="3" s="1"/>
  <c r="BC131" i="4" s="1"/>
  <c r="D1315" i="3"/>
  <c r="G1315" i="3" s="1"/>
  <c r="BD131" i="4" s="1"/>
  <c r="D1316" i="3"/>
  <c r="G1316" i="3" s="1"/>
  <c r="BE131" i="4" s="1"/>
  <c r="D1317" i="3"/>
  <c r="G1317" i="3" s="1"/>
  <c r="BF131" i="4" s="1"/>
  <c r="D1318" i="3"/>
  <c r="G1318" i="3" s="1"/>
  <c r="BG131" i="4" s="1"/>
  <c r="D1319" i="3"/>
  <c r="G1319" i="3" s="1"/>
  <c r="BH131" i="4" s="1"/>
  <c r="D1320" i="3"/>
  <c r="G1320" i="3" s="1"/>
  <c r="BI131" i="4" s="1"/>
  <c r="D1321" i="3"/>
  <c r="G1321" i="3" s="1"/>
  <c r="BJ131" i="4" s="1"/>
  <c r="D1322" i="3"/>
  <c r="G1322" i="3" s="1"/>
  <c r="C132" i="4" s="1"/>
  <c r="D1323" i="3"/>
  <c r="G1323" i="3" s="1"/>
  <c r="D132" i="4" s="1"/>
  <c r="D1324" i="3"/>
  <c r="G1324" i="3" s="1"/>
  <c r="E132" i="4" s="1"/>
  <c r="D1325" i="3"/>
  <c r="G1325" i="3" s="1"/>
  <c r="F132" i="4" s="1"/>
  <c r="D1326" i="3"/>
  <c r="G1326" i="3" s="1"/>
  <c r="G132" i="4" s="1"/>
  <c r="D1327" i="3"/>
  <c r="G1327" i="3" s="1"/>
  <c r="H132" i="4" s="1"/>
  <c r="D1328" i="3"/>
  <c r="G1328" i="3" s="1"/>
  <c r="I132" i="4" s="1"/>
  <c r="D1329" i="3"/>
  <c r="G1329" i="3" s="1"/>
  <c r="J132" i="4" s="1"/>
  <c r="D1330" i="3"/>
  <c r="G1330" i="3" s="1"/>
  <c r="K132" i="4" s="1"/>
  <c r="D1331" i="3"/>
  <c r="G1331" i="3" s="1"/>
  <c r="L132" i="4" s="1"/>
  <c r="D1332" i="3"/>
  <c r="G1332" i="3" s="1"/>
  <c r="M132" i="4" s="1"/>
  <c r="D1333" i="3"/>
  <c r="G1333" i="3" s="1"/>
  <c r="N132" i="4" s="1"/>
  <c r="D1334" i="3"/>
  <c r="G1334" i="3" s="1"/>
  <c r="O132" i="4" s="1"/>
  <c r="D1335" i="3"/>
  <c r="G1335" i="3" s="1"/>
  <c r="P132" i="4" s="1"/>
  <c r="D1336" i="3"/>
  <c r="G1336" i="3" s="1"/>
  <c r="Q132" i="4" s="1"/>
  <c r="D1337" i="3"/>
  <c r="G1337" i="3" s="1"/>
  <c r="R132" i="4" s="1"/>
  <c r="D1338" i="3"/>
  <c r="G1338" i="3" s="1"/>
  <c r="S132" i="4" s="1"/>
  <c r="D1339" i="3"/>
  <c r="G1339" i="3" s="1"/>
  <c r="T132" i="4" s="1"/>
  <c r="D1340" i="3"/>
  <c r="G1340" i="3" s="1"/>
  <c r="U132" i="4" s="1"/>
  <c r="D1341" i="3"/>
  <c r="G1341" i="3" s="1"/>
  <c r="V132" i="4" s="1"/>
  <c r="D1342" i="3"/>
  <c r="G1342" i="3" s="1"/>
  <c r="W132" i="4" s="1"/>
  <c r="D1343" i="3"/>
  <c r="G1343" i="3" s="1"/>
  <c r="X132" i="4" s="1"/>
  <c r="D1344" i="3"/>
  <c r="G1344" i="3" s="1"/>
  <c r="Y132" i="4" s="1"/>
  <c r="D1345" i="3"/>
  <c r="G1345" i="3" s="1"/>
  <c r="Z132" i="4" s="1"/>
  <c r="D1346" i="3"/>
  <c r="G1346" i="3" s="1"/>
  <c r="AA132" i="4" s="1"/>
  <c r="D1347" i="3"/>
  <c r="G1347" i="3" s="1"/>
  <c r="AB132" i="4" s="1"/>
  <c r="D1348" i="3"/>
  <c r="G1348" i="3" s="1"/>
  <c r="AC132" i="4" s="1"/>
  <c r="D1349" i="3"/>
  <c r="G1349" i="3" s="1"/>
  <c r="AD132" i="4" s="1"/>
  <c r="D1350" i="3"/>
  <c r="G1350" i="3" s="1"/>
  <c r="AE132" i="4" s="1"/>
  <c r="D1351" i="3"/>
  <c r="G1351" i="3" s="1"/>
  <c r="AF132" i="4" s="1"/>
  <c r="D1352" i="3"/>
  <c r="G1352" i="3" s="1"/>
  <c r="AG132" i="4" s="1"/>
  <c r="D1353" i="3"/>
  <c r="G1353" i="3" s="1"/>
  <c r="AH132" i="4" s="1"/>
  <c r="D1354" i="3"/>
  <c r="G1354" i="3" s="1"/>
  <c r="AI132" i="4" s="1"/>
  <c r="D1355" i="3"/>
  <c r="G1355" i="3" s="1"/>
  <c r="AJ132" i="4" s="1"/>
  <c r="D1356" i="3"/>
  <c r="G1356" i="3" s="1"/>
  <c r="AK132" i="4" s="1"/>
  <c r="D1357" i="3"/>
  <c r="G1357" i="3" s="1"/>
  <c r="AL132" i="4" s="1"/>
  <c r="D1358" i="3"/>
  <c r="G1358" i="3" s="1"/>
  <c r="AM132" i="4" s="1"/>
  <c r="D1359" i="3"/>
  <c r="G1359" i="3" s="1"/>
  <c r="AN132" i="4" s="1"/>
  <c r="D1360" i="3"/>
  <c r="G1360" i="3" s="1"/>
  <c r="AO132" i="4" s="1"/>
  <c r="D1361" i="3"/>
  <c r="G1361" i="3" s="1"/>
  <c r="AP132" i="4" s="1"/>
  <c r="D1362" i="3"/>
  <c r="G1362" i="3" s="1"/>
  <c r="AQ132" i="4" s="1"/>
  <c r="D1363" i="3"/>
  <c r="G1363" i="3" s="1"/>
  <c r="AR132" i="4" s="1"/>
  <c r="D1364" i="3"/>
  <c r="G1364" i="3" s="1"/>
  <c r="AS132" i="4" s="1"/>
  <c r="D1365" i="3"/>
  <c r="G1365" i="3" s="1"/>
  <c r="AT132" i="4" s="1"/>
  <c r="D1366" i="3"/>
  <c r="G1366" i="3" s="1"/>
  <c r="AU132" i="4" s="1"/>
  <c r="D1367" i="3"/>
  <c r="G1367" i="3" s="1"/>
  <c r="AV132" i="4" s="1"/>
  <c r="D1368" i="3"/>
  <c r="G1368" i="3" s="1"/>
  <c r="AW132" i="4" s="1"/>
  <c r="D1369" i="3"/>
  <c r="G1369" i="3" s="1"/>
  <c r="AX132" i="4" s="1"/>
  <c r="D1370" i="3"/>
  <c r="G1370" i="3" s="1"/>
  <c r="AY132" i="4" s="1"/>
  <c r="D1371" i="3"/>
  <c r="G1371" i="3" s="1"/>
  <c r="AZ132" i="4" s="1"/>
  <c r="D1372" i="3"/>
  <c r="G1372" i="3" s="1"/>
  <c r="BA132" i="4" s="1"/>
  <c r="D1373" i="3"/>
  <c r="G1373" i="3" s="1"/>
  <c r="BB132" i="4" s="1"/>
  <c r="D1374" i="3"/>
  <c r="G1374" i="3" s="1"/>
  <c r="BC132" i="4" s="1"/>
  <c r="D1375" i="3"/>
  <c r="G1375" i="3" s="1"/>
  <c r="BD132" i="4" s="1"/>
  <c r="D1376" i="3"/>
  <c r="G1376" i="3" s="1"/>
  <c r="BE132" i="4" s="1"/>
  <c r="D1377" i="3"/>
  <c r="G1377" i="3" s="1"/>
  <c r="BF132" i="4" s="1"/>
  <c r="D1378" i="3"/>
  <c r="G1378" i="3" s="1"/>
  <c r="BG132" i="4" s="1"/>
  <c r="D1379" i="3"/>
  <c r="G1379" i="3" s="1"/>
  <c r="BH132" i="4" s="1"/>
  <c r="D1380" i="3"/>
  <c r="G1380" i="3" s="1"/>
  <c r="BI132" i="4" s="1"/>
  <c r="D1381" i="3"/>
  <c r="G1381" i="3" s="1"/>
  <c r="BJ132" i="4" s="1"/>
  <c r="D1382" i="3"/>
  <c r="G1382" i="3" s="1"/>
  <c r="C133" i="4" s="1"/>
  <c r="D1383" i="3"/>
  <c r="G1383" i="3" s="1"/>
  <c r="D133" i="4" s="1"/>
  <c r="D1384" i="3"/>
  <c r="G1384" i="3" s="1"/>
  <c r="E133" i="4" s="1"/>
  <c r="D1385" i="3"/>
  <c r="G1385" i="3" s="1"/>
  <c r="F133" i="4" s="1"/>
  <c r="D1386" i="3"/>
  <c r="G1386" i="3" s="1"/>
  <c r="G133" i="4" s="1"/>
  <c r="D1387" i="3"/>
  <c r="G1387" i="3" s="1"/>
  <c r="H133" i="4" s="1"/>
  <c r="D1388" i="3"/>
  <c r="G1388" i="3" s="1"/>
  <c r="I133" i="4" s="1"/>
  <c r="D1389" i="3"/>
  <c r="G1389" i="3" s="1"/>
  <c r="J133" i="4" s="1"/>
  <c r="D1390" i="3"/>
  <c r="G1390" i="3" s="1"/>
  <c r="K133" i="4" s="1"/>
  <c r="D1391" i="3"/>
  <c r="G1391" i="3" s="1"/>
  <c r="L133" i="4" s="1"/>
  <c r="D1392" i="3"/>
  <c r="G1392" i="3" s="1"/>
  <c r="M133" i="4" s="1"/>
  <c r="D1393" i="3"/>
  <c r="G1393" i="3" s="1"/>
  <c r="N133" i="4" s="1"/>
  <c r="D1394" i="3"/>
  <c r="G1394" i="3" s="1"/>
  <c r="O133" i="4" s="1"/>
  <c r="D1395" i="3"/>
  <c r="G1395" i="3" s="1"/>
  <c r="P133" i="4" s="1"/>
  <c r="D1396" i="3"/>
  <c r="G1396" i="3" s="1"/>
  <c r="Q133" i="4" s="1"/>
  <c r="D1397" i="3"/>
  <c r="G1397" i="3" s="1"/>
  <c r="R133" i="4" s="1"/>
  <c r="D1398" i="3"/>
  <c r="G1398" i="3" s="1"/>
  <c r="S133" i="4" s="1"/>
  <c r="D1399" i="3"/>
  <c r="G1399" i="3" s="1"/>
  <c r="T133" i="4" s="1"/>
  <c r="D1400" i="3"/>
  <c r="G1400" i="3" s="1"/>
  <c r="U133" i="4" s="1"/>
  <c r="D1401" i="3"/>
  <c r="G1401" i="3" s="1"/>
  <c r="V133" i="4" s="1"/>
  <c r="D1402" i="3"/>
  <c r="G1402" i="3" s="1"/>
  <c r="W133" i="4" s="1"/>
  <c r="D1403" i="3"/>
  <c r="G1403" i="3" s="1"/>
  <c r="X133" i="4" s="1"/>
  <c r="D1404" i="3"/>
  <c r="G1404" i="3" s="1"/>
  <c r="Y133" i="4" s="1"/>
  <c r="D1405" i="3"/>
  <c r="G1405" i="3" s="1"/>
  <c r="Z133" i="4" s="1"/>
  <c r="D1406" i="3"/>
  <c r="G1406" i="3" s="1"/>
  <c r="AA133" i="4" s="1"/>
  <c r="D1407" i="3"/>
  <c r="G1407" i="3" s="1"/>
  <c r="AB133" i="4" s="1"/>
  <c r="D1408" i="3"/>
  <c r="G1408" i="3" s="1"/>
  <c r="AC133" i="4" s="1"/>
  <c r="D1409" i="3"/>
  <c r="G1409" i="3" s="1"/>
  <c r="AD133" i="4" s="1"/>
  <c r="D1410" i="3"/>
  <c r="G1410" i="3" s="1"/>
  <c r="AE133" i="4" s="1"/>
  <c r="D1411" i="3"/>
  <c r="G1411" i="3" s="1"/>
  <c r="AF133" i="4" s="1"/>
  <c r="D1412" i="3"/>
  <c r="G1412" i="3" s="1"/>
  <c r="AG133" i="4" s="1"/>
  <c r="D1413" i="3"/>
  <c r="G1413" i="3" s="1"/>
  <c r="AH133" i="4" s="1"/>
  <c r="D1414" i="3"/>
  <c r="G1414" i="3" s="1"/>
  <c r="AI133" i="4" s="1"/>
  <c r="D1415" i="3"/>
  <c r="G1415" i="3" s="1"/>
  <c r="AJ133" i="4" s="1"/>
  <c r="D1416" i="3"/>
  <c r="G1416" i="3" s="1"/>
  <c r="AK133" i="4" s="1"/>
  <c r="D1417" i="3"/>
  <c r="G1417" i="3" s="1"/>
  <c r="AL133" i="4" s="1"/>
  <c r="D1418" i="3"/>
  <c r="G1418" i="3" s="1"/>
  <c r="AM133" i="4" s="1"/>
  <c r="D1419" i="3"/>
  <c r="G1419" i="3" s="1"/>
  <c r="AN133" i="4" s="1"/>
  <c r="D1420" i="3"/>
  <c r="G1420" i="3" s="1"/>
  <c r="AO133" i="4" s="1"/>
  <c r="D1421" i="3"/>
  <c r="G1421" i="3" s="1"/>
  <c r="AP133" i="4" s="1"/>
  <c r="D1422" i="3"/>
  <c r="G1422" i="3" s="1"/>
  <c r="AQ133" i="4" s="1"/>
  <c r="D1423" i="3"/>
  <c r="G1423" i="3" s="1"/>
  <c r="AR133" i="4" s="1"/>
  <c r="D1424" i="3"/>
  <c r="G1424" i="3" s="1"/>
  <c r="AS133" i="4" s="1"/>
  <c r="D1425" i="3"/>
  <c r="G1425" i="3" s="1"/>
  <c r="AT133" i="4" s="1"/>
  <c r="D1426" i="3"/>
  <c r="G1426" i="3" s="1"/>
  <c r="AU133" i="4" s="1"/>
  <c r="D1427" i="3"/>
  <c r="G1427" i="3" s="1"/>
  <c r="AV133" i="4" s="1"/>
  <c r="D1428" i="3"/>
  <c r="G1428" i="3" s="1"/>
  <c r="AW133" i="4" s="1"/>
  <c r="D1429" i="3"/>
  <c r="G1429" i="3" s="1"/>
  <c r="AX133" i="4" s="1"/>
  <c r="D1430" i="3"/>
  <c r="G1430" i="3" s="1"/>
  <c r="AY133" i="4" s="1"/>
  <c r="D1431" i="3"/>
  <c r="G1431" i="3" s="1"/>
  <c r="AZ133" i="4" s="1"/>
  <c r="D1432" i="3"/>
  <c r="G1432" i="3" s="1"/>
  <c r="BA133" i="4" s="1"/>
  <c r="D1433" i="3"/>
  <c r="G1433" i="3" s="1"/>
  <c r="BB133" i="4" s="1"/>
  <c r="D1434" i="3"/>
  <c r="G1434" i="3" s="1"/>
  <c r="BC133" i="4" s="1"/>
  <c r="D1435" i="3"/>
  <c r="G1435" i="3" s="1"/>
  <c r="BD133" i="4" s="1"/>
  <c r="D1436" i="3"/>
  <c r="G1436" i="3" s="1"/>
  <c r="BE133" i="4" s="1"/>
  <c r="D1437" i="3"/>
  <c r="G1437" i="3" s="1"/>
  <c r="BF133" i="4" s="1"/>
  <c r="D1438" i="3"/>
  <c r="G1438" i="3" s="1"/>
  <c r="BG133" i="4" s="1"/>
  <c r="D1439" i="3"/>
  <c r="G1439" i="3" s="1"/>
  <c r="BH133" i="4" s="1"/>
  <c r="D1440" i="3"/>
  <c r="G1440" i="3" s="1"/>
  <c r="BI133" i="4" s="1"/>
  <c r="D1441" i="3"/>
  <c r="G1441" i="3" s="1"/>
  <c r="BJ133" i="4" s="1"/>
  <c r="D2" i="3"/>
  <c r="G2" i="3" s="1"/>
  <c r="C110" i="4" s="1"/>
  <c r="BL11" i="4"/>
  <c r="BL12" i="4"/>
  <c r="BL13" i="4"/>
  <c r="BL14" i="4"/>
  <c r="BL15" i="4"/>
  <c r="BL16" i="4"/>
  <c r="BL17" i="4"/>
  <c r="BL18" i="4"/>
  <c r="BL19" i="4"/>
  <c r="BL20" i="4"/>
  <c r="BL21" i="4"/>
  <c r="BL22" i="4"/>
  <c r="BL23" i="4"/>
  <c r="BL24" i="4"/>
  <c r="BL25" i="4"/>
  <c r="BL26" i="4"/>
  <c r="BL27" i="4"/>
  <c r="BL28" i="4"/>
  <c r="BL29" i="4"/>
  <c r="BL30" i="4"/>
  <c r="BL31" i="4"/>
  <c r="BL32" i="4"/>
  <c r="BL33" i="4"/>
  <c r="BL34" i="4"/>
  <c r="BL35" i="4"/>
  <c r="BL36" i="4"/>
  <c r="BL37" i="4"/>
  <c r="BL38" i="4"/>
  <c r="BL39" i="4"/>
  <c r="BL40" i="4"/>
  <c r="BL41" i="4"/>
  <c r="BL42" i="4"/>
  <c r="BL43" i="4"/>
  <c r="BL44" i="4"/>
  <c r="BL45" i="4"/>
  <c r="BL46" i="4"/>
  <c r="BL47" i="4"/>
  <c r="BL48" i="4"/>
  <c r="BL49" i="4"/>
  <c r="BL50" i="4"/>
  <c r="BL51" i="4"/>
  <c r="BL52" i="4"/>
  <c r="BL53" i="4"/>
  <c r="BL54" i="4"/>
  <c r="BL55" i="4"/>
  <c r="BL56" i="4"/>
  <c r="BL57" i="4"/>
  <c r="BL58" i="4"/>
  <c r="BL59" i="4"/>
  <c r="BL60" i="4"/>
  <c r="BL61" i="4"/>
  <c r="BL62" i="4"/>
  <c r="BL63" i="4"/>
  <c r="BL64" i="4"/>
  <c r="BL65" i="4"/>
  <c r="BL66" i="4"/>
  <c r="BL67" i="4"/>
  <c r="BL68" i="4"/>
  <c r="BL69" i="4"/>
  <c r="BL70" i="4"/>
  <c r="BL71" i="4"/>
  <c r="BL72" i="4"/>
  <c r="BL73" i="4"/>
  <c r="BL74" i="4"/>
  <c r="BL75" i="4"/>
  <c r="BL76" i="4"/>
  <c r="BL77" i="4"/>
  <c r="BL78" i="4"/>
  <c r="BL79" i="4"/>
  <c r="BL80" i="4"/>
  <c r="BL81" i="4"/>
  <c r="BL82" i="4"/>
  <c r="BL83" i="4"/>
  <c r="BL84" i="4"/>
  <c r="BL85" i="4"/>
  <c r="BL86" i="4"/>
  <c r="BL87" i="4"/>
  <c r="BL88" i="4"/>
  <c r="BL89" i="4"/>
  <c r="BL90" i="4"/>
  <c r="BL91" i="4"/>
  <c r="BL92" i="4"/>
  <c r="BL93" i="4"/>
  <c r="BL94" i="4"/>
  <c r="BL95" i="4"/>
  <c r="BL96" i="4"/>
  <c r="BL97" i="4"/>
  <c r="BL98" i="4"/>
  <c r="BL99" i="4"/>
  <c r="BL100" i="4"/>
  <c r="BL101" i="4"/>
  <c r="BL102" i="4"/>
  <c r="BL103" i="4"/>
  <c r="BL104" i="4"/>
  <c r="BL105" i="4"/>
  <c r="BL106" i="4"/>
  <c r="BL107" i="4"/>
  <c r="BL108" i="4"/>
  <c r="BL109" i="4"/>
  <c r="BL110" i="4"/>
  <c r="BL111" i="4"/>
  <c r="BL112" i="4"/>
  <c r="BL113" i="4"/>
  <c r="BL114" i="4"/>
  <c r="BL115" i="4"/>
  <c r="BL116" i="4"/>
  <c r="BL117" i="4"/>
  <c r="BL118" i="4"/>
  <c r="BL119" i="4"/>
  <c r="BL120" i="4"/>
  <c r="BL121" i="4"/>
  <c r="BL122" i="4"/>
  <c r="BL123" i="4"/>
  <c r="BL124" i="4"/>
  <c r="BL125" i="4"/>
  <c r="BL126" i="4"/>
  <c r="BL127" i="4"/>
  <c r="BL128" i="4"/>
  <c r="BL129" i="4"/>
  <c r="BL130" i="4"/>
  <c r="BL131" i="4"/>
  <c r="BL132" i="4"/>
  <c r="BL133" i="4"/>
  <c r="BL134" i="4"/>
  <c r="BL135" i="4"/>
  <c r="BL136" i="4"/>
  <c r="BL137" i="4"/>
  <c r="BL138" i="4"/>
  <c r="BL139" i="4"/>
  <c r="BL140" i="4"/>
  <c r="BL141" i="4"/>
  <c r="BL142" i="4"/>
  <c r="BL143" i="4"/>
  <c r="BL144" i="4"/>
  <c r="BL145" i="4"/>
  <c r="BL146" i="4"/>
  <c r="BL147" i="4"/>
  <c r="BL148" i="4"/>
  <c r="BL149" i="4"/>
  <c r="BL150" i="4"/>
  <c r="BL151" i="4"/>
  <c r="BL152" i="4"/>
  <c r="BL153" i="4"/>
  <c r="BL154" i="4"/>
  <c r="BL155" i="4"/>
  <c r="BL156" i="4"/>
  <c r="BL157" i="4"/>
  <c r="BL158" i="4"/>
  <c r="BL159" i="4"/>
  <c r="BL160" i="4"/>
  <c r="BL161" i="4"/>
  <c r="BL162" i="4"/>
  <c r="BL163" i="4"/>
  <c r="BL164" i="4"/>
  <c r="BL165" i="4"/>
  <c r="BL166" i="4"/>
  <c r="BL167" i="4"/>
  <c r="BL168" i="4"/>
  <c r="BL169" i="4"/>
  <c r="BL170" i="4"/>
  <c r="BL171" i="4"/>
  <c r="BL172" i="4"/>
  <c r="BL173" i="4"/>
  <c r="BL174" i="4"/>
  <c r="BL175" i="4"/>
  <c r="BL176" i="4"/>
  <c r="BL177" i="4"/>
  <c r="BL178" i="4"/>
  <c r="BL179" i="4"/>
  <c r="BL180" i="4"/>
  <c r="BL181" i="4"/>
  <c r="BL182" i="4"/>
  <c r="BL183" i="4"/>
  <c r="BL184" i="4"/>
  <c r="BL185" i="4"/>
  <c r="BL186" i="4"/>
  <c r="BL187" i="4"/>
  <c r="BL188" i="4"/>
  <c r="BL189" i="4"/>
  <c r="BL190" i="4"/>
  <c r="BL191" i="4"/>
  <c r="BL192" i="4"/>
  <c r="BL193" i="4"/>
  <c r="BL194" i="4"/>
  <c r="BL195" i="4"/>
  <c r="BL196" i="4"/>
  <c r="BL197" i="4"/>
  <c r="BL198" i="4"/>
  <c r="BL199" i="4"/>
  <c r="BL200" i="4"/>
  <c r="BL201" i="4"/>
  <c r="BL202" i="4"/>
  <c r="BL203" i="4"/>
  <c r="BL204" i="4"/>
  <c r="BL205" i="4"/>
  <c r="BL206" i="4"/>
  <c r="BL207" i="4"/>
  <c r="BL208" i="4"/>
  <c r="BL209" i="4"/>
  <c r="BL210" i="4"/>
  <c r="BL211" i="4"/>
  <c r="BL212" i="4"/>
  <c r="BL213" i="4"/>
  <c r="BL214" i="4"/>
  <c r="BL215" i="4"/>
  <c r="BL216" i="4"/>
  <c r="BL217" i="4"/>
  <c r="BL218" i="4"/>
  <c r="BL219" i="4"/>
  <c r="BL220" i="4"/>
  <c r="BL221" i="4"/>
  <c r="BL222" i="4"/>
  <c r="BL223" i="4"/>
  <c r="BL224" i="4"/>
  <c r="BL225" i="4"/>
  <c r="BL226" i="4"/>
  <c r="BL227" i="4"/>
  <c r="BL228" i="4"/>
  <c r="BL229" i="4"/>
  <c r="BL230" i="4"/>
  <c r="BL231" i="4"/>
  <c r="BL232" i="4"/>
  <c r="BL233" i="4"/>
  <c r="BL234" i="4"/>
  <c r="BL235" i="4"/>
  <c r="BL236" i="4"/>
  <c r="BL237" i="4"/>
  <c r="BL238" i="4"/>
  <c r="BL239" i="4"/>
  <c r="BL240" i="4"/>
  <c r="BL241" i="4"/>
  <c r="BL242" i="4"/>
  <c r="BL243" i="4"/>
  <c r="BL244" i="4"/>
  <c r="BL245" i="4"/>
  <c r="BL246" i="4"/>
  <c r="BL247" i="4"/>
  <c r="BL248" i="4"/>
  <c r="BL249" i="4"/>
  <c r="BL250" i="4"/>
  <c r="BL251" i="4"/>
  <c r="BL252" i="4"/>
  <c r="BL253" i="4"/>
  <c r="BL254" i="4"/>
  <c r="BL255" i="4"/>
  <c r="BL256" i="4"/>
  <c r="BL257" i="4"/>
  <c r="BL258" i="4"/>
  <c r="BL259" i="4"/>
  <c r="BL260" i="4"/>
  <c r="BL261" i="4"/>
  <c r="BL262" i="4"/>
  <c r="BL263" i="4"/>
  <c r="BL264" i="4"/>
  <c r="BL265" i="4"/>
  <c r="BL266" i="4"/>
  <c r="BL267" i="4"/>
  <c r="BL268" i="4"/>
  <c r="BL269" i="4"/>
  <c r="BL270" i="4"/>
  <c r="BL271" i="4"/>
  <c r="BL272" i="4"/>
  <c r="BL273" i="4"/>
  <c r="BL274" i="4"/>
  <c r="BL275" i="4"/>
  <c r="BL276" i="4"/>
  <c r="BL277" i="4"/>
  <c r="BL278" i="4"/>
  <c r="BL279" i="4"/>
  <c r="BL280" i="4"/>
  <c r="BL281" i="4"/>
  <c r="BL282" i="4"/>
  <c r="BL283" i="4"/>
  <c r="BL284" i="4"/>
  <c r="BL285" i="4"/>
  <c r="BL286" i="4"/>
  <c r="BL287" i="4"/>
  <c r="BL288" i="4"/>
  <c r="BL289" i="4"/>
  <c r="BL290" i="4"/>
  <c r="BL291" i="4"/>
  <c r="BL292" i="4"/>
  <c r="BL293" i="4"/>
  <c r="BL294" i="4"/>
  <c r="BL295" i="4"/>
  <c r="BL296" i="4"/>
  <c r="BL297" i="4"/>
  <c r="BL298" i="4"/>
  <c r="BL299" i="4"/>
  <c r="BL300" i="4"/>
  <c r="BL301" i="4"/>
  <c r="BL302" i="4"/>
  <c r="BL303" i="4"/>
  <c r="BL304" i="4"/>
  <c r="BL305" i="4"/>
  <c r="BL306" i="4"/>
  <c r="BL307" i="4"/>
  <c r="BL308" i="4"/>
  <c r="BL309" i="4"/>
  <c r="BL310" i="4"/>
  <c r="BL311" i="4"/>
  <c r="BL312" i="4"/>
  <c r="BL313" i="4"/>
  <c r="BL314" i="4"/>
  <c r="BL315" i="4"/>
  <c r="BL316" i="4"/>
  <c r="BL317" i="4"/>
  <c r="BL318" i="4"/>
  <c r="BL319" i="4"/>
  <c r="BL320" i="4"/>
  <c r="BL321" i="4"/>
  <c r="BL322" i="4"/>
  <c r="BL323" i="4"/>
  <c r="BL324" i="4"/>
  <c r="BL325" i="4"/>
  <c r="BL326" i="4"/>
  <c r="BL327" i="4"/>
  <c r="BL328" i="4"/>
  <c r="BL329" i="4"/>
  <c r="BL330" i="4"/>
  <c r="BL331" i="4"/>
  <c r="BL332" i="4"/>
  <c r="BL333" i="4"/>
  <c r="BL334" i="4"/>
  <c r="BL335" i="4"/>
  <c r="BL336" i="4"/>
  <c r="BL337" i="4"/>
  <c r="BL338" i="4"/>
  <c r="BL339" i="4"/>
  <c r="BL340" i="4"/>
  <c r="BL341" i="4"/>
  <c r="BL342" i="4"/>
  <c r="BL343" i="4"/>
  <c r="BL344" i="4"/>
  <c r="BL345" i="4"/>
  <c r="BL346" i="4"/>
  <c r="BL347" i="4"/>
  <c r="BL348" i="4"/>
  <c r="BL349" i="4"/>
  <c r="BL350" i="4"/>
  <c r="BL351" i="4"/>
  <c r="BL352" i="4"/>
  <c r="BL353" i="4"/>
  <c r="BL354" i="4"/>
  <c r="BL355" i="4"/>
  <c r="BL356" i="4"/>
  <c r="BL357" i="4"/>
  <c r="BL358" i="4"/>
  <c r="BL359" i="4"/>
  <c r="BL360" i="4"/>
  <c r="BL361" i="4"/>
  <c r="BL362" i="4"/>
  <c r="BL363" i="4"/>
  <c r="BL364" i="4"/>
  <c r="BL365" i="4"/>
  <c r="BL366" i="4"/>
  <c r="BL367" i="4"/>
  <c r="BL368" i="4"/>
  <c r="BL369" i="4"/>
  <c r="BL370" i="4"/>
  <c r="BL371" i="4"/>
  <c r="BL372" i="4"/>
  <c r="BL373" i="4"/>
  <c r="BL374" i="4"/>
  <c r="BL375" i="4"/>
  <c r="BL376" i="4"/>
  <c r="BL377" i="4"/>
  <c r="BL378" i="4"/>
  <c r="BL379" i="4"/>
  <c r="BL380" i="4"/>
  <c r="BL381" i="4"/>
  <c r="BL382" i="4"/>
  <c r="BL383" i="4"/>
  <c r="BL384" i="4"/>
  <c r="BL385" i="4"/>
  <c r="BL386" i="4"/>
  <c r="BL387" i="4"/>
  <c r="BL388" i="4"/>
  <c r="BL389" i="4"/>
  <c r="BL390" i="4"/>
  <c r="BL391" i="4"/>
  <c r="BL392" i="4"/>
  <c r="BL393" i="4"/>
  <c r="BL394" i="4"/>
  <c r="BL395" i="4"/>
  <c r="BL396" i="4"/>
  <c r="BL397" i="4"/>
  <c r="BL398" i="4"/>
  <c r="BL399" i="4"/>
  <c r="BL400" i="4"/>
  <c r="BL401" i="4"/>
  <c r="BL402" i="4"/>
  <c r="BL403" i="4"/>
  <c r="BL404" i="4"/>
  <c r="BL405" i="4"/>
  <c r="BL406" i="4"/>
  <c r="BL407" i="4"/>
  <c r="BL408" i="4"/>
  <c r="BL409" i="4"/>
  <c r="BL410" i="4"/>
  <c r="BL411" i="4"/>
  <c r="BL412" i="4"/>
  <c r="BL413" i="4"/>
  <c r="BL414" i="4"/>
  <c r="BL415" i="4"/>
  <c r="BL416" i="4"/>
  <c r="BL417" i="4"/>
  <c r="BL418" i="4"/>
  <c r="BL419" i="4"/>
  <c r="BL420" i="4"/>
  <c r="BL421" i="4"/>
  <c r="BL422" i="4"/>
  <c r="BL423" i="4"/>
  <c r="BL424" i="4"/>
  <c r="BL425" i="4"/>
  <c r="BL426" i="4"/>
  <c r="BL427" i="4"/>
  <c r="BL428" i="4"/>
  <c r="BL429" i="4"/>
  <c r="BL430" i="4"/>
  <c r="BL431" i="4"/>
  <c r="BL432" i="4"/>
  <c r="BL433" i="4"/>
  <c r="BL434" i="4"/>
  <c r="BL435" i="4"/>
  <c r="BL436" i="4"/>
  <c r="BL437" i="4"/>
  <c r="BL438" i="4"/>
  <c r="BL439" i="4"/>
  <c r="BL440" i="4"/>
  <c r="BL441" i="4"/>
  <c r="BL442" i="4"/>
  <c r="BL443" i="4"/>
  <c r="BL444" i="4"/>
  <c r="BL445" i="4"/>
  <c r="BL446" i="4"/>
  <c r="BL447" i="4"/>
  <c r="BL448" i="4"/>
  <c r="BL449" i="4"/>
  <c r="BL450" i="4"/>
  <c r="BL451" i="4"/>
  <c r="BL452" i="4"/>
  <c r="BL453" i="4"/>
  <c r="BL454" i="4"/>
  <c r="BL455" i="4"/>
  <c r="BL456" i="4"/>
  <c r="BL457" i="4"/>
  <c r="BL458" i="4"/>
  <c r="BL459" i="4"/>
  <c r="BL460" i="4"/>
  <c r="BL461" i="4"/>
  <c r="BL462" i="4"/>
  <c r="BL463" i="4"/>
  <c r="BL464" i="4"/>
  <c r="BL465" i="4"/>
  <c r="BL466" i="4"/>
  <c r="BL467" i="4"/>
  <c r="BL468" i="4"/>
  <c r="BL469" i="4"/>
  <c r="BL470" i="4"/>
  <c r="BL471" i="4"/>
  <c r="BL472" i="4"/>
  <c r="BL473" i="4"/>
  <c r="BL474" i="4"/>
  <c r="BL475" i="4"/>
  <c r="BL476" i="4"/>
  <c r="BL477" i="4"/>
  <c r="BL478" i="4"/>
  <c r="BL479" i="4"/>
  <c r="BL480" i="4"/>
  <c r="BL481" i="4"/>
  <c r="BL482" i="4"/>
  <c r="BL483" i="4"/>
  <c r="BL484" i="4"/>
  <c r="BL485" i="4"/>
  <c r="BL486" i="4"/>
  <c r="BL487" i="4"/>
  <c r="BL488" i="4"/>
  <c r="BL489" i="4"/>
  <c r="BL490" i="4"/>
  <c r="BL491" i="4"/>
  <c r="BL492" i="4"/>
  <c r="BL493" i="4"/>
  <c r="BL494" i="4"/>
  <c r="BL495" i="4"/>
  <c r="BL496" i="4"/>
  <c r="BL497" i="4"/>
  <c r="BL498" i="4"/>
  <c r="BL499" i="4"/>
  <c r="BL500" i="4"/>
  <c r="BL501" i="4"/>
  <c r="BL502" i="4"/>
  <c r="BL503" i="4"/>
  <c r="BL504" i="4"/>
  <c r="BL505" i="4"/>
  <c r="BL506" i="4"/>
  <c r="BL507" i="4"/>
  <c r="BL508" i="4"/>
  <c r="BL509" i="4"/>
  <c r="BL510" i="4"/>
  <c r="BL511" i="4"/>
  <c r="BL512" i="4"/>
  <c r="BL513" i="4"/>
  <c r="BL514" i="4"/>
  <c r="BL515" i="4"/>
  <c r="BL516" i="4"/>
  <c r="BL517" i="4"/>
  <c r="BL518" i="4"/>
  <c r="BL519" i="4"/>
  <c r="BL520" i="4"/>
  <c r="BL521" i="4"/>
  <c r="BL522" i="4"/>
  <c r="BL523" i="4"/>
  <c r="BL524" i="4"/>
  <c r="BL525" i="4"/>
  <c r="BL526" i="4"/>
  <c r="BL527" i="4"/>
  <c r="BL528" i="4"/>
  <c r="BL529" i="4"/>
  <c r="BL530" i="4"/>
  <c r="BL531" i="4"/>
  <c r="BL532" i="4"/>
  <c r="BL533" i="4"/>
  <c r="BL534" i="4"/>
  <c r="BL535" i="4"/>
  <c r="BL536" i="4"/>
  <c r="BL537" i="4"/>
  <c r="BL538" i="4"/>
  <c r="BL539" i="4"/>
  <c r="BL540" i="4"/>
  <c r="BL541" i="4"/>
  <c r="BL542" i="4"/>
  <c r="BL543" i="4"/>
  <c r="BL544" i="4"/>
  <c r="BL545" i="4"/>
  <c r="BL546" i="4"/>
  <c r="BL547" i="4"/>
  <c r="BL548" i="4"/>
  <c r="BL549" i="4"/>
  <c r="BL550" i="4"/>
  <c r="BL551" i="4"/>
  <c r="BL552" i="4"/>
  <c r="BL553" i="4"/>
  <c r="BL554" i="4"/>
  <c r="BL555" i="4"/>
  <c r="BL556" i="4"/>
  <c r="BL557" i="4"/>
  <c r="BL558" i="4"/>
  <c r="BL559" i="4"/>
  <c r="BL560" i="4"/>
  <c r="BL561" i="4"/>
  <c r="BL562" i="4"/>
  <c r="BL563" i="4"/>
  <c r="BL564" i="4"/>
  <c r="BL565" i="4"/>
  <c r="BL566" i="4"/>
  <c r="BL567" i="4"/>
  <c r="BL568" i="4"/>
  <c r="BL569" i="4"/>
  <c r="BL570" i="4"/>
  <c r="BL571" i="4"/>
  <c r="BL572" i="4"/>
  <c r="BL573" i="4"/>
  <c r="BL574" i="4"/>
  <c r="BL575" i="4"/>
  <c r="BL576" i="4"/>
  <c r="BL577" i="4"/>
  <c r="BL578" i="4"/>
  <c r="BL579" i="4"/>
  <c r="BL580" i="4"/>
  <c r="BL581" i="4"/>
  <c r="BL582" i="4"/>
  <c r="BL583" i="4"/>
  <c r="BL584" i="4"/>
  <c r="BL585" i="4"/>
  <c r="BL586" i="4"/>
  <c r="BL587" i="4"/>
  <c r="BL588" i="4"/>
  <c r="BL589" i="4"/>
  <c r="BL590" i="4"/>
  <c r="BL591" i="4"/>
  <c r="BL592" i="4"/>
  <c r="BL593" i="4"/>
  <c r="BL594" i="4"/>
  <c r="BL595" i="4"/>
  <c r="BL596" i="4"/>
  <c r="BL597" i="4"/>
  <c r="BL598" i="4"/>
  <c r="BL599" i="4"/>
  <c r="BL600" i="4"/>
  <c r="BL601" i="4"/>
  <c r="BL602" i="4"/>
  <c r="BL603" i="4"/>
  <c r="BL604" i="4"/>
  <c r="BL605" i="4"/>
  <c r="BL606" i="4"/>
  <c r="BL607" i="4"/>
  <c r="BL608" i="4"/>
  <c r="BL609" i="4"/>
  <c r="BL610" i="4"/>
  <c r="BL611" i="4"/>
  <c r="BL612" i="4"/>
  <c r="BL613" i="4"/>
  <c r="BL614" i="4"/>
  <c r="BL615" i="4"/>
  <c r="BL616" i="4"/>
  <c r="BL617" i="4"/>
  <c r="BL618" i="4"/>
  <c r="BL619" i="4"/>
  <c r="BL620" i="4"/>
  <c r="BL621" i="4"/>
  <c r="BL622" i="4"/>
  <c r="BL623" i="4"/>
  <c r="BL624" i="4"/>
  <c r="BL625" i="4"/>
  <c r="BL626" i="4"/>
  <c r="BL627" i="4"/>
  <c r="BL628" i="4"/>
  <c r="BL629" i="4"/>
  <c r="BL630" i="4"/>
  <c r="BL631" i="4"/>
  <c r="BL632" i="4"/>
  <c r="BL633" i="4"/>
  <c r="BL634" i="4"/>
  <c r="BL635" i="4"/>
  <c r="BL636" i="4"/>
  <c r="BL637" i="4"/>
  <c r="BL638" i="4"/>
  <c r="BL639" i="4"/>
  <c r="BL640" i="4"/>
  <c r="BL641" i="4"/>
  <c r="BL642" i="4"/>
  <c r="BL643" i="4"/>
  <c r="BL644" i="4"/>
  <c r="BL645" i="4"/>
  <c r="BL646" i="4"/>
  <c r="BL647" i="4"/>
  <c r="BL648" i="4"/>
  <c r="BL649" i="4"/>
  <c r="BL650" i="4"/>
  <c r="BL651" i="4"/>
  <c r="BL652" i="4"/>
  <c r="BL653" i="4"/>
  <c r="BL654" i="4"/>
  <c r="BL655" i="4"/>
  <c r="BL656" i="4"/>
  <c r="BL657" i="4"/>
  <c r="BL658" i="4"/>
  <c r="BL659" i="4"/>
  <c r="BL660" i="4"/>
  <c r="BL661" i="4"/>
  <c r="BL662" i="4"/>
  <c r="BL663" i="4"/>
  <c r="BL664" i="4"/>
  <c r="BL665" i="4"/>
  <c r="BL666" i="4"/>
  <c r="BL667" i="4"/>
  <c r="BL668" i="4"/>
  <c r="BL669" i="4"/>
  <c r="BL670" i="4"/>
  <c r="BL671" i="4"/>
  <c r="BL672" i="4"/>
  <c r="BL673" i="4"/>
  <c r="BL674" i="4"/>
  <c r="BL675" i="4"/>
  <c r="BL676" i="4"/>
  <c r="BL677" i="4"/>
  <c r="BL678" i="4"/>
  <c r="BL679" i="4"/>
  <c r="BL680" i="4"/>
  <c r="BL681" i="4"/>
  <c r="BL682" i="4"/>
  <c r="BL683" i="4"/>
  <c r="BL684" i="4"/>
  <c r="BL685" i="4"/>
  <c r="BL686" i="4"/>
  <c r="BL687" i="4"/>
  <c r="BL688" i="4"/>
  <c r="BL689" i="4"/>
  <c r="BL690" i="4"/>
  <c r="BL691" i="4"/>
  <c r="BL692" i="4"/>
  <c r="BL693" i="4"/>
  <c r="BL694" i="4"/>
  <c r="BL695" i="4"/>
  <c r="BL696" i="4"/>
  <c r="BL697" i="4"/>
  <c r="BL698" i="4"/>
  <c r="BL699" i="4"/>
  <c r="BL700" i="4"/>
  <c r="BL701" i="4"/>
  <c r="BL702" i="4"/>
  <c r="BL703" i="4"/>
  <c r="BL704" i="4"/>
  <c r="BL705" i="4"/>
  <c r="BL706" i="4"/>
  <c r="BL707" i="4"/>
  <c r="BL708" i="4"/>
  <c r="BL709" i="4"/>
  <c r="BL710" i="4"/>
  <c r="BL711" i="4"/>
  <c r="BL712" i="4"/>
  <c r="BL713" i="4"/>
  <c r="BL714" i="4"/>
  <c r="BL715" i="4"/>
  <c r="BL716" i="4"/>
  <c r="BL717" i="4"/>
  <c r="BL718" i="4"/>
  <c r="BL719" i="4"/>
  <c r="BL720" i="4"/>
  <c r="BL721" i="4"/>
  <c r="BL722" i="4"/>
  <c r="BL723" i="4"/>
  <c r="BL724" i="4"/>
  <c r="BL725" i="4"/>
  <c r="BL726" i="4"/>
  <c r="BL727" i="4"/>
  <c r="BL728" i="4"/>
  <c r="BL729" i="4"/>
  <c r="BL730" i="4"/>
  <c r="BL731" i="4"/>
  <c r="BL732" i="4"/>
  <c r="BL733" i="4"/>
  <c r="BL734" i="4"/>
  <c r="BL735" i="4"/>
  <c r="BL736" i="4"/>
  <c r="BL737" i="4"/>
  <c r="BL738" i="4"/>
  <c r="BL739" i="4"/>
  <c r="BL740" i="4"/>
  <c r="BL741" i="4"/>
  <c r="BL742" i="4"/>
  <c r="BL743" i="4"/>
  <c r="BL744" i="4"/>
  <c r="BL745" i="4"/>
  <c r="BL746" i="4"/>
  <c r="BL747" i="4"/>
  <c r="BL748" i="4"/>
  <c r="BL749" i="4"/>
  <c r="BL750" i="4"/>
  <c r="BL751" i="4"/>
  <c r="BL752" i="4"/>
  <c r="BL753" i="4"/>
  <c r="BL754" i="4"/>
  <c r="BL755" i="4"/>
  <c r="BL756" i="4"/>
  <c r="BL757" i="4"/>
  <c r="BL758" i="4"/>
  <c r="BL759" i="4"/>
  <c r="BL760" i="4"/>
  <c r="BL761" i="4"/>
  <c r="BL762" i="4"/>
  <c r="BL763" i="4"/>
  <c r="BL764" i="4"/>
  <c r="BL765" i="4"/>
  <c r="BL766" i="4"/>
  <c r="BL767" i="4"/>
  <c r="BL768" i="4"/>
  <c r="BL769" i="4"/>
  <c r="BL770" i="4"/>
  <c r="BL771" i="4"/>
  <c r="BL772" i="4"/>
  <c r="BL773" i="4"/>
  <c r="BL774" i="4"/>
  <c r="BL775" i="4"/>
  <c r="BL776" i="4"/>
  <c r="BL777" i="4"/>
  <c r="BL778" i="4"/>
  <c r="BL779" i="4"/>
  <c r="BL780" i="4"/>
  <c r="BL781" i="4"/>
  <c r="BL782" i="4"/>
  <c r="BL783" i="4"/>
  <c r="BL784" i="4"/>
  <c r="BL785" i="4"/>
  <c r="BL786" i="4"/>
  <c r="BL787" i="4"/>
  <c r="BL788" i="4"/>
  <c r="BL789" i="4"/>
  <c r="BL790" i="4"/>
  <c r="BL791" i="4"/>
  <c r="BL792" i="4"/>
  <c r="BL793" i="4"/>
  <c r="BL794" i="4"/>
  <c r="BL795" i="4"/>
  <c r="BL796" i="4"/>
  <c r="BL797" i="4"/>
  <c r="BL798" i="4"/>
  <c r="BL799" i="4"/>
  <c r="BL800" i="4"/>
  <c r="BL801" i="4"/>
  <c r="BL802" i="4"/>
  <c r="BL803" i="4"/>
  <c r="BL804" i="4"/>
  <c r="BL805" i="4"/>
  <c r="BL806" i="4"/>
  <c r="BL807" i="4"/>
  <c r="BL808" i="4"/>
  <c r="BL809" i="4"/>
  <c r="BL810" i="4"/>
  <c r="BL811" i="4"/>
  <c r="BL812" i="4"/>
  <c r="BL813" i="4"/>
  <c r="BL814" i="4"/>
  <c r="BL815" i="4"/>
  <c r="BL816" i="4"/>
  <c r="BL817" i="4"/>
  <c r="BL818" i="4"/>
  <c r="BL819" i="4"/>
  <c r="BL820" i="4"/>
  <c r="BL821" i="4"/>
  <c r="BL822" i="4"/>
  <c r="BL823" i="4"/>
  <c r="BL824" i="4"/>
  <c r="BL825" i="4"/>
  <c r="BL826" i="4"/>
  <c r="BL827" i="4"/>
  <c r="BL828" i="4"/>
  <c r="BL829" i="4"/>
  <c r="BL830" i="4"/>
  <c r="BL831" i="4"/>
  <c r="BL832" i="4"/>
  <c r="BL833" i="4"/>
  <c r="BL834" i="4"/>
  <c r="BL835" i="4"/>
  <c r="BL836" i="4"/>
  <c r="BL837" i="4"/>
  <c r="BL838" i="4"/>
  <c r="BL839" i="4"/>
  <c r="BL840" i="4"/>
  <c r="BL841" i="4"/>
  <c r="BL842" i="4"/>
  <c r="BL843" i="4"/>
  <c r="BL844" i="4"/>
  <c r="BL845" i="4"/>
  <c r="BL846" i="4"/>
  <c r="BL847" i="4"/>
  <c r="BL848" i="4"/>
  <c r="BL849" i="4"/>
  <c r="BL850" i="4"/>
  <c r="BL851" i="4"/>
  <c r="BL852" i="4"/>
  <c r="BL853" i="4"/>
  <c r="BL854" i="4"/>
  <c r="BL855" i="4"/>
  <c r="BL856" i="4"/>
  <c r="BL857" i="4"/>
  <c r="BL858" i="4"/>
  <c r="BL859" i="4"/>
  <c r="BL860" i="4"/>
  <c r="BL861" i="4"/>
  <c r="BL862" i="4"/>
  <c r="BL863" i="4"/>
  <c r="BL864" i="4"/>
  <c r="BL865" i="4"/>
  <c r="BL866" i="4"/>
  <c r="BL867" i="4"/>
  <c r="BL868" i="4"/>
  <c r="BL869" i="4"/>
  <c r="BL870" i="4"/>
  <c r="BL871" i="4"/>
  <c r="BL872" i="4"/>
  <c r="BL873" i="4"/>
  <c r="BL874" i="4"/>
  <c r="BL875" i="4"/>
  <c r="BL876" i="4"/>
  <c r="BL877" i="4"/>
  <c r="BL878" i="4"/>
  <c r="BL879" i="4"/>
  <c r="BL880" i="4"/>
  <c r="BL881" i="4"/>
  <c r="BL882" i="4"/>
  <c r="BL883" i="4"/>
  <c r="BL884" i="4"/>
  <c r="BL885" i="4"/>
  <c r="BL886" i="4"/>
  <c r="BL887" i="4"/>
  <c r="BL888" i="4"/>
  <c r="BL889" i="4"/>
  <c r="BL890" i="4"/>
  <c r="BL891" i="4"/>
  <c r="BL892" i="4"/>
  <c r="BL893" i="4"/>
  <c r="BL894" i="4"/>
  <c r="BL895" i="4"/>
  <c r="BL896" i="4"/>
  <c r="BL897" i="4"/>
  <c r="BL898" i="4"/>
  <c r="BL899" i="4"/>
  <c r="BL900" i="4"/>
  <c r="BL901" i="4"/>
  <c r="BL902" i="4"/>
  <c r="BL903" i="4"/>
  <c r="BL904" i="4"/>
  <c r="BL905" i="4"/>
  <c r="BL906" i="4"/>
  <c r="BL907" i="4"/>
  <c r="BL908" i="4"/>
  <c r="BL909" i="4"/>
  <c r="BL910" i="4"/>
  <c r="BL911" i="4"/>
  <c r="BL912" i="4"/>
  <c r="BL913" i="4"/>
  <c r="BL914" i="4"/>
  <c r="BL915" i="4"/>
  <c r="BL916" i="4"/>
  <c r="BL917" i="4"/>
  <c r="BL918" i="4"/>
  <c r="BL919" i="4"/>
  <c r="BL920" i="4"/>
  <c r="BL921" i="4"/>
  <c r="BL922" i="4"/>
  <c r="BL923" i="4"/>
  <c r="BL924" i="4"/>
  <c r="BL925" i="4"/>
  <c r="BL926" i="4"/>
  <c r="BL927" i="4"/>
  <c r="BL928" i="4"/>
  <c r="BL929" i="4"/>
  <c r="BL930" i="4"/>
  <c r="BL931" i="4"/>
  <c r="BL932" i="4"/>
  <c r="BL933" i="4"/>
  <c r="BL934" i="4"/>
  <c r="BL935" i="4"/>
  <c r="BL936" i="4"/>
  <c r="BL937" i="4"/>
  <c r="BL938" i="4"/>
  <c r="BL939" i="4"/>
  <c r="BL940" i="4"/>
  <c r="BL941" i="4"/>
  <c r="BL942" i="4"/>
  <c r="BL943" i="4"/>
  <c r="BL944" i="4"/>
  <c r="BL945" i="4"/>
  <c r="BL946" i="4"/>
  <c r="BL947" i="4"/>
  <c r="BL948" i="4"/>
  <c r="BL949" i="4"/>
  <c r="BL950" i="4"/>
  <c r="BL951" i="4"/>
  <c r="BL952" i="4"/>
  <c r="BL953" i="4"/>
  <c r="BL954" i="4"/>
  <c r="BL955" i="4"/>
  <c r="BL956" i="4"/>
  <c r="BL957" i="4"/>
  <c r="BL958" i="4"/>
  <c r="BL959" i="4"/>
  <c r="BL960" i="4"/>
  <c r="BL961" i="4"/>
  <c r="BL962" i="4"/>
  <c r="BL963" i="4"/>
  <c r="BL964" i="4"/>
  <c r="BL965" i="4"/>
  <c r="BL966" i="4"/>
  <c r="BL967" i="4"/>
  <c r="BL968" i="4"/>
  <c r="BL969" i="4"/>
  <c r="BL970" i="4"/>
  <c r="BL971" i="4"/>
  <c r="BL972" i="4"/>
  <c r="BL973" i="4"/>
  <c r="BL974" i="4"/>
  <c r="BL975" i="4"/>
  <c r="BL976" i="4"/>
  <c r="BL977" i="4"/>
  <c r="BL978" i="4"/>
  <c r="BL979" i="4"/>
  <c r="BL980" i="4"/>
  <c r="BL981" i="4"/>
  <c r="BL982" i="4"/>
  <c r="BL983" i="4"/>
  <c r="BL984" i="4"/>
  <c r="BL985" i="4"/>
  <c r="BL986" i="4"/>
  <c r="BL987" i="4"/>
  <c r="BL988" i="4"/>
  <c r="BL989" i="4"/>
  <c r="BL990" i="4"/>
  <c r="BL991" i="4"/>
  <c r="BL992" i="4"/>
  <c r="BL993" i="4"/>
  <c r="BL994" i="4"/>
  <c r="BL995" i="4"/>
  <c r="BL996" i="4"/>
  <c r="BL997" i="4"/>
  <c r="BL998" i="4"/>
  <c r="BL999" i="4"/>
  <c r="BL1000" i="4"/>
  <c r="BL1001" i="4"/>
  <c r="BL1002" i="4"/>
  <c r="BL1003" i="4"/>
  <c r="BL1004" i="4"/>
  <c r="BL1005" i="4"/>
  <c r="BL1006" i="4"/>
  <c r="BL1007" i="4"/>
  <c r="BL1008" i="4"/>
  <c r="BL1009" i="4"/>
  <c r="BL1010" i="4"/>
  <c r="BL1011" i="4"/>
  <c r="BL1012" i="4"/>
  <c r="BL1013" i="4"/>
  <c r="BL1014" i="4"/>
  <c r="BL1015" i="4"/>
  <c r="BL1016" i="4"/>
  <c r="BL1017" i="4"/>
  <c r="BL1018" i="4"/>
  <c r="BL1019" i="4"/>
  <c r="BL1020" i="4"/>
  <c r="BL1021" i="4"/>
  <c r="BL1022" i="4"/>
  <c r="BL1023" i="4"/>
  <c r="BL1024" i="4"/>
  <c r="BL1025" i="4"/>
  <c r="BL1026" i="4"/>
  <c r="BL1027" i="4"/>
  <c r="BL1028" i="4"/>
  <c r="BL1029" i="4"/>
  <c r="BL1030" i="4"/>
  <c r="BL1031" i="4"/>
  <c r="BL1032" i="4"/>
  <c r="BL1033" i="4"/>
  <c r="BL1034" i="4"/>
  <c r="BL1035" i="4"/>
  <c r="BL1036" i="4"/>
  <c r="BL1037" i="4"/>
  <c r="BL1038" i="4"/>
  <c r="BL1039" i="4"/>
  <c r="BL1040" i="4"/>
  <c r="BL1041" i="4"/>
  <c r="BL1042" i="4"/>
  <c r="BL1043" i="4"/>
  <c r="BL1044" i="4"/>
  <c r="BL1045" i="4"/>
  <c r="BL1046" i="4"/>
  <c r="BL1047" i="4"/>
  <c r="BL1048" i="4"/>
  <c r="BL1049" i="4"/>
  <c r="BL1050" i="4"/>
  <c r="BL1051" i="4"/>
  <c r="BL1052" i="4"/>
  <c r="BL1053" i="4"/>
  <c r="BL1054" i="4"/>
  <c r="BL1055" i="4"/>
  <c r="BL1056" i="4"/>
  <c r="BL1057" i="4"/>
  <c r="BL1058" i="4"/>
  <c r="BL1059" i="4"/>
  <c r="BL1060" i="4"/>
  <c r="BL1061" i="4"/>
  <c r="BL1062" i="4"/>
  <c r="BL1063" i="4"/>
  <c r="BL1064" i="4"/>
  <c r="BL1065" i="4"/>
  <c r="BL1066" i="4"/>
  <c r="BL1067" i="4"/>
  <c r="BL1068" i="4"/>
  <c r="BL1069" i="4"/>
  <c r="BL1070" i="4"/>
  <c r="BL1071" i="4"/>
  <c r="BL1072" i="4"/>
  <c r="BL1073" i="4"/>
  <c r="BL1074" i="4"/>
  <c r="BL1075" i="4"/>
  <c r="BL1076" i="4"/>
  <c r="BL1077" i="4"/>
  <c r="BL1078" i="4"/>
  <c r="BL1079" i="4"/>
  <c r="BL1080" i="4"/>
  <c r="BL1081" i="4"/>
  <c r="BL1082" i="4"/>
  <c r="BL1083" i="4"/>
  <c r="BL1084" i="4"/>
  <c r="BL1085" i="4"/>
  <c r="BL1086" i="4"/>
  <c r="BL1087" i="4"/>
  <c r="BL1088" i="4"/>
  <c r="BL1089" i="4"/>
  <c r="BL1090" i="4"/>
  <c r="BL1091" i="4"/>
  <c r="BL1092" i="4"/>
  <c r="BL1093" i="4"/>
  <c r="BL1094" i="4"/>
  <c r="BL1095" i="4"/>
  <c r="BL1096" i="4"/>
  <c r="BL1097" i="4"/>
  <c r="BL1098" i="4"/>
  <c r="BL1099" i="4"/>
  <c r="BL1100" i="4"/>
  <c r="BL1101" i="4"/>
  <c r="BL1102" i="4"/>
  <c r="BL1103" i="4"/>
  <c r="BL1104" i="4"/>
  <c r="BL1105" i="4"/>
  <c r="BL1106" i="4"/>
  <c r="BL1107" i="4"/>
  <c r="BL1108" i="4"/>
  <c r="BL1109" i="4"/>
  <c r="BL1110" i="4"/>
  <c r="BL1111" i="4"/>
  <c r="BL1112" i="4"/>
  <c r="BL1113" i="4"/>
  <c r="BL1114" i="4"/>
  <c r="BL1115" i="4"/>
  <c r="BL1116" i="4"/>
  <c r="BL1117" i="4"/>
  <c r="BL1118" i="4"/>
  <c r="BL1119" i="4"/>
  <c r="BL1120" i="4"/>
  <c r="BL1121" i="4"/>
  <c r="BL1122" i="4"/>
  <c r="BL1123" i="4"/>
  <c r="BL1124" i="4"/>
  <c r="BL1125" i="4"/>
  <c r="BL1126" i="4"/>
  <c r="BL1127" i="4"/>
  <c r="BL1128" i="4"/>
  <c r="BL1129" i="4"/>
  <c r="BL1130" i="4"/>
  <c r="BL1131" i="4"/>
  <c r="BL1132" i="4"/>
  <c r="BL1133" i="4"/>
  <c r="BL1134" i="4"/>
  <c r="BL1135" i="4"/>
  <c r="BL1136" i="4"/>
  <c r="BL1137" i="4"/>
  <c r="BL1138" i="4"/>
  <c r="BL1139" i="4"/>
  <c r="BL1140" i="4"/>
  <c r="BL1141" i="4"/>
  <c r="BL1142" i="4"/>
  <c r="BL1143" i="4"/>
  <c r="BL1144" i="4"/>
  <c r="BL1145" i="4"/>
  <c r="BL1146" i="4"/>
  <c r="BL1147" i="4"/>
  <c r="BL1148" i="4"/>
  <c r="BL1149" i="4"/>
  <c r="BL1150" i="4"/>
  <c r="BL1151" i="4"/>
  <c r="BL1152" i="4"/>
  <c r="BL1153" i="4"/>
  <c r="BL1154" i="4"/>
  <c r="BL1155" i="4"/>
  <c r="BL1156" i="4"/>
  <c r="BL1157" i="4"/>
  <c r="BL1158" i="4"/>
  <c r="BL1159" i="4"/>
  <c r="BL1160" i="4"/>
  <c r="BL1161" i="4"/>
  <c r="BL1162" i="4"/>
  <c r="BL1163" i="4"/>
  <c r="BL1164" i="4"/>
  <c r="BL1165" i="4"/>
  <c r="BL1166" i="4"/>
  <c r="BL1167" i="4"/>
  <c r="BL1168" i="4"/>
  <c r="BL1169" i="4"/>
  <c r="BL1170" i="4"/>
  <c r="BL1171" i="4"/>
  <c r="BL1172" i="4"/>
  <c r="BL1173" i="4"/>
  <c r="BL1174" i="4"/>
  <c r="BL1175" i="4"/>
  <c r="BL1176" i="4"/>
  <c r="BL1177" i="4"/>
  <c r="BL1178" i="4"/>
  <c r="BL1179" i="4"/>
  <c r="BL1180" i="4"/>
  <c r="BL1181" i="4"/>
  <c r="BL1182" i="4"/>
  <c r="BL1183" i="4"/>
  <c r="BL1184" i="4"/>
  <c r="BL1185" i="4"/>
  <c r="BL1186" i="4"/>
  <c r="BL1187" i="4"/>
  <c r="BL1188" i="4"/>
  <c r="BL1189" i="4"/>
  <c r="BL1190" i="4"/>
  <c r="BL1191" i="4"/>
  <c r="BL1192" i="4"/>
  <c r="BL1193" i="4"/>
  <c r="BL1194" i="4"/>
  <c r="BL1195" i="4"/>
  <c r="BL1196" i="4"/>
  <c r="BL1197" i="4"/>
  <c r="BL1198" i="4"/>
  <c r="BL1199" i="4"/>
  <c r="BL1200" i="4"/>
  <c r="BL1201" i="4"/>
  <c r="BL1202" i="4"/>
  <c r="BL1203" i="4"/>
  <c r="BL1204" i="4"/>
  <c r="BL1205" i="4"/>
  <c r="BL1206" i="4"/>
  <c r="BL1207" i="4"/>
  <c r="BL1208" i="4"/>
  <c r="BL1209" i="4"/>
  <c r="BL1210" i="4"/>
  <c r="BL1211" i="4"/>
  <c r="BL1212" i="4"/>
  <c r="BL1213" i="4"/>
  <c r="BL1214" i="4"/>
  <c r="BL1215" i="4"/>
  <c r="BL1216" i="4"/>
  <c r="BL1217" i="4"/>
  <c r="BL1218" i="4"/>
  <c r="BL1219" i="4"/>
  <c r="BL1220" i="4"/>
  <c r="BL1221" i="4"/>
  <c r="BL1222" i="4"/>
  <c r="BL1223" i="4"/>
  <c r="BL1224" i="4"/>
  <c r="BL1225" i="4"/>
  <c r="BL1226" i="4"/>
  <c r="BL1227" i="4"/>
  <c r="BL1228" i="4"/>
  <c r="BL1229" i="4"/>
  <c r="BL1230" i="4"/>
  <c r="BL1231" i="4"/>
  <c r="BL1232" i="4"/>
  <c r="BL1233" i="4"/>
  <c r="BL1234" i="4"/>
  <c r="BL1235" i="4"/>
  <c r="BL1236" i="4"/>
  <c r="BL1237" i="4"/>
  <c r="BL1238" i="4"/>
  <c r="BL1239" i="4"/>
  <c r="BL1240" i="4"/>
  <c r="BL1241" i="4"/>
  <c r="BL1242" i="4"/>
  <c r="BL1243" i="4"/>
  <c r="BL1244" i="4"/>
  <c r="BL1245" i="4"/>
  <c r="BL1246" i="4"/>
  <c r="BL1247" i="4"/>
  <c r="BL1248" i="4"/>
  <c r="BL1249" i="4"/>
  <c r="BL1250" i="4"/>
  <c r="BL1251" i="4"/>
  <c r="BL1252" i="4"/>
  <c r="BL1253" i="4"/>
  <c r="BL1254" i="4"/>
  <c r="BL1255" i="4"/>
  <c r="BL1256" i="4"/>
  <c r="BL1257" i="4"/>
  <c r="BL1258" i="4"/>
  <c r="BL1259" i="4"/>
  <c r="BL1260" i="4"/>
  <c r="BL1261" i="4"/>
  <c r="BL1262" i="4"/>
  <c r="BL1263" i="4"/>
  <c r="BL1264" i="4"/>
  <c r="BL1265" i="4"/>
  <c r="BL1266" i="4"/>
  <c r="BL1267" i="4"/>
  <c r="BL1268" i="4"/>
  <c r="BL1269" i="4"/>
  <c r="BL1270" i="4"/>
  <c r="BL1271" i="4"/>
  <c r="BL1272" i="4"/>
  <c r="BL1273" i="4"/>
  <c r="BL1274" i="4"/>
  <c r="BL1275" i="4"/>
  <c r="BL1276" i="4"/>
  <c r="BL1277" i="4"/>
  <c r="BL1278" i="4"/>
  <c r="BL1279" i="4"/>
  <c r="BL1280" i="4"/>
  <c r="BL1281" i="4"/>
  <c r="BL1282" i="4"/>
  <c r="BL1283" i="4"/>
  <c r="BL1284" i="4"/>
  <c r="BL1285" i="4"/>
  <c r="BL1286" i="4"/>
  <c r="BL1287" i="4"/>
  <c r="BL1288" i="4"/>
  <c r="BL1289" i="4"/>
  <c r="BL1290" i="4"/>
  <c r="BL1291" i="4"/>
  <c r="BL1292" i="4"/>
  <c r="BL1293" i="4"/>
  <c r="BL1294" i="4"/>
  <c r="BL1295" i="4"/>
  <c r="BL1296" i="4"/>
  <c r="BL1297" i="4"/>
  <c r="BL1298" i="4"/>
  <c r="BL1299" i="4"/>
  <c r="BL1300" i="4"/>
  <c r="BL1301" i="4"/>
  <c r="BL1302" i="4"/>
  <c r="BL1303" i="4"/>
  <c r="BL1304" i="4"/>
  <c r="BL1305" i="4"/>
  <c r="BL1306" i="4"/>
  <c r="BL1307" i="4"/>
  <c r="BL1308" i="4"/>
  <c r="BL1309" i="4"/>
  <c r="BL1310" i="4"/>
  <c r="BL1311" i="4"/>
  <c r="BL1312" i="4"/>
  <c r="BL1313" i="4"/>
  <c r="BL1314" i="4"/>
  <c r="BL1315" i="4"/>
  <c r="BL1316" i="4"/>
  <c r="BL1317" i="4"/>
  <c r="BL1318" i="4"/>
  <c r="BL1319" i="4"/>
  <c r="BL1320" i="4"/>
  <c r="BL1321" i="4"/>
  <c r="BL1322" i="4"/>
  <c r="BL1323" i="4"/>
  <c r="BL1324" i="4"/>
  <c r="BL1325" i="4"/>
  <c r="BL1326" i="4"/>
  <c r="BL1327" i="4"/>
  <c r="BL1328" i="4"/>
  <c r="BL1329" i="4"/>
  <c r="BL1330" i="4"/>
  <c r="BL1331" i="4"/>
  <c r="BL1332" i="4"/>
  <c r="BL1333" i="4"/>
  <c r="BL1334" i="4"/>
  <c r="BL1335" i="4"/>
  <c r="BL1336" i="4"/>
  <c r="BL1337" i="4"/>
  <c r="BL1338" i="4"/>
  <c r="BL1339" i="4"/>
  <c r="BL1340" i="4"/>
  <c r="BL1341" i="4"/>
  <c r="BL1342" i="4"/>
  <c r="BL1343" i="4"/>
  <c r="BL1344" i="4"/>
  <c r="BL1345" i="4"/>
  <c r="BL1346" i="4"/>
  <c r="BL1347" i="4"/>
  <c r="BL1348" i="4"/>
  <c r="BL1349" i="4"/>
  <c r="BL1350" i="4"/>
  <c r="BL1351" i="4"/>
  <c r="BL1352" i="4"/>
  <c r="BL1353" i="4"/>
  <c r="BL1354" i="4"/>
  <c r="BL1355" i="4"/>
  <c r="BL1356" i="4"/>
  <c r="BL1357" i="4"/>
  <c r="BL1358" i="4"/>
  <c r="BL1359" i="4"/>
  <c r="BL1360" i="4"/>
  <c r="BL1361" i="4"/>
  <c r="BL1362" i="4"/>
  <c r="BL1363" i="4"/>
  <c r="BL1364" i="4"/>
  <c r="BL1365" i="4"/>
  <c r="BL1366" i="4"/>
  <c r="BL1367" i="4"/>
  <c r="BL1368" i="4"/>
  <c r="BL1369" i="4"/>
  <c r="BL1370" i="4"/>
  <c r="BL1371" i="4"/>
  <c r="BL1372" i="4"/>
  <c r="BL1373" i="4"/>
  <c r="BL1374" i="4"/>
  <c r="BL1375" i="4"/>
  <c r="BL1376" i="4"/>
  <c r="BL1377" i="4"/>
  <c r="BL1378" i="4"/>
  <c r="BL1379" i="4"/>
  <c r="BL1380" i="4"/>
  <c r="BL1381" i="4"/>
  <c r="BL1382" i="4"/>
  <c r="BL1383" i="4"/>
  <c r="BL1384" i="4"/>
  <c r="BL1385" i="4"/>
  <c r="BL1386" i="4"/>
  <c r="BL1387" i="4"/>
  <c r="BL1388" i="4"/>
  <c r="BL1389" i="4"/>
  <c r="BL1390" i="4"/>
  <c r="BL1391" i="4"/>
  <c r="BL1392" i="4"/>
  <c r="BL1393" i="4"/>
  <c r="BL1394" i="4"/>
  <c r="BL1395" i="4"/>
  <c r="BL1396" i="4"/>
  <c r="BL1397" i="4"/>
  <c r="BL1398" i="4"/>
  <c r="BL1399" i="4"/>
  <c r="BL1400" i="4"/>
  <c r="BL1401" i="4"/>
  <c r="BL1402" i="4"/>
  <c r="BL1403" i="4"/>
  <c r="BL1404" i="4"/>
  <c r="BL1405" i="4"/>
  <c r="BL1406" i="4"/>
  <c r="BL1407" i="4"/>
  <c r="BL1408" i="4"/>
  <c r="BL1409" i="4"/>
  <c r="BL1410" i="4"/>
  <c r="BL1411" i="4"/>
  <c r="BL1412" i="4"/>
  <c r="BL1413" i="4"/>
  <c r="BL1414" i="4"/>
  <c r="BL1415" i="4"/>
  <c r="BL1416" i="4"/>
  <c r="BL1417" i="4"/>
  <c r="BL1418" i="4"/>
  <c r="BL1419" i="4"/>
  <c r="BL1420" i="4"/>
  <c r="BL1421" i="4"/>
  <c r="BL1422" i="4"/>
  <c r="BL1423" i="4"/>
  <c r="BL1424" i="4"/>
  <c r="BL1425" i="4"/>
  <c r="BL1426" i="4"/>
  <c r="BL1427" i="4"/>
  <c r="BL1428" i="4"/>
  <c r="BL1429" i="4"/>
  <c r="BL1430" i="4"/>
  <c r="BL1431" i="4"/>
  <c r="BL1432" i="4"/>
  <c r="BL1433" i="4"/>
  <c r="BL1434" i="4"/>
  <c r="BL1435" i="4"/>
  <c r="BL1436" i="4"/>
  <c r="BL1437" i="4"/>
  <c r="BL1438" i="4"/>
  <c r="BL1439" i="4"/>
  <c r="BL1440" i="4"/>
  <c r="BL1441" i="4"/>
  <c r="BL1442" i="4"/>
  <c r="BL1443" i="4"/>
  <c r="BL1444" i="4"/>
  <c r="BL1445" i="4"/>
  <c r="BL1446" i="4"/>
  <c r="BL1447" i="4"/>
  <c r="BL1448" i="4"/>
  <c r="BL1449" i="4"/>
  <c r="BL1450" i="4"/>
  <c r="B69" i="4" l="1"/>
  <c r="B68" i="4"/>
  <c r="B67" i="4"/>
  <c r="B66" i="4"/>
  <c r="B65" i="4"/>
  <c r="B64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BN11" i="4"/>
  <c r="E5" i="4"/>
  <c r="C5" i="4"/>
  <c r="A5" i="4"/>
  <c r="F1441" i="3"/>
  <c r="A1441" i="3"/>
  <c r="F1440" i="3"/>
  <c r="A1440" i="3"/>
  <c r="F1439" i="3"/>
  <c r="A1439" i="3"/>
  <c r="F1438" i="3"/>
  <c r="A1438" i="3"/>
  <c r="F1437" i="3"/>
  <c r="A1437" i="3"/>
  <c r="F1436" i="3"/>
  <c r="A1436" i="3"/>
  <c r="F1435" i="3"/>
  <c r="A1435" i="3"/>
  <c r="F1434" i="3"/>
  <c r="A1434" i="3"/>
  <c r="F1433" i="3"/>
  <c r="A1433" i="3"/>
  <c r="F1432" i="3"/>
  <c r="A1432" i="3"/>
  <c r="F1431" i="3"/>
  <c r="A1431" i="3"/>
  <c r="F1430" i="3"/>
  <c r="A1430" i="3"/>
  <c r="F1429" i="3"/>
  <c r="A1429" i="3"/>
  <c r="F1428" i="3"/>
  <c r="A1428" i="3"/>
  <c r="F1427" i="3"/>
  <c r="A1427" i="3"/>
  <c r="F1426" i="3"/>
  <c r="A1426" i="3"/>
  <c r="F1425" i="3"/>
  <c r="A1425" i="3"/>
  <c r="F1424" i="3"/>
  <c r="A1424" i="3"/>
  <c r="F1423" i="3"/>
  <c r="A1423" i="3"/>
  <c r="F1422" i="3"/>
  <c r="A1422" i="3"/>
  <c r="F1421" i="3"/>
  <c r="A1421" i="3"/>
  <c r="F1420" i="3"/>
  <c r="A1420" i="3"/>
  <c r="F1419" i="3"/>
  <c r="A1419" i="3"/>
  <c r="F1418" i="3"/>
  <c r="A1418" i="3"/>
  <c r="F1417" i="3"/>
  <c r="A1417" i="3"/>
  <c r="F1416" i="3"/>
  <c r="A1416" i="3"/>
  <c r="F1415" i="3"/>
  <c r="A1415" i="3"/>
  <c r="F1414" i="3"/>
  <c r="A1414" i="3"/>
  <c r="F1413" i="3"/>
  <c r="A1413" i="3"/>
  <c r="F1412" i="3"/>
  <c r="A1412" i="3"/>
  <c r="F1411" i="3"/>
  <c r="A1411" i="3"/>
  <c r="F1410" i="3"/>
  <c r="A1410" i="3"/>
  <c r="F1409" i="3"/>
  <c r="A1409" i="3"/>
  <c r="F1408" i="3"/>
  <c r="A1408" i="3"/>
  <c r="F1407" i="3"/>
  <c r="A1407" i="3"/>
  <c r="F1406" i="3"/>
  <c r="A1406" i="3"/>
  <c r="F1405" i="3"/>
  <c r="A1405" i="3"/>
  <c r="F1404" i="3"/>
  <c r="A1404" i="3"/>
  <c r="F1403" i="3"/>
  <c r="A1403" i="3"/>
  <c r="F1402" i="3"/>
  <c r="A1402" i="3"/>
  <c r="F1401" i="3"/>
  <c r="A1401" i="3"/>
  <c r="F1400" i="3"/>
  <c r="A1400" i="3"/>
  <c r="F1399" i="3"/>
  <c r="A1399" i="3"/>
  <c r="F1398" i="3"/>
  <c r="A1398" i="3"/>
  <c r="F1397" i="3"/>
  <c r="A1397" i="3"/>
  <c r="F1396" i="3"/>
  <c r="A1396" i="3"/>
  <c r="F1395" i="3"/>
  <c r="A1395" i="3"/>
  <c r="F1394" i="3"/>
  <c r="A1394" i="3"/>
  <c r="F1393" i="3"/>
  <c r="A1393" i="3"/>
  <c r="F1392" i="3"/>
  <c r="A1392" i="3"/>
  <c r="F1391" i="3"/>
  <c r="A1391" i="3"/>
  <c r="F1390" i="3"/>
  <c r="A1390" i="3"/>
  <c r="F1389" i="3"/>
  <c r="A1389" i="3"/>
  <c r="F1388" i="3"/>
  <c r="A1388" i="3"/>
  <c r="F1387" i="3"/>
  <c r="A1387" i="3"/>
  <c r="F1386" i="3"/>
  <c r="A1386" i="3"/>
  <c r="F1385" i="3"/>
  <c r="A1385" i="3"/>
  <c r="F1384" i="3"/>
  <c r="A1384" i="3"/>
  <c r="F1383" i="3"/>
  <c r="A1383" i="3"/>
  <c r="F1382" i="3"/>
  <c r="A1382" i="3"/>
  <c r="F1381" i="3"/>
  <c r="A1381" i="3"/>
  <c r="F1380" i="3"/>
  <c r="A1380" i="3"/>
  <c r="F1379" i="3"/>
  <c r="A1379" i="3"/>
  <c r="F1378" i="3"/>
  <c r="A1378" i="3"/>
  <c r="F1377" i="3"/>
  <c r="A1377" i="3"/>
  <c r="F1376" i="3"/>
  <c r="A1376" i="3"/>
  <c r="F1375" i="3"/>
  <c r="A1375" i="3"/>
  <c r="F1374" i="3"/>
  <c r="A1374" i="3"/>
  <c r="F1373" i="3"/>
  <c r="A1373" i="3"/>
  <c r="F1372" i="3"/>
  <c r="A1372" i="3"/>
  <c r="F1371" i="3"/>
  <c r="A1371" i="3"/>
  <c r="F1370" i="3"/>
  <c r="A1370" i="3"/>
  <c r="F1369" i="3"/>
  <c r="A1369" i="3"/>
  <c r="F1368" i="3"/>
  <c r="A1368" i="3"/>
  <c r="F1367" i="3"/>
  <c r="A1367" i="3"/>
  <c r="F1366" i="3"/>
  <c r="A1366" i="3"/>
  <c r="F1365" i="3"/>
  <c r="A1365" i="3"/>
  <c r="F1364" i="3"/>
  <c r="A1364" i="3"/>
  <c r="F1363" i="3"/>
  <c r="A1363" i="3"/>
  <c r="F1362" i="3"/>
  <c r="A1362" i="3"/>
  <c r="F1361" i="3"/>
  <c r="A1361" i="3"/>
  <c r="F1360" i="3"/>
  <c r="A1360" i="3"/>
  <c r="F1359" i="3"/>
  <c r="A1359" i="3"/>
  <c r="F1358" i="3"/>
  <c r="A1358" i="3"/>
  <c r="F1357" i="3"/>
  <c r="A1357" i="3"/>
  <c r="F1356" i="3"/>
  <c r="A1356" i="3"/>
  <c r="F1355" i="3"/>
  <c r="A1355" i="3"/>
  <c r="F1354" i="3"/>
  <c r="A1354" i="3"/>
  <c r="F1353" i="3"/>
  <c r="A1353" i="3"/>
  <c r="F1352" i="3"/>
  <c r="A1352" i="3"/>
  <c r="F1351" i="3"/>
  <c r="A1351" i="3"/>
  <c r="F1350" i="3"/>
  <c r="A1350" i="3"/>
  <c r="F1349" i="3"/>
  <c r="A1349" i="3"/>
  <c r="F1348" i="3"/>
  <c r="A1348" i="3"/>
  <c r="F1347" i="3"/>
  <c r="A1347" i="3"/>
  <c r="F1346" i="3"/>
  <c r="A1346" i="3"/>
  <c r="F1345" i="3"/>
  <c r="A1345" i="3"/>
  <c r="F1344" i="3"/>
  <c r="A1344" i="3"/>
  <c r="F1343" i="3"/>
  <c r="A1343" i="3"/>
  <c r="F1342" i="3"/>
  <c r="A1342" i="3"/>
  <c r="F1341" i="3"/>
  <c r="A1341" i="3"/>
  <c r="F1340" i="3"/>
  <c r="A1340" i="3"/>
  <c r="F1339" i="3"/>
  <c r="A1339" i="3"/>
  <c r="F1338" i="3"/>
  <c r="A1338" i="3"/>
  <c r="F1337" i="3"/>
  <c r="A1337" i="3"/>
  <c r="F1336" i="3"/>
  <c r="A1336" i="3"/>
  <c r="F1335" i="3"/>
  <c r="A1335" i="3"/>
  <c r="F1334" i="3"/>
  <c r="A1334" i="3"/>
  <c r="F1333" i="3"/>
  <c r="A1333" i="3"/>
  <c r="F1332" i="3"/>
  <c r="A1332" i="3"/>
  <c r="F1331" i="3"/>
  <c r="A1331" i="3"/>
  <c r="F1330" i="3"/>
  <c r="A1330" i="3"/>
  <c r="F1329" i="3"/>
  <c r="A1329" i="3"/>
  <c r="F1328" i="3"/>
  <c r="A1328" i="3"/>
  <c r="F1327" i="3"/>
  <c r="A1327" i="3"/>
  <c r="F1326" i="3"/>
  <c r="A1326" i="3"/>
  <c r="F1325" i="3"/>
  <c r="A1325" i="3"/>
  <c r="F1324" i="3"/>
  <c r="A1324" i="3"/>
  <c r="F1323" i="3"/>
  <c r="A1323" i="3"/>
  <c r="F1322" i="3"/>
  <c r="A1322" i="3"/>
  <c r="F1321" i="3"/>
  <c r="A1321" i="3"/>
  <c r="F1320" i="3"/>
  <c r="A1320" i="3"/>
  <c r="F1319" i="3"/>
  <c r="A1319" i="3"/>
  <c r="F1318" i="3"/>
  <c r="A1318" i="3"/>
  <c r="F1317" i="3"/>
  <c r="A1317" i="3"/>
  <c r="F1316" i="3"/>
  <c r="A1316" i="3"/>
  <c r="F1315" i="3"/>
  <c r="A1315" i="3"/>
  <c r="F1314" i="3"/>
  <c r="A1314" i="3"/>
  <c r="F1313" i="3"/>
  <c r="A1313" i="3"/>
  <c r="F1312" i="3"/>
  <c r="A1312" i="3"/>
  <c r="F1311" i="3"/>
  <c r="A1311" i="3"/>
  <c r="F1310" i="3"/>
  <c r="A1310" i="3"/>
  <c r="F1309" i="3"/>
  <c r="A1309" i="3"/>
  <c r="F1308" i="3"/>
  <c r="A1308" i="3"/>
  <c r="F1307" i="3"/>
  <c r="A1307" i="3"/>
  <c r="F1306" i="3"/>
  <c r="A1306" i="3"/>
  <c r="F1305" i="3"/>
  <c r="A1305" i="3"/>
  <c r="F1304" i="3"/>
  <c r="A1304" i="3"/>
  <c r="F1303" i="3"/>
  <c r="A1303" i="3"/>
  <c r="F1302" i="3"/>
  <c r="A1302" i="3"/>
  <c r="F1301" i="3"/>
  <c r="A1301" i="3"/>
  <c r="F1300" i="3"/>
  <c r="A1300" i="3"/>
  <c r="F1299" i="3"/>
  <c r="A1299" i="3"/>
  <c r="F1298" i="3"/>
  <c r="A1298" i="3"/>
  <c r="F1297" i="3"/>
  <c r="A1297" i="3"/>
  <c r="F1296" i="3"/>
  <c r="A1296" i="3"/>
  <c r="F1295" i="3"/>
  <c r="A1295" i="3"/>
  <c r="F1294" i="3"/>
  <c r="A1294" i="3"/>
  <c r="F1293" i="3"/>
  <c r="A1293" i="3"/>
  <c r="F1292" i="3"/>
  <c r="A1292" i="3"/>
  <c r="F1291" i="3"/>
  <c r="A1291" i="3"/>
  <c r="F1290" i="3"/>
  <c r="A1290" i="3"/>
  <c r="F1289" i="3"/>
  <c r="A1289" i="3"/>
  <c r="F1288" i="3"/>
  <c r="A1288" i="3"/>
  <c r="F1287" i="3"/>
  <c r="A1287" i="3"/>
  <c r="F1286" i="3"/>
  <c r="A1286" i="3"/>
  <c r="F1285" i="3"/>
  <c r="A1285" i="3"/>
  <c r="F1284" i="3"/>
  <c r="A1284" i="3"/>
  <c r="F1283" i="3"/>
  <c r="A1283" i="3"/>
  <c r="F1282" i="3"/>
  <c r="A1282" i="3"/>
  <c r="F1281" i="3"/>
  <c r="A1281" i="3"/>
  <c r="F1280" i="3"/>
  <c r="A1280" i="3"/>
  <c r="F1279" i="3"/>
  <c r="A1279" i="3"/>
  <c r="F1278" i="3"/>
  <c r="A1278" i="3"/>
  <c r="F1277" i="3"/>
  <c r="A1277" i="3"/>
  <c r="F1276" i="3"/>
  <c r="A1276" i="3"/>
  <c r="F1275" i="3"/>
  <c r="A1275" i="3"/>
  <c r="F1274" i="3"/>
  <c r="A1274" i="3"/>
  <c r="F1273" i="3"/>
  <c r="A1273" i="3"/>
  <c r="F1272" i="3"/>
  <c r="A1272" i="3"/>
  <c r="F1271" i="3"/>
  <c r="A1271" i="3"/>
  <c r="F1270" i="3"/>
  <c r="A1270" i="3"/>
  <c r="F1269" i="3"/>
  <c r="A1269" i="3"/>
  <c r="F1268" i="3"/>
  <c r="A1268" i="3"/>
  <c r="F1267" i="3"/>
  <c r="A1267" i="3"/>
  <c r="F1266" i="3"/>
  <c r="A1266" i="3"/>
  <c r="F1265" i="3"/>
  <c r="A1265" i="3"/>
  <c r="F1264" i="3"/>
  <c r="A1264" i="3"/>
  <c r="F1263" i="3"/>
  <c r="A1263" i="3"/>
  <c r="F1262" i="3"/>
  <c r="A1262" i="3"/>
  <c r="F1261" i="3"/>
  <c r="A1261" i="3"/>
  <c r="F1260" i="3"/>
  <c r="A1260" i="3"/>
  <c r="F1259" i="3"/>
  <c r="A1259" i="3"/>
  <c r="F1258" i="3"/>
  <c r="A1258" i="3"/>
  <c r="F1257" i="3"/>
  <c r="A1257" i="3"/>
  <c r="F1256" i="3"/>
  <c r="A1256" i="3"/>
  <c r="F1255" i="3"/>
  <c r="A1255" i="3"/>
  <c r="F1254" i="3"/>
  <c r="A1254" i="3"/>
  <c r="F1253" i="3"/>
  <c r="A1253" i="3"/>
  <c r="F1252" i="3"/>
  <c r="A1252" i="3"/>
  <c r="F1251" i="3"/>
  <c r="A1251" i="3"/>
  <c r="F1250" i="3"/>
  <c r="A1250" i="3"/>
  <c r="F1249" i="3"/>
  <c r="A1249" i="3"/>
  <c r="F1248" i="3"/>
  <c r="A1248" i="3"/>
  <c r="F1247" i="3"/>
  <c r="A1247" i="3"/>
  <c r="F1246" i="3"/>
  <c r="A1246" i="3"/>
  <c r="F1245" i="3"/>
  <c r="A1245" i="3"/>
  <c r="F1244" i="3"/>
  <c r="A1244" i="3"/>
  <c r="F1243" i="3"/>
  <c r="A1243" i="3"/>
  <c r="F1242" i="3"/>
  <c r="A1242" i="3"/>
  <c r="F1241" i="3"/>
  <c r="A1241" i="3"/>
  <c r="F1240" i="3"/>
  <c r="A1240" i="3"/>
  <c r="F1239" i="3"/>
  <c r="A1239" i="3"/>
  <c r="F1238" i="3"/>
  <c r="A1238" i="3"/>
  <c r="F1237" i="3"/>
  <c r="A1237" i="3"/>
  <c r="F1236" i="3"/>
  <c r="A1236" i="3"/>
  <c r="F1235" i="3"/>
  <c r="A1235" i="3"/>
  <c r="F1234" i="3"/>
  <c r="A1234" i="3"/>
  <c r="F1233" i="3"/>
  <c r="A1233" i="3"/>
  <c r="F1232" i="3"/>
  <c r="A1232" i="3"/>
  <c r="F1231" i="3"/>
  <c r="A1231" i="3"/>
  <c r="F1230" i="3"/>
  <c r="A1230" i="3"/>
  <c r="F1229" i="3"/>
  <c r="A1229" i="3"/>
  <c r="F1228" i="3"/>
  <c r="A1228" i="3"/>
  <c r="F1227" i="3"/>
  <c r="A1227" i="3"/>
  <c r="F1226" i="3"/>
  <c r="A1226" i="3"/>
  <c r="F1225" i="3"/>
  <c r="A1225" i="3"/>
  <c r="F1224" i="3"/>
  <c r="A1224" i="3"/>
  <c r="F1223" i="3"/>
  <c r="A1223" i="3"/>
  <c r="F1222" i="3"/>
  <c r="A1222" i="3"/>
  <c r="F1221" i="3"/>
  <c r="A1221" i="3"/>
  <c r="F1220" i="3"/>
  <c r="A1220" i="3"/>
  <c r="F1219" i="3"/>
  <c r="A1219" i="3"/>
  <c r="F1218" i="3"/>
  <c r="A1218" i="3"/>
  <c r="F1217" i="3"/>
  <c r="A1217" i="3"/>
  <c r="F1216" i="3"/>
  <c r="A1216" i="3"/>
  <c r="F1215" i="3"/>
  <c r="A1215" i="3"/>
  <c r="F1214" i="3"/>
  <c r="A1214" i="3"/>
  <c r="F1213" i="3"/>
  <c r="A1213" i="3"/>
  <c r="F1212" i="3"/>
  <c r="A1212" i="3"/>
  <c r="F1211" i="3"/>
  <c r="A1211" i="3"/>
  <c r="F1210" i="3"/>
  <c r="A1210" i="3"/>
  <c r="F1209" i="3"/>
  <c r="A1209" i="3"/>
  <c r="F1208" i="3"/>
  <c r="A1208" i="3"/>
  <c r="F1207" i="3"/>
  <c r="A1207" i="3"/>
  <c r="F1206" i="3"/>
  <c r="A1206" i="3"/>
  <c r="F1205" i="3"/>
  <c r="A1205" i="3"/>
  <c r="F1204" i="3"/>
  <c r="A1204" i="3"/>
  <c r="F1203" i="3"/>
  <c r="A1203" i="3"/>
  <c r="F1202" i="3"/>
  <c r="A1202" i="3"/>
  <c r="F1201" i="3"/>
  <c r="A1201" i="3"/>
  <c r="F1200" i="3"/>
  <c r="A1200" i="3"/>
  <c r="F1199" i="3"/>
  <c r="A1199" i="3"/>
  <c r="F1198" i="3"/>
  <c r="A1198" i="3"/>
  <c r="F1197" i="3"/>
  <c r="A1197" i="3"/>
  <c r="F1196" i="3"/>
  <c r="A1196" i="3"/>
  <c r="F1195" i="3"/>
  <c r="A1195" i="3"/>
  <c r="F1194" i="3"/>
  <c r="A1194" i="3"/>
  <c r="F1193" i="3"/>
  <c r="A1193" i="3"/>
  <c r="F1192" i="3"/>
  <c r="A1192" i="3"/>
  <c r="F1191" i="3"/>
  <c r="A1191" i="3"/>
  <c r="F1190" i="3"/>
  <c r="A1190" i="3"/>
  <c r="F1189" i="3"/>
  <c r="A1189" i="3"/>
  <c r="F1188" i="3"/>
  <c r="A1188" i="3"/>
  <c r="F1187" i="3"/>
  <c r="A1187" i="3"/>
  <c r="F1186" i="3"/>
  <c r="A1186" i="3"/>
  <c r="F1185" i="3"/>
  <c r="A1185" i="3"/>
  <c r="F1184" i="3"/>
  <c r="A1184" i="3"/>
  <c r="F1183" i="3"/>
  <c r="A1183" i="3"/>
  <c r="F1182" i="3"/>
  <c r="A1182" i="3"/>
  <c r="F1181" i="3"/>
  <c r="A1181" i="3"/>
  <c r="F1180" i="3"/>
  <c r="A1180" i="3"/>
  <c r="F1179" i="3"/>
  <c r="A1179" i="3"/>
  <c r="F1178" i="3"/>
  <c r="A1178" i="3"/>
  <c r="F1177" i="3"/>
  <c r="A1177" i="3"/>
  <c r="F1176" i="3"/>
  <c r="A1176" i="3"/>
  <c r="F1175" i="3"/>
  <c r="A1175" i="3"/>
  <c r="F1174" i="3"/>
  <c r="A1174" i="3"/>
  <c r="F1173" i="3"/>
  <c r="A1173" i="3"/>
  <c r="F1172" i="3"/>
  <c r="A1172" i="3"/>
  <c r="F1171" i="3"/>
  <c r="A1171" i="3"/>
  <c r="F1170" i="3"/>
  <c r="A1170" i="3"/>
  <c r="F1169" i="3"/>
  <c r="A1169" i="3"/>
  <c r="F1168" i="3"/>
  <c r="A1168" i="3"/>
  <c r="F1167" i="3"/>
  <c r="A1167" i="3"/>
  <c r="F1166" i="3"/>
  <c r="A1166" i="3"/>
  <c r="F1165" i="3"/>
  <c r="A1165" i="3"/>
  <c r="F1164" i="3"/>
  <c r="A1164" i="3"/>
  <c r="F1163" i="3"/>
  <c r="A1163" i="3"/>
  <c r="F1162" i="3"/>
  <c r="A1162" i="3"/>
  <c r="F1161" i="3"/>
  <c r="A1161" i="3"/>
  <c r="F1160" i="3"/>
  <c r="A1160" i="3"/>
  <c r="F1159" i="3"/>
  <c r="A1159" i="3"/>
  <c r="F1158" i="3"/>
  <c r="A1158" i="3"/>
  <c r="F1157" i="3"/>
  <c r="A1157" i="3"/>
  <c r="F1156" i="3"/>
  <c r="A1156" i="3"/>
  <c r="F1155" i="3"/>
  <c r="A1155" i="3"/>
  <c r="F1154" i="3"/>
  <c r="A1154" i="3"/>
  <c r="F1153" i="3"/>
  <c r="A1153" i="3"/>
  <c r="F1152" i="3"/>
  <c r="A1152" i="3"/>
  <c r="F1151" i="3"/>
  <c r="A1151" i="3"/>
  <c r="F1150" i="3"/>
  <c r="A1150" i="3"/>
  <c r="F1149" i="3"/>
  <c r="A1149" i="3"/>
  <c r="F1148" i="3"/>
  <c r="A1148" i="3"/>
  <c r="F1147" i="3"/>
  <c r="A1147" i="3"/>
  <c r="F1146" i="3"/>
  <c r="A1146" i="3"/>
  <c r="F1145" i="3"/>
  <c r="A1145" i="3"/>
  <c r="F1144" i="3"/>
  <c r="A1144" i="3"/>
  <c r="F1143" i="3"/>
  <c r="A1143" i="3"/>
  <c r="F1142" i="3"/>
  <c r="A1142" i="3"/>
  <c r="F1141" i="3"/>
  <c r="A1141" i="3"/>
  <c r="F1140" i="3"/>
  <c r="A1140" i="3"/>
  <c r="F1139" i="3"/>
  <c r="A1139" i="3"/>
  <c r="F1138" i="3"/>
  <c r="A1138" i="3"/>
  <c r="F1137" i="3"/>
  <c r="A1137" i="3"/>
  <c r="F1136" i="3"/>
  <c r="A1136" i="3"/>
  <c r="F1135" i="3"/>
  <c r="A1135" i="3"/>
  <c r="F1134" i="3"/>
  <c r="A1134" i="3"/>
  <c r="F1133" i="3"/>
  <c r="A1133" i="3"/>
  <c r="F1132" i="3"/>
  <c r="A1132" i="3"/>
  <c r="F1131" i="3"/>
  <c r="A1131" i="3"/>
  <c r="F1130" i="3"/>
  <c r="A1130" i="3"/>
  <c r="F1129" i="3"/>
  <c r="A1129" i="3"/>
  <c r="F1128" i="3"/>
  <c r="A1128" i="3"/>
  <c r="F1127" i="3"/>
  <c r="A1127" i="3"/>
  <c r="F1126" i="3"/>
  <c r="A1126" i="3"/>
  <c r="F1125" i="3"/>
  <c r="A1125" i="3"/>
  <c r="F1124" i="3"/>
  <c r="A1124" i="3"/>
  <c r="F1123" i="3"/>
  <c r="A1123" i="3"/>
  <c r="F1122" i="3"/>
  <c r="A1122" i="3"/>
  <c r="F1121" i="3"/>
  <c r="A1121" i="3"/>
  <c r="F1120" i="3"/>
  <c r="A1120" i="3"/>
  <c r="F1119" i="3"/>
  <c r="A1119" i="3"/>
  <c r="F1118" i="3"/>
  <c r="A1118" i="3"/>
  <c r="F1117" i="3"/>
  <c r="A1117" i="3"/>
  <c r="F1116" i="3"/>
  <c r="A1116" i="3"/>
  <c r="F1115" i="3"/>
  <c r="A1115" i="3"/>
  <c r="F1114" i="3"/>
  <c r="A1114" i="3"/>
  <c r="F1113" i="3"/>
  <c r="A1113" i="3"/>
  <c r="F1112" i="3"/>
  <c r="A1112" i="3"/>
  <c r="F1111" i="3"/>
  <c r="A1111" i="3"/>
  <c r="F1110" i="3"/>
  <c r="A1110" i="3"/>
  <c r="F1109" i="3"/>
  <c r="A1109" i="3"/>
  <c r="F1108" i="3"/>
  <c r="A1108" i="3"/>
  <c r="F1107" i="3"/>
  <c r="A1107" i="3"/>
  <c r="F1106" i="3"/>
  <c r="A1106" i="3"/>
  <c r="F1105" i="3"/>
  <c r="A1105" i="3"/>
  <c r="F1104" i="3"/>
  <c r="A1104" i="3"/>
  <c r="F1103" i="3"/>
  <c r="A1103" i="3"/>
  <c r="F1102" i="3"/>
  <c r="A1102" i="3"/>
  <c r="F1101" i="3"/>
  <c r="A1101" i="3"/>
  <c r="F1100" i="3"/>
  <c r="A1100" i="3"/>
  <c r="F1099" i="3"/>
  <c r="A1099" i="3"/>
  <c r="F1098" i="3"/>
  <c r="A1098" i="3"/>
  <c r="F1097" i="3"/>
  <c r="A1097" i="3"/>
  <c r="F1096" i="3"/>
  <c r="A1096" i="3"/>
  <c r="F1095" i="3"/>
  <c r="A1095" i="3"/>
  <c r="F1094" i="3"/>
  <c r="A1094" i="3"/>
  <c r="F1093" i="3"/>
  <c r="A1093" i="3"/>
  <c r="F1092" i="3"/>
  <c r="A1092" i="3"/>
  <c r="F1091" i="3"/>
  <c r="A1091" i="3"/>
  <c r="F1090" i="3"/>
  <c r="A1090" i="3"/>
  <c r="F1089" i="3"/>
  <c r="A1089" i="3"/>
  <c r="F1088" i="3"/>
  <c r="A1088" i="3"/>
  <c r="F1087" i="3"/>
  <c r="A1087" i="3"/>
  <c r="F1086" i="3"/>
  <c r="A1086" i="3"/>
  <c r="F1085" i="3"/>
  <c r="A1085" i="3"/>
  <c r="F1084" i="3"/>
  <c r="A1084" i="3"/>
  <c r="F1083" i="3"/>
  <c r="A1083" i="3"/>
  <c r="F1082" i="3"/>
  <c r="A1082" i="3"/>
  <c r="F1081" i="3"/>
  <c r="A1081" i="3"/>
  <c r="F1080" i="3"/>
  <c r="A1080" i="3"/>
  <c r="F1079" i="3"/>
  <c r="A1079" i="3"/>
  <c r="F1078" i="3"/>
  <c r="A1078" i="3"/>
  <c r="F1077" i="3"/>
  <c r="A1077" i="3"/>
  <c r="F1076" i="3"/>
  <c r="A1076" i="3"/>
  <c r="F1075" i="3"/>
  <c r="A1075" i="3"/>
  <c r="F1074" i="3"/>
  <c r="A1074" i="3"/>
  <c r="F1073" i="3"/>
  <c r="A1073" i="3"/>
  <c r="F1072" i="3"/>
  <c r="A1072" i="3"/>
  <c r="F1071" i="3"/>
  <c r="A1071" i="3"/>
  <c r="F1070" i="3"/>
  <c r="A1070" i="3"/>
  <c r="F1069" i="3"/>
  <c r="A1069" i="3"/>
  <c r="F1068" i="3"/>
  <c r="A1068" i="3"/>
  <c r="F1067" i="3"/>
  <c r="A1067" i="3"/>
  <c r="F1066" i="3"/>
  <c r="A1066" i="3"/>
  <c r="F1065" i="3"/>
  <c r="A1065" i="3"/>
  <c r="F1064" i="3"/>
  <c r="A1064" i="3"/>
  <c r="F1063" i="3"/>
  <c r="A1063" i="3"/>
  <c r="F1062" i="3"/>
  <c r="A1062" i="3"/>
  <c r="F1061" i="3"/>
  <c r="A1061" i="3"/>
  <c r="F1060" i="3"/>
  <c r="A1060" i="3"/>
  <c r="F1059" i="3"/>
  <c r="A1059" i="3"/>
  <c r="F1058" i="3"/>
  <c r="A1058" i="3"/>
  <c r="F1057" i="3"/>
  <c r="A1057" i="3"/>
  <c r="F1056" i="3"/>
  <c r="A1056" i="3"/>
  <c r="F1055" i="3"/>
  <c r="A1055" i="3"/>
  <c r="F1054" i="3"/>
  <c r="A1054" i="3"/>
  <c r="F1053" i="3"/>
  <c r="A1053" i="3"/>
  <c r="F1052" i="3"/>
  <c r="A1052" i="3"/>
  <c r="F1051" i="3"/>
  <c r="A1051" i="3"/>
  <c r="F1050" i="3"/>
  <c r="A1050" i="3"/>
  <c r="F1049" i="3"/>
  <c r="A1049" i="3"/>
  <c r="F1048" i="3"/>
  <c r="A1048" i="3"/>
  <c r="F1047" i="3"/>
  <c r="A1047" i="3"/>
  <c r="F1046" i="3"/>
  <c r="A1046" i="3"/>
  <c r="F1045" i="3"/>
  <c r="A1045" i="3"/>
  <c r="F1044" i="3"/>
  <c r="A1044" i="3"/>
  <c r="F1043" i="3"/>
  <c r="A1043" i="3"/>
  <c r="F1042" i="3"/>
  <c r="A1042" i="3"/>
  <c r="F1041" i="3"/>
  <c r="A1041" i="3"/>
  <c r="F1040" i="3"/>
  <c r="A1040" i="3"/>
  <c r="F1039" i="3"/>
  <c r="A1039" i="3"/>
  <c r="F1038" i="3"/>
  <c r="A1038" i="3"/>
  <c r="F1037" i="3"/>
  <c r="A1037" i="3"/>
  <c r="F1036" i="3"/>
  <c r="A1036" i="3"/>
  <c r="F1035" i="3"/>
  <c r="A1035" i="3"/>
  <c r="F1034" i="3"/>
  <c r="A1034" i="3"/>
  <c r="F1033" i="3"/>
  <c r="A1033" i="3"/>
  <c r="F1032" i="3"/>
  <c r="A1032" i="3"/>
  <c r="F1031" i="3"/>
  <c r="A1031" i="3"/>
  <c r="F1030" i="3"/>
  <c r="A1030" i="3"/>
  <c r="F1029" i="3"/>
  <c r="A1029" i="3"/>
  <c r="F1028" i="3"/>
  <c r="A1028" i="3"/>
  <c r="F1027" i="3"/>
  <c r="A1027" i="3"/>
  <c r="F1026" i="3"/>
  <c r="A1026" i="3"/>
  <c r="F1025" i="3"/>
  <c r="A1025" i="3"/>
  <c r="F1024" i="3"/>
  <c r="A1024" i="3"/>
  <c r="F1023" i="3"/>
  <c r="A1023" i="3"/>
  <c r="F1022" i="3"/>
  <c r="A1022" i="3"/>
  <c r="F1021" i="3"/>
  <c r="A1021" i="3"/>
  <c r="F1020" i="3"/>
  <c r="A1020" i="3"/>
  <c r="F1019" i="3"/>
  <c r="A1019" i="3"/>
  <c r="F1018" i="3"/>
  <c r="A1018" i="3"/>
  <c r="F1017" i="3"/>
  <c r="A1017" i="3"/>
  <c r="F1016" i="3"/>
  <c r="A1016" i="3"/>
  <c r="F1015" i="3"/>
  <c r="A1015" i="3"/>
  <c r="F1014" i="3"/>
  <c r="A1014" i="3"/>
  <c r="F1013" i="3"/>
  <c r="A1013" i="3"/>
  <c r="F1012" i="3"/>
  <c r="A1012" i="3"/>
  <c r="F1011" i="3"/>
  <c r="A1011" i="3"/>
  <c r="F1010" i="3"/>
  <c r="A1010" i="3"/>
  <c r="F1009" i="3"/>
  <c r="A1009" i="3"/>
  <c r="F1008" i="3"/>
  <c r="A1008" i="3"/>
  <c r="F1007" i="3"/>
  <c r="A1007" i="3"/>
  <c r="F1006" i="3"/>
  <c r="A1006" i="3"/>
  <c r="F1005" i="3"/>
  <c r="A1005" i="3"/>
  <c r="F1004" i="3"/>
  <c r="A1004" i="3"/>
  <c r="F1003" i="3"/>
  <c r="A1003" i="3"/>
  <c r="F1002" i="3"/>
  <c r="A1002" i="3"/>
  <c r="F1001" i="3"/>
  <c r="A1001" i="3"/>
  <c r="F1000" i="3"/>
  <c r="A1000" i="3"/>
  <c r="F999" i="3"/>
  <c r="A999" i="3"/>
  <c r="F998" i="3"/>
  <c r="A998" i="3"/>
  <c r="F997" i="3"/>
  <c r="A997" i="3"/>
  <c r="F996" i="3"/>
  <c r="A996" i="3"/>
  <c r="F995" i="3"/>
  <c r="A995" i="3"/>
  <c r="F994" i="3"/>
  <c r="A994" i="3"/>
  <c r="F993" i="3"/>
  <c r="A993" i="3"/>
  <c r="F992" i="3"/>
  <c r="A992" i="3"/>
  <c r="F991" i="3"/>
  <c r="A991" i="3"/>
  <c r="F990" i="3"/>
  <c r="A990" i="3"/>
  <c r="F989" i="3"/>
  <c r="A989" i="3"/>
  <c r="F988" i="3"/>
  <c r="A988" i="3"/>
  <c r="F987" i="3"/>
  <c r="A987" i="3"/>
  <c r="F986" i="3"/>
  <c r="A986" i="3"/>
  <c r="F985" i="3"/>
  <c r="A985" i="3"/>
  <c r="F984" i="3"/>
  <c r="A984" i="3"/>
  <c r="F983" i="3"/>
  <c r="A983" i="3"/>
  <c r="F982" i="3"/>
  <c r="A982" i="3"/>
  <c r="F981" i="3"/>
  <c r="A981" i="3"/>
  <c r="F980" i="3"/>
  <c r="A980" i="3"/>
  <c r="F979" i="3"/>
  <c r="A979" i="3"/>
  <c r="F978" i="3"/>
  <c r="A978" i="3"/>
  <c r="F977" i="3"/>
  <c r="A977" i="3"/>
  <c r="F976" i="3"/>
  <c r="A976" i="3"/>
  <c r="F975" i="3"/>
  <c r="A975" i="3"/>
  <c r="F974" i="3"/>
  <c r="A974" i="3"/>
  <c r="F973" i="3"/>
  <c r="A973" i="3"/>
  <c r="F972" i="3"/>
  <c r="A972" i="3"/>
  <c r="F971" i="3"/>
  <c r="A971" i="3"/>
  <c r="F970" i="3"/>
  <c r="A970" i="3"/>
  <c r="F969" i="3"/>
  <c r="A969" i="3"/>
  <c r="F968" i="3"/>
  <c r="A968" i="3"/>
  <c r="F967" i="3"/>
  <c r="A967" i="3"/>
  <c r="F966" i="3"/>
  <c r="A966" i="3"/>
  <c r="F965" i="3"/>
  <c r="A965" i="3"/>
  <c r="F964" i="3"/>
  <c r="A964" i="3"/>
  <c r="F963" i="3"/>
  <c r="A963" i="3"/>
  <c r="F962" i="3"/>
  <c r="A962" i="3"/>
  <c r="F961" i="3"/>
  <c r="A961" i="3"/>
  <c r="F960" i="3"/>
  <c r="A960" i="3"/>
  <c r="F959" i="3"/>
  <c r="A959" i="3"/>
  <c r="F958" i="3"/>
  <c r="A958" i="3"/>
  <c r="F957" i="3"/>
  <c r="A957" i="3"/>
  <c r="F956" i="3"/>
  <c r="A956" i="3"/>
  <c r="F955" i="3"/>
  <c r="A955" i="3"/>
  <c r="F954" i="3"/>
  <c r="A954" i="3"/>
  <c r="F953" i="3"/>
  <c r="A953" i="3"/>
  <c r="F952" i="3"/>
  <c r="A952" i="3"/>
  <c r="F951" i="3"/>
  <c r="A951" i="3"/>
  <c r="F950" i="3"/>
  <c r="A950" i="3"/>
  <c r="F949" i="3"/>
  <c r="A949" i="3"/>
  <c r="F948" i="3"/>
  <c r="A948" i="3"/>
  <c r="F947" i="3"/>
  <c r="A947" i="3"/>
  <c r="F946" i="3"/>
  <c r="A946" i="3"/>
  <c r="F945" i="3"/>
  <c r="A945" i="3"/>
  <c r="F944" i="3"/>
  <c r="A944" i="3"/>
  <c r="F943" i="3"/>
  <c r="A943" i="3"/>
  <c r="F942" i="3"/>
  <c r="A942" i="3"/>
  <c r="F941" i="3"/>
  <c r="A941" i="3"/>
  <c r="F940" i="3"/>
  <c r="A940" i="3"/>
  <c r="F939" i="3"/>
  <c r="A939" i="3"/>
  <c r="F938" i="3"/>
  <c r="A938" i="3"/>
  <c r="F937" i="3"/>
  <c r="A937" i="3"/>
  <c r="F936" i="3"/>
  <c r="A936" i="3"/>
  <c r="F935" i="3"/>
  <c r="A935" i="3"/>
  <c r="F934" i="3"/>
  <c r="A934" i="3"/>
  <c r="F933" i="3"/>
  <c r="A933" i="3"/>
  <c r="F932" i="3"/>
  <c r="A932" i="3"/>
  <c r="F931" i="3"/>
  <c r="A931" i="3"/>
  <c r="F930" i="3"/>
  <c r="A930" i="3"/>
  <c r="F929" i="3"/>
  <c r="A929" i="3"/>
  <c r="F928" i="3"/>
  <c r="A928" i="3"/>
  <c r="F927" i="3"/>
  <c r="A927" i="3"/>
  <c r="F926" i="3"/>
  <c r="A926" i="3"/>
  <c r="F925" i="3"/>
  <c r="A925" i="3"/>
  <c r="F924" i="3"/>
  <c r="A924" i="3"/>
  <c r="F923" i="3"/>
  <c r="A923" i="3"/>
  <c r="F922" i="3"/>
  <c r="A922" i="3"/>
  <c r="F921" i="3"/>
  <c r="A921" i="3"/>
  <c r="F920" i="3"/>
  <c r="A920" i="3"/>
  <c r="F919" i="3"/>
  <c r="A919" i="3"/>
  <c r="F918" i="3"/>
  <c r="A918" i="3"/>
  <c r="F917" i="3"/>
  <c r="A917" i="3"/>
  <c r="F916" i="3"/>
  <c r="A916" i="3"/>
  <c r="F915" i="3"/>
  <c r="A915" i="3"/>
  <c r="F914" i="3"/>
  <c r="A914" i="3"/>
  <c r="F913" i="3"/>
  <c r="A913" i="3"/>
  <c r="F912" i="3"/>
  <c r="A912" i="3"/>
  <c r="F911" i="3"/>
  <c r="A911" i="3"/>
  <c r="F910" i="3"/>
  <c r="A910" i="3"/>
  <c r="F909" i="3"/>
  <c r="A909" i="3"/>
  <c r="F908" i="3"/>
  <c r="A908" i="3"/>
  <c r="F907" i="3"/>
  <c r="A907" i="3"/>
  <c r="F906" i="3"/>
  <c r="A906" i="3"/>
  <c r="F905" i="3"/>
  <c r="A905" i="3"/>
  <c r="F904" i="3"/>
  <c r="A904" i="3"/>
  <c r="F903" i="3"/>
  <c r="A903" i="3"/>
  <c r="F902" i="3"/>
  <c r="A902" i="3"/>
  <c r="F901" i="3"/>
  <c r="A901" i="3"/>
  <c r="F900" i="3"/>
  <c r="A900" i="3"/>
  <c r="F899" i="3"/>
  <c r="A899" i="3"/>
  <c r="F898" i="3"/>
  <c r="A898" i="3"/>
  <c r="F897" i="3"/>
  <c r="A897" i="3"/>
  <c r="F896" i="3"/>
  <c r="A896" i="3"/>
  <c r="F895" i="3"/>
  <c r="A895" i="3"/>
  <c r="F894" i="3"/>
  <c r="A894" i="3"/>
  <c r="F893" i="3"/>
  <c r="A893" i="3"/>
  <c r="F892" i="3"/>
  <c r="A892" i="3"/>
  <c r="F891" i="3"/>
  <c r="A891" i="3"/>
  <c r="F890" i="3"/>
  <c r="A890" i="3"/>
  <c r="F889" i="3"/>
  <c r="A889" i="3"/>
  <c r="F888" i="3"/>
  <c r="A888" i="3"/>
  <c r="F887" i="3"/>
  <c r="A887" i="3"/>
  <c r="F886" i="3"/>
  <c r="A886" i="3"/>
  <c r="F885" i="3"/>
  <c r="A885" i="3"/>
  <c r="F884" i="3"/>
  <c r="A884" i="3"/>
  <c r="F883" i="3"/>
  <c r="A883" i="3"/>
  <c r="F882" i="3"/>
  <c r="A882" i="3"/>
  <c r="F881" i="3"/>
  <c r="A881" i="3"/>
  <c r="F880" i="3"/>
  <c r="A880" i="3"/>
  <c r="F879" i="3"/>
  <c r="A879" i="3"/>
  <c r="F878" i="3"/>
  <c r="A878" i="3"/>
  <c r="F877" i="3"/>
  <c r="A877" i="3"/>
  <c r="F876" i="3"/>
  <c r="A876" i="3"/>
  <c r="F875" i="3"/>
  <c r="A875" i="3"/>
  <c r="F874" i="3"/>
  <c r="A874" i="3"/>
  <c r="F873" i="3"/>
  <c r="A873" i="3"/>
  <c r="F872" i="3"/>
  <c r="A872" i="3"/>
  <c r="F871" i="3"/>
  <c r="A871" i="3"/>
  <c r="F870" i="3"/>
  <c r="A870" i="3"/>
  <c r="F869" i="3"/>
  <c r="A869" i="3"/>
  <c r="F868" i="3"/>
  <c r="A868" i="3"/>
  <c r="F867" i="3"/>
  <c r="A867" i="3"/>
  <c r="F866" i="3"/>
  <c r="A866" i="3"/>
  <c r="F865" i="3"/>
  <c r="A865" i="3"/>
  <c r="F864" i="3"/>
  <c r="A864" i="3"/>
  <c r="F863" i="3"/>
  <c r="A863" i="3"/>
  <c r="F862" i="3"/>
  <c r="A862" i="3"/>
  <c r="F861" i="3"/>
  <c r="A861" i="3"/>
  <c r="F860" i="3"/>
  <c r="A860" i="3"/>
  <c r="F859" i="3"/>
  <c r="A859" i="3"/>
  <c r="F858" i="3"/>
  <c r="A858" i="3"/>
  <c r="F857" i="3"/>
  <c r="A857" i="3"/>
  <c r="F856" i="3"/>
  <c r="A856" i="3"/>
  <c r="F855" i="3"/>
  <c r="A855" i="3"/>
  <c r="F854" i="3"/>
  <c r="A854" i="3"/>
  <c r="F853" i="3"/>
  <c r="A853" i="3"/>
  <c r="F852" i="3"/>
  <c r="A852" i="3"/>
  <c r="F851" i="3"/>
  <c r="A851" i="3"/>
  <c r="F850" i="3"/>
  <c r="A850" i="3"/>
  <c r="F849" i="3"/>
  <c r="A849" i="3"/>
  <c r="F848" i="3"/>
  <c r="A848" i="3"/>
  <c r="F847" i="3"/>
  <c r="A847" i="3"/>
  <c r="F846" i="3"/>
  <c r="A846" i="3"/>
  <c r="F845" i="3"/>
  <c r="A845" i="3"/>
  <c r="F844" i="3"/>
  <c r="A844" i="3"/>
  <c r="F843" i="3"/>
  <c r="A843" i="3"/>
  <c r="F842" i="3"/>
  <c r="A842" i="3"/>
  <c r="F841" i="3"/>
  <c r="A841" i="3"/>
  <c r="F840" i="3"/>
  <c r="A840" i="3"/>
  <c r="F839" i="3"/>
  <c r="A839" i="3"/>
  <c r="F838" i="3"/>
  <c r="A838" i="3"/>
  <c r="F837" i="3"/>
  <c r="A837" i="3"/>
  <c r="F836" i="3"/>
  <c r="A836" i="3"/>
  <c r="F835" i="3"/>
  <c r="A835" i="3"/>
  <c r="F834" i="3"/>
  <c r="A834" i="3"/>
  <c r="F833" i="3"/>
  <c r="A833" i="3"/>
  <c r="F832" i="3"/>
  <c r="A832" i="3"/>
  <c r="F831" i="3"/>
  <c r="A831" i="3"/>
  <c r="F830" i="3"/>
  <c r="A830" i="3"/>
  <c r="F829" i="3"/>
  <c r="A829" i="3"/>
  <c r="F828" i="3"/>
  <c r="A828" i="3"/>
  <c r="F827" i="3"/>
  <c r="A827" i="3"/>
  <c r="F826" i="3"/>
  <c r="A826" i="3"/>
  <c r="F825" i="3"/>
  <c r="A825" i="3"/>
  <c r="F824" i="3"/>
  <c r="A824" i="3"/>
  <c r="F823" i="3"/>
  <c r="A823" i="3"/>
  <c r="F822" i="3"/>
  <c r="A822" i="3"/>
  <c r="F821" i="3"/>
  <c r="A821" i="3"/>
  <c r="F820" i="3"/>
  <c r="A820" i="3"/>
  <c r="F819" i="3"/>
  <c r="A819" i="3"/>
  <c r="F818" i="3"/>
  <c r="A818" i="3"/>
  <c r="F817" i="3"/>
  <c r="A817" i="3"/>
  <c r="F816" i="3"/>
  <c r="A816" i="3"/>
  <c r="F815" i="3"/>
  <c r="A815" i="3"/>
  <c r="F814" i="3"/>
  <c r="A814" i="3"/>
  <c r="F813" i="3"/>
  <c r="A813" i="3"/>
  <c r="F812" i="3"/>
  <c r="A812" i="3"/>
  <c r="F811" i="3"/>
  <c r="A811" i="3"/>
  <c r="F810" i="3"/>
  <c r="A810" i="3"/>
  <c r="F809" i="3"/>
  <c r="A809" i="3"/>
  <c r="F808" i="3"/>
  <c r="A808" i="3"/>
  <c r="F807" i="3"/>
  <c r="A807" i="3"/>
  <c r="F806" i="3"/>
  <c r="A806" i="3"/>
  <c r="F805" i="3"/>
  <c r="A805" i="3"/>
  <c r="F804" i="3"/>
  <c r="A804" i="3"/>
  <c r="F803" i="3"/>
  <c r="A803" i="3"/>
  <c r="F802" i="3"/>
  <c r="A802" i="3"/>
  <c r="F801" i="3"/>
  <c r="A801" i="3"/>
  <c r="F800" i="3"/>
  <c r="A800" i="3"/>
  <c r="F799" i="3"/>
  <c r="A799" i="3"/>
  <c r="F798" i="3"/>
  <c r="A798" i="3"/>
  <c r="F797" i="3"/>
  <c r="A797" i="3"/>
  <c r="F796" i="3"/>
  <c r="A796" i="3"/>
  <c r="F795" i="3"/>
  <c r="A795" i="3"/>
  <c r="F794" i="3"/>
  <c r="A794" i="3"/>
  <c r="F793" i="3"/>
  <c r="A793" i="3"/>
  <c r="F792" i="3"/>
  <c r="A792" i="3"/>
  <c r="F791" i="3"/>
  <c r="A791" i="3"/>
  <c r="F790" i="3"/>
  <c r="A790" i="3"/>
  <c r="F789" i="3"/>
  <c r="A789" i="3"/>
  <c r="F788" i="3"/>
  <c r="A788" i="3"/>
  <c r="F787" i="3"/>
  <c r="A787" i="3"/>
  <c r="F786" i="3"/>
  <c r="A786" i="3"/>
  <c r="F785" i="3"/>
  <c r="A785" i="3"/>
  <c r="F784" i="3"/>
  <c r="A784" i="3"/>
  <c r="F783" i="3"/>
  <c r="A783" i="3"/>
  <c r="F782" i="3"/>
  <c r="A782" i="3"/>
  <c r="F781" i="3"/>
  <c r="A781" i="3"/>
  <c r="F780" i="3"/>
  <c r="A780" i="3"/>
  <c r="F779" i="3"/>
  <c r="A779" i="3"/>
  <c r="F778" i="3"/>
  <c r="A778" i="3"/>
  <c r="F777" i="3"/>
  <c r="A777" i="3"/>
  <c r="F776" i="3"/>
  <c r="A776" i="3"/>
  <c r="F775" i="3"/>
  <c r="A775" i="3"/>
  <c r="F774" i="3"/>
  <c r="A774" i="3"/>
  <c r="F773" i="3"/>
  <c r="A773" i="3"/>
  <c r="F772" i="3"/>
  <c r="A772" i="3"/>
  <c r="F771" i="3"/>
  <c r="A771" i="3"/>
  <c r="F770" i="3"/>
  <c r="A770" i="3"/>
  <c r="F769" i="3"/>
  <c r="A769" i="3"/>
  <c r="F768" i="3"/>
  <c r="A768" i="3"/>
  <c r="F767" i="3"/>
  <c r="A767" i="3"/>
  <c r="F766" i="3"/>
  <c r="A766" i="3"/>
  <c r="F765" i="3"/>
  <c r="A765" i="3"/>
  <c r="F764" i="3"/>
  <c r="A764" i="3"/>
  <c r="F763" i="3"/>
  <c r="A763" i="3"/>
  <c r="F762" i="3"/>
  <c r="A762" i="3"/>
  <c r="F761" i="3"/>
  <c r="A761" i="3"/>
  <c r="F760" i="3"/>
  <c r="A760" i="3"/>
  <c r="F759" i="3"/>
  <c r="A759" i="3"/>
  <c r="F758" i="3"/>
  <c r="A758" i="3"/>
  <c r="F757" i="3"/>
  <c r="A757" i="3"/>
  <c r="F756" i="3"/>
  <c r="A756" i="3"/>
  <c r="F755" i="3"/>
  <c r="A755" i="3"/>
  <c r="F754" i="3"/>
  <c r="A754" i="3"/>
  <c r="F753" i="3"/>
  <c r="A753" i="3"/>
  <c r="F752" i="3"/>
  <c r="A752" i="3"/>
  <c r="F751" i="3"/>
  <c r="A751" i="3"/>
  <c r="F750" i="3"/>
  <c r="A750" i="3"/>
  <c r="F749" i="3"/>
  <c r="A749" i="3"/>
  <c r="F748" i="3"/>
  <c r="A748" i="3"/>
  <c r="F747" i="3"/>
  <c r="A747" i="3"/>
  <c r="F746" i="3"/>
  <c r="A746" i="3"/>
  <c r="F745" i="3"/>
  <c r="A745" i="3"/>
  <c r="F744" i="3"/>
  <c r="A744" i="3"/>
  <c r="F743" i="3"/>
  <c r="A743" i="3"/>
  <c r="F742" i="3"/>
  <c r="A742" i="3"/>
  <c r="F741" i="3"/>
  <c r="A741" i="3"/>
  <c r="F740" i="3"/>
  <c r="A740" i="3"/>
  <c r="F739" i="3"/>
  <c r="A739" i="3"/>
  <c r="F738" i="3"/>
  <c r="A738" i="3"/>
  <c r="F737" i="3"/>
  <c r="A737" i="3"/>
  <c r="F736" i="3"/>
  <c r="A736" i="3"/>
  <c r="F735" i="3"/>
  <c r="A735" i="3"/>
  <c r="F734" i="3"/>
  <c r="A734" i="3"/>
  <c r="F733" i="3"/>
  <c r="A733" i="3"/>
  <c r="F732" i="3"/>
  <c r="A732" i="3"/>
  <c r="F731" i="3"/>
  <c r="A731" i="3"/>
  <c r="F730" i="3"/>
  <c r="A730" i="3"/>
  <c r="F729" i="3"/>
  <c r="A729" i="3"/>
  <c r="F728" i="3"/>
  <c r="A728" i="3"/>
  <c r="F727" i="3"/>
  <c r="A727" i="3"/>
  <c r="F726" i="3"/>
  <c r="A726" i="3"/>
  <c r="F725" i="3"/>
  <c r="A725" i="3"/>
  <c r="F724" i="3"/>
  <c r="A724" i="3"/>
  <c r="F723" i="3"/>
  <c r="A723" i="3"/>
  <c r="F722" i="3"/>
  <c r="A722" i="3"/>
  <c r="F721" i="3"/>
  <c r="A721" i="3"/>
  <c r="F720" i="3"/>
  <c r="A720" i="3"/>
  <c r="F719" i="3"/>
  <c r="A719" i="3"/>
  <c r="F718" i="3"/>
  <c r="A718" i="3"/>
  <c r="F717" i="3"/>
  <c r="A717" i="3"/>
  <c r="F716" i="3"/>
  <c r="A716" i="3"/>
  <c r="F715" i="3"/>
  <c r="A715" i="3"/>
  <c r="F714" i="3"/>
  <c r="A714" i="3"/>
  <c r="F713" i="3"/>
  <c r="A713" i="3"/>
  <c r="F712" i="3"/>
  <c r="A712" i="3"/>
  <c r="F711" i="3"/>
  <c r="A711" i="3"/>
  <c r="F710" i="3"/>
  <c r="A710" i="3"/>
  <c r="F709" i="3"/>
  <c r="A709" i="3"/>
  <c r="F708" i="3"/>
  <c r="A708" i="3"/>
  <c r="F707" i="3"/>
  <c r="A707" i="3"/>
  <c r="F706" i="3"/>
  <c r="A706" i="3"/>
  <c r="F705" i="3"/>
  <c r="A705" i="3"/>
  <c r="F704" i="3"/>
  <c r="A704" i="3"/>
  <c r="F703" i="3"/>
  <c r="A703" i="3"/>
  <c r="F702" i="3"/>
  <c r="A702" i="3"/>
  <c r="F701" i="3"/>
  <c r="A701" i="3"/>
  <c r="F700" i="3"/>
  <c r="A700" i="3"/>
  <c r="F699" i="3"/>
  <c r="A699" i="3"/>
  <c r="F698" i="3"/>
  <c r="A698" i="3"/>
  <c r="F697" i="3"/>
  <c r="A697" i="3"/>
  <c r="F696" i="3"/>
  <c r="A696" i="3"/>
  <c r="F695" i="3"/>
  <c r="A695" i="3"/>
  <c r="F694" i="3"/>
  <c r="A694" i="3"/>
  <c r="F693" i="3"/>
  <c r="A693" i="3"/>
  <c r="F692" i="3"/>
  <c r="A692" i="3"/>
  <c r="F691" i="3"/>
  <c r="A691" i="3"/>
  <c r="F690" i="3"/>
  <c r="A690" i="3"/>
  <c r="F689" i="3"/>
  <c r="A689" i="3"/>
  <c r="F688" i="3"/>
  <c r="A688" i="3"/>
  <c r="F687" i="3"/>
  <c r="A687" i="3"/>
  <c r="F686" i="3"/>
  <c r="A686" i="3"/>
  <c r="F685" i="3"/>
  <c r="A685" i="3"/>
  <c r="F684" i="3"/>
  <c r="A684" i="3"/>
  <c r="F683" i="3"/>
  <c r="A683" i="3"/>
  <c r="F682" i="3"/>
  <c r="A682" i="3"/>
  <c r="F681" i="3"/>
  <c r="A681" i="3"/>
  <c r="F680" i="3"/>
  <c r="A680" i="3"/>
  <c r="F679" i="3"/>
  <c r="A679" i="3"/>
  <c r="F678" i="3"/>
  <c r="A678" i="3"/>
  <c r="F677" i="3"/>
  <c r="A677" i="3"/>
  <c r="F676" i="3"/>
  <c r="A676" i="3"/>
  <c r="F675" i="3"/>
  <c r="A675" i="3"/>
  <c r="F674" i="3"/>
  <c r="A674" i="3"/>
  <c r="F673" i="3"/>
  <c r="A673" i="3"/>
  <c r="F672" i="3"/>
  <c r="A672" i="3"/>
  <c r="F671" i="3"/>
  <c r="A671" i="3"/>
  <c r="F670" i="3"/>
  <c r="A670" i="3"/>
  <c r="F669" i="3"/>
  <c r="A669" i="3"/>
  <c r="F668" i="3"/>
  <c r="A668" i="3"/>
  <c r="F667" i="3"/>
  <c r="A667" i="3"/>
  <c r="F666" i="3"/>
  <c r="A666" i="3"/>
  <c r="F665" i="3"/>
  <c r="A665" i="3"/>
  <c r="F664" i="3"/>
  <c r="A664" i="3"/>
  <c r="F663" i="3"/>
  <c r="A663" i="3"/>
  <c r="F662" i="3"/>
  <c r="A662" i="3"/>
  <c r="F661" i="3"/>
  <c r="A661" i="3"/>
  <c r="F660" i="3"/>
  <c r="A660" i="3"/>
  <c r="F659" i="3"/>
  <c r="A659" i="3"/>
  <c r="F658" i="3"/>
  <c r="A658" i="3"/>
  <c r="F657" i="3"/>
  <c r="A657" i="3"/>
  <c r="F656" i="3"/>
  <c r="A656" i="3"/>
  <c r="F655" i="3"/>
  <c r="A655" i="3"/>
  <c r="F654" i="3"/>
  <c r="A654" i="3"/>
  <c r="F653" i="3"/>
  <c r="A653" i="3"/>
  <c r="F652" i="3"/>
  <c r="A652" i="3"/>
  <c r="F651" i="3"/>
  <c r="A651" i="3"/>
  <c r="F650" i="3"/>
  <c r="A650" i="3"/>
  <c r="F649" i="3"/>
  <c r="A649" i="3"/>
  <c r="F648" i="3"/>
  <c r="A648" i="3"/>
  <c r="F647" i="3"/>
  <c r="A647" i="3"/>
  <c r="F646" i="3"/>
  <c r="A646" i="3"/>
  <c r="F645" i="3"/>
  <c r="A645" i="3"/>
  <c r="F644" i="3"/>
  <c r="A644" i="3"/>
  <c r="F643" i="3"/>
  <c r="A643" i="3"/>
  <c r="F642" i="3"/>
  <c r="A642" i="3"/>
  <c r="F641" i="3"/>
  <c r="A641" i="3"/>
  <c r="F640" i="3"/>
  <c r="A640" i="3"/>
  <c r="F639" i="3"/>
  <c r="A639" i="3"/>
  <c r="F638" i="3"/>
  <c r="A638" i="3"/>
  <c r="F637" i="3"/>
  <c r="A637" i="3"/>
  <c r="F636" i="3"/>
  <c r="A636" i="3"/>
  <c r="F635" i="3"/>
  <c r="A635" i="3"/>
  <c r="F634" i="3"/>
  <c r="A634" i="3"/>
  <c r="F633" i="3"/>
  <c r="A633" i="3"/>
  <c r="F632" i="3"/>
  <c r="A632" i="3"/>
  <c r="F631" i="3"/>
  <c r="A631" i="3"/>
  <c r="F630" i="3"/>
  <c r="A630" i="3"/>
  <c r="F629" i="3"/>
  <c r="A629" i="3"/>
  <c r="F628" i="3"/>
  <c r="A628" i="3"/>
  <c r="F627" i="3"/>
  <c r="A627" i="3"/>
  <c r="F626" i="3"/>
  <c r="A626" i="3"/>
  <c r="F625" i="3"/>
  <c r="A625" i="3"/>
  <c r="F624" i="3"/>
  <c r="A624" i="3"/>
  <c r="F623" i="3"/>
  <c r="A623" i="3"/>
  <c r="F622" i="3"/>
  <c r="A622" i="3"/>
  <c r="F621" i="3"/>
  <c r="A621" i="3"/>
  <c r="F620" i="3"/>
  <c r="A620" i="3"/>
  <c r="F619" i="3"/>
  <c r="A619" i="3"/>
  <c r="F618" i="3"/>
  <c r="A618" i="3"/>
  <c r="F617" i="3"/>
  <c r="A617" i="3"/>
  <c r="F616" i="3"/>
  <c r="A616" i="3"/>
  <c r="F615" i="3"/>
  <c r="A615" i="3"/>
  <c r="F614" i="3"/>
  <c r="A614" i="3"/>
  <c r="F613" i="3"/>
  <c r="A613" i="3"/>
  <c r="F612" i="3"/>
  <c r="A612" i="3"/>
  <c r="F611" i="3"/>
  <c r="A611" i="3"/>
  <c r="F610" i="3"/>
  <c r="A610" i="3"/>
  <c r="F609" i="3"/>
  <c r="A609" i="3"/>
  <c r="F608" i="3"/>
  <c r="A608" i="3"/>
  <c r="F607" i="3"/>
  <c r="A607" i="3"/>
  <c r="F606" i="3"/>
  <c r="A606" i="3"/>
  <c r="F605" i="3"/>
  <c r="A605" i="3"/>
  <c r="F604" i="3"/>
  <c r="A604" i="3"/>
  <c r="F603" i="3"/>
  <c r="A603" i="3"/>
  <c r="F602" i="3"/>
  <c r="A602" i="3"/>
  <c r="F601" i="3"/>
  <c r="A601" i="3"/>
  <c r="F600" i="3"/>
  <c r="A600" i="3"/>
  <c r="F599" i="3"/>
  <c r="A599" i="3"/>
  <c r="F598" i="3"/>
  <c r="A598" i="3"/>
  <c r="F597" i="3"/>
  <c r="A597" i="3"/>
  <c r="F596" i="3"/>
  <c r="A596" i="3"/>
  <c r="F595" i="3"/>
  <c r="A595" i="3"/>
  <c r="F594" i="3"/>
  <c r="A594" i="3"/>
  <c r="F593" i="3"/>
  <c r="A593" i="3"/>
  <c r="F592" i="3"/>
  <c r="A592" i="3"/>
  <c r="F591" i="3"/>
  <c r="A591" i="3"/>
  <c r="F590" i="3"/>
  <c r="A590" i="3"/>
  <c r="F589" i="3"/>
  <c r="A589" i="3"/>
  <c r="F588" i="3"/>
  <c r="A588" i="3"/>
  <c r="F587" i="3"/>
  <c r="A587" i="3"/>
  <c r="F586" i="3"/>
  <c r="A586" i="3"/>
  <c r="F585" i="3"/>
  <c r="A585" i="3"/>
  <c r="F584" i="3"/>
  <c r="A584" i="3"/>
  <c r="F583" i="3"/>
  <c r="A583" i="3"/>
  <c r="F582" i="3"/>
  <c r="A582" i="3"/>
  <c r="F581" i="3"/>
  <c r="A581" i="3"/>
  <c r="F580" i="3"/>
  <c r="A580" i="3"/>
  <c r="F579" i="3"/>
  <c r="A579" i="3"/>
  <c r="F578" i="3"/>
  <c r="A578" i="3"/>
  <c r="F577" i="3"/>
  <c r="A577" i="3"/>
  <c r="F576" i="3"/>
  <c r="A576" i="3"/>
  <c r="F575" i="3"/>
  <c r="A575" i="3"/>
  <c r="F574" i="3"/>
  <c r="A574" i="3"/>
  <c r="F573" i="3"/>
  <c r="A573" i="3"/>
  <c r="F572" i="3"/>
  <c r="A572" i="3"/>
  <c r="F571" i="3"/>
  <c r="A571" i="3"/>
  <c r="F570" i="3"/>
  <c r="A570" i="3"/>
  <c r="F569" i="3"/>
  <c r="A569" i="3"/>
  <c r="F568" i="3"/>
  <c r="A568" i="3"/>
  <c r="F567" i="3"/>
  <c r="A567" i="3"/>
  <c r="F566" i="3"/>
  <c r="A566" i="3"/>
  <c r="F565" i="3"/>
  <c r="A565" i="3"/>
  <c r="F564" i="3"/>
  <c r="A564" i="3"/>
  <c r="F563" i="3"/>
  <c r="A563" i="3"/>
  <c r="F562" i="3"/>
  <c r="A562" i="3"/>
  <c r="F561" i="3"/>
  <c r="A561" i="3"/>
  <c r="F560" i="3"/>
  <c r="A560" i="3"/>
  <c r="F559" i="3"/>
  <c r="A559" i="3"/>
  <c r="F558" i="3"/>
  <c r="A558" i="3"/>
  <c r="F557" i="3"/>
  <c r="A557" i="3"/>
  <c r="F556" i="3"/>
  <c r="A556" i="3"/>
  <c r="F555" i="3"/>
  <c r="A555" i="3"/>
  <c r="F554" i="3"/>
  <c r="A554" i="3"/>
  <c r="F553" i="3"/>
  <c r="A553" i="3"/>
  <c r="F552" i="3"/>
  <c r="A552" i="3"/>
  <c r="F551" i="3"/>
  <c r="A551" i="3"/>
  <c r="F550" i="3"/>
  <c r="A550" i="3"/>
  <c r="F549" i="3"/>
  <c r="A549" i="3"/>
  <c r="F548" i="3"/>
  <c r="A548" i="3"/>
  <c r="F547" i="3"/>
  <c r="A547" i="3"/>
  <c r="F546" i="3"/>
  <c r="A546" i="3"/>
  <c r="F545" i="3"/>
  <c r="A545" i="3"/>
  <c r="F544" i="3"/>
  <c r="A544" i="3"/>
  <c r="F543" i="3"/>
  <c r="A543" i="3"/>
  <c r="F542" i="3"/>
  <c r="A542" i="3"/>
  <c r="F541" i="3"/>
  <c r="A541" i="3"/>
  <c r="F540" i="3"/>
  <c r="A540" i="3"/>
  <c r="F539" i="3"/>
  <c r="A539" i="3"/>
  <c r="F538" i="3"/>
  <c r="A538" i="3"/>
  <c r="F537" i="3"/>
  <c r="A537" i="3"/>
  <c r="F536" i="3"/>
  <c r="A536" i="3"/>
  <c r="F535" i="3"/>
  <c r="A535" i="3"/>
  <c r="F534" i="3"/>
  <c r="A534" i="3"/>
  <c r="F533" i="3"/>
  <c r="A533" i="3"/>
  <c r="F532" i="3"/>
  <c r="A532" i="3"/>
  <c r="F531" i="3"/>
  <c r="A531" i="3"/>
  <c r="F530" i="3"/>
  <c r="A530" i="3"/>
  <c r="F529" i="3"/>
  <c r="A529" i="3"/>
  <c r="F528" i="3"/>
  <c r="A528" i="3"/>
  <c r="F527" i="3"/>
  <c r="A527" i="3"/>
  <c r="F526" i="3"/>
  <c r="A526" i="3"/>
  <c r="F525" i="3"/>
  <c r="A525" i="3"/>
  <c r="F524" i="3"/>
  <c r="A524" i="3"/>
  <c r="F523" i="3"/>
  <c r="A523" i="3"/>
  <c r="F522" i="3"/>
  <c r="A522" i="3"/>
  <c r="F521" i="3"/>
  <c r="A521" i="3"/>
  <c r="F520" i="3"/>
  <c r="A520" i="3"/>
  <c r="F519" i="3"/>
  <c r="A519" i="3"/>
  <c r="F518" i="3"/>
  <c r="A518" i="3"/>
  <c r="F517" i="3"/>
  <c r="A517" i="3"/>
  <c r="F516" i="3"/>
  <c r="A516" i="3"/>
  <c r="F515" i="3"/>
  <c r="A515" i="3"/>
  <c r="F514" i="3"/>
  <c r="A514" i="3"/>
  <c r="F513" i="3"/>
  <c r="A513" i="3"/>
  <c r="F512" i="3"/>
  <c r="A512" i="3"/>
  <c r="F511" i="3"/>
  <c r="A511" i="3"/>
  <c r="F510" i="3"/>
  <c r="A510" i="3"/>
  <c r="F509" i="3"/>
  <c r="A509" i="3"/>
  <c r="F508" i="3"/>
  <c r="A508" i="3"/>
  <c r="F507" i="3"/>
  <c r="A507" i="3"/>
  <c r="F506" i="3"/>
  <c r="A506" i="3"/>
  <c r="F505" i="3"/>
  <c r="A505" i="3"/>
  <c r="F504" i="3"/>
  <c r="A504" i="3"/>
  <c r="F503" i="3"/>
  <c r="A503" i="3"/>
  <c r="F502" i="3"/>
  <c r="A502" i="3"/>
  <c r="F501" i="3"/>
  <c r="A501" i="3"/>
  <c r="F500" i="3"/>
  <c r="A500" i="3"/>
  <c r="F499" i="3"/>
  <c r="A499" i="3"/>
  <c r="F498" i="3"/>
  <c r="A498" i="3"/>
  <c r="F497" i="3"/>
  <c r="A497" i="3"/>
  <c r="F496" i="3"/>
  <c r="A496" i="3"/>
  <c r="F495" i="3"/>
  <c r="A495" i="3"/>
  <c r="F494" i="3"/>
  <c r="A494" i="3"/>
  <c r="F493" i="3"/>
  <c r="A493" i="3"/>
  <c r="F492" i="3"/>
  <c r="A492" i="3"/>
  <c r="F491" i="3"/>
  <c r="A491" i="3"/>
  <c r="F490" i="3"/>
  <c r="A490" i="3"/>
  <c r="F489" i="3"/>
  <c r="A489" i="3"/>
  <c r="F488" i="3"/>
  <c r="A488" i="3"/>
  <c r="F487" i="3"/>
  <c r="A487" i="3"/>
  <c r="F486" i="3"/>
  <c r="A486" i="3"/>
  <c r="F485" i="3"/>
  <c r="A485" i="3"/>
  <c r="F484" i="3"/>
  <c r="A484" i="3"/>
  <c r="F483" i="3"/>
  <c r="A483" i="3"/>
  <c r="F482" i="3"/>
  <c r="A482" i="3"/>
  <c r="F481" i="3"/>
  <c r="A481" i="3"/>
  <c r="F480" i="3"/>
  <c r="A480" i="3"/>
  <c r="F479" i="3"/>
  <c r="A479" i="3"/>
  <c r="F478" i="3"/>
  <c r="A478" i="3"/>
  <c r="F477" i="3"/>
  <c r="A477" i="3"/>
  <c r="F476" i="3"/>
  <c r="A476" i="3"/>
  <c r="F475" i="3"/>
  <c r="A475" i="3"/>
  <c r="F474" i="3"/>
  <c r="A474" i="3"/>
  <c r="F473" i="3"/>
  <c r="A473" i="3"/>
  <c r="F472" i="3"/>
  <c r="A472" i="3"/>
  <c r="F471" i="3"/>
  <c r="A471" i="3"/>
  <c r="F470" i="3"/>
  <c r="A470" i="3"/>
  <c r="F469" i="3"/>
  <c r="A469" i="3"/>
  <c r="F468" i="3"/>
  <c r="A468" i="3"/>
  <c r="F467" i="3"/>
  <c r="A467" i="3"/>
  <c r="F466" i="3"/>
  <c r="A466" i="3"/>
  <c r="F465" i="3"/>
  <c r="A465" i="3"/>
  <c r="F464" i="3"/>
  <c r="A464" i="3"/>
  <c r="F463" i="3"/>
  <c r="A463" i="3"/>
  <c r="F462" i="3"/>
  <c r="A462" i="3"/>
  <c r="F461" i="3"/>
  <c r="A461" i="3"/>
  <c r="F460" i="3"/>
  <c r="A460" i="3"/>
  <c r="F459" i="3"/>
  <c r="A459" i="3"/>
  <c r="F458" i="3"/>
  <c r="A458" i="3"/>
  <c r="F457" i="3"/>
  <c r="A457" i="3"/>
  <c r="F456" i="3"/>
  <c r="A456" i="3"/>
  <c r="F455" i="3"/>
  <c r="A455" i="3"/>
  <c r="F454" i="3"/>
  <c r="A454" i="3"/>
  <c r="F453" i="3"/>
  <c r="A453" i="3"/>
  <c r="F452" i="3"/>
  <c r="A452" i="3"/>
  <c r="F451" i="3"/>
  <c r="A451" i="3"/>
  <c r="F450" i="3"/>
  <c r="A450" i="3"/>
  <c r="F449" i="3"/>
  <c r="A449" i="3"/>
  <c r="F448" i="3"/>
  <c r="A448" i="3"/>
  <c r="F447" i="3"/>
  <c r="A447" i="3"/>
  <c r="F446" i="3"/>
  <c r="A446" i="3"/>
  <c r="F445" i="3"/>
  <c r="A445" i="3"/>
  <c r="F444" i="3"/>
  <c r="A444" i="3"/>
  <c r="F443" i="3"/>
  <c r="A443" i="3"/>
  <c r="F442" i="3"/>
  <c r="A442" i="3"/>
  <c r="F441" i="3"/>
  <c r="A441" i="3"/>
  <c r="F440" i="3"/>
  <c r="A440" i="3"/>
  <c r="F439" i="3"/>
  <c r="A439" i="3"/>
  <c r="F438" i="3"/>
  <c r="A438" i="3"/>
  <c r="F437" i="3"/>
  <c r="A437" i="3"/>
  <c r="F436" i="3"/>
  <c r="A436" i="3"/>
  <c r="F435" i="3"/>
  <c r="A435" i="3"/>
  <c r="F434" i="3"/>
  <c r="A434" i="3"/>
  <c r="F433" i="3"/>
  <c r="A433" i="3"/>
  <c r="F432" i="3"/>
  <c r="A432" i="3"/>
  <c r="F431" i="3"/>
  <c r="A431" i="3"/>
  <c r="F430" i="3"/>
  <c r="A430" i="3"/>
  <c r="F429" i="3"/>
  <c r="A429" i="3"/>
  <c r="F428" i="3"/>
  <c r="A428" i="3"/>
  <c r="F427" i="3"/>
  <c r="A427" i="3"/>
  <c r="F426" i="3"/>
  <c r="A426" i="3"/>
  <c r="F425" i="3"/>
  <c r="A425" i="3"/>
  <c r="F424" i="3"/>
  <c r="A424" i="3"/>
  <c r="F423" i="3"/>
  <c r="A423" i="3"/>
  <c r="F422" i="3"/>
  <c r="A422" i="3"/>
  <c r="F421" i="3"/>
  <c r="A421" i="3"/>
  <c r="F420" i="3"/>
  <c r="A420" i="3"/>
  <c r="F419" i="3"/>
  <c r="A419" i="3"/>
  <c r="F418" i="3"/>
  <c r="A418" i="3"/>
  <c r="F417" i="3"/>
  <c r="A417" i="3"/>
  <c r="F416" i="3"/>
  <c r="A416" i="3"/>
  <c r="F415" i="3"/>
  <c r="A415" i="3"/>
  <c r="F414" i="3"/>
  <c r="A414" i="3"/>
  <c r="F413" i="3"/>
  <c r="A413" i="3"/>
  <c r="F412" i="3"/>
  <c r="A412" i="3"/>
  <c r="F411" i="3"/>
  <c r="A411" i="3"/>
  <c r="F410" i="3"/>
  <c r="A410" i="3"/>
  <c r="F409" i="3"/>
  <c r="A409" i="3"/>
  <c r="F408" i="3"/>
  <c r="A408" i="3"/>
  <c r="F407" i="3"/>
  <c r="A407" i="3"/>
  <c r="F406" i="3"/>
  <c r="A406" i="3"/>
  <c r="F405" i="3"/>
  <c r="A405" i="3"/>
  <c r="F404" i="3"/>
  <c r="A404" i="3"/>
  <c r="F403" i="3"/>
  <c r="A403" i="3"/>
  <c r="F402" i="3"/>
  <c r="A402" i="3"/>
  <c r="F401" i="3"/>
  <c r="A401" i="3"/>
  <c r="F400" i="3"/>
  <c r="A400" i="3"/>
  <c r="F399" i="3"/>
  <c r="A399" i="3"/>
  <c r="F398" i="3"/>
  <c r="A398" i="3"/>
  <c r="F397" i="3"/>
  <c r="A397" i="3"/>
  <c r="F396" i="3"/>
  <c r="A396" i="3"/>
  <c r="F395" i="3"/>
  <c r="A395" i="3"/>
  <c r="F394" i="3"/>
  <c r="A394" i="3"/>
  <c r="F393" i="3"/>
  <c r="A393" i="3"/>
  <c r="F392" i="3"/>
  <c r="A392" i="3"/>
  <c r="F391" i="3"/>
  <c r="A391" i="3"/>
  <c r="F390" i="3"/>
  <c r="A390" i="3"/>
  <c r="F389" i="3"/>
  <c r="A389" i="3"/>
  <c r="F388" i="3"/>
  <c r="A388" i="3"/>
  <c r="F387" i="3"/>
  <c r="A387" i="3"/>
  <c r="F386" i="3"/>
  <c r="A386" i="3"/>
  <c r="F385" i="3"/>
  <c r="A385" i="3"/>
  <c r="F384" i="3"/>
  <c r="A384" i="3"/>
  <c r="F383" i="3"/>
  <c r="A383" i="3"/>
  <c r="F382" i="3"/>
  <c r="A382" i="3"/>
  <c r="F381" i="3"/>
  <c r="A381" i="3"/>
  <c r="F380" i="3"/>
  <c r="A380" i="3"/>
  <c r="F379" i="3"/>
  <c r="A379" i="3"/>
  <c r="F378" i="3"/>
  <c r="A378" i="3"/>
  <c r="F377" i="3"/>
  <c r="A377" i="3"/>
  <c r="F376" i="3"/>
  <c r="A376" i="3"/>
  <c r="F375" i="3"/>
  <c r="A375" i="3"/>
  <c r="F374" i="3"/>
  <c r="A374" i="3"/>
  <c r="F373" i="3"/>
  <c r="A373" i="3"/>
  <c r="F372" i="3"/>
  <c r="A372" i="3"/>
  <c r="F371" i="3"/>
  <c r="A371" i="3"/>
  <c r="F370" i="3"/>
  <c r="A370" i="3"/>
  <c r="F369" i="3"/>
  <c r="A369" i="3"/>
  <c r="F368" i="3"/>
  <c r="A368" i="3"/>
  <c r="F367" i="3"/>
  <c r="A367" i="3"/>
  <c r="F366" i="3"/>
  <c r="A366" i="3"/>
  <c r="F365" i="3"/>
  <c r="A365" i="3"/>
  <c r="F364" i="3"/>
  <c r="A364" i="3"/>
  <c r="F363" i="3"/>
  <c r="A363" i="3"/>
  <c r="F362" i="3"/>
  <c r="A362" i="3"/>
  <c r="F361" i="3"/>
  <c r="A361" i="3"/>
  <c r="F360" i="3"/>
  <c r="A360" i="3"/>
  <c r="F359" i="3"/>
  <c r="A359" i="3"/>
  <c r="F358" i="3"/>
  <c r="A358" i="3"/>
  <c r="F357" i="3"/>
  <c r="A357" i="3"/>
  <c r="F356" i="3"/>
  <c r="A356" i="3"/>
  <c r="F355" i="3"/>
  <c r="A355" i="3"/>
  <c r="F354" i="3"/>
  <c r="A354" i="3"/>
  <c r="F353" i="3"/>
  <c r="A353" i="3"/>
  <c r="F352" i="3"/>
  <c r="A352" i="3"/>
  <c r="F351" i="3"/>
  <c r="A351" i="3"/>
  <c r="F350" i="3"/>
  <c r="A350" i="3"/>
  <c r="F349" i="3"/>
  <c r="A349" i="3"/>
  <c r="F348" i="3"/>
  <c r="A348" i="3"/>
  <c r="F347" i="3"/>
  <c r="A347" i="3"/>
  <c r="F346" i="3"/>
  <c r="A346" i="3"/>
  <c r="F345" i="3"/>
  <c r="A345" i="3"/>
  <c r="F344" i="3"/>
  <c r="A344" i="3"/>
  <c r="F343" i="3"/>
  <c r="A343" i="3"/>
  <c r="F342" i="3"/>
  <c r="A342" i="3"/>
  <c r="F341" i="3"/>
  <c r="A341" i="3"/>
  <c r="F340" i="3"/>
  <c r="A340" i="3"/>
  <c r="F339" i="3"/>
  <c r="A339" i="3"/>
  <c r="F338" i="3"/>
  <c r="A338" i="3"/>
  <c r="F337" i="3"/>
  <c r="A337" i="3"/>
  <c r="F336" i="3"/>
  <c r="A336" i="3"/>
  <c r="F335" i="3"/>
  <c r="A335" i="3"/>
  <c r="F334" i="3"/>
  <c r="A334" i="3"/>
  <c r="F333" i="3"/>
  <c r="A333" i="3"/>
  <c r="F332" i="3"/>
  <c r="A332" i="3"/>
  <c r="F331" i="3"/>
  <c r="A331" i="3"/>
  <c r="F330" i="3"/>
  <c r="A330" i="3"/>
  <c r="F329" i="3"/>
  <c r="A329" i="3"/>
  <c r="F328" i="3"/>
  <c r="A328" i="3"/>
  <c r="F327" i="3"/>
  <c r="A327" i="3"/>
  <c r="F326" i="3"/>
  <c r="A326" i="3"/>
  <c r="F325" i="3"/>
  <c r="A325" i="3"/>
  <c r="F324" i="3"/>
  <c r="A324" i="3"/>
  <c r="F323" i="3"/>
  <c r="A323" i="3"/>
  <c r="F322" i="3"/>
  <c r="A322" i="3"/>
  <c r="F321" i="3"/>
  <c r="A321" i="3"/>
  <c r="F320" i="3"/>
  <c r="A320" i="3"/>
  <c r="F319" i="3"/>
  <c r="A319" i="3"/>
  <c r="F318" i="3"/>
  <c r="A318" i="3"/>
  <c r="F317" i="3"/>
  <c r="A317" i="3"/>
  <c r="F316" i="3"/>
  <c r="A316" i="3"/>
  <c r="F315" i="3"/>
  <c r="A315" i="3"/>
  <c r="F314" i="3"/>
  <c r="A314" i="3"/>
  <c r="F313" i="3"/>
  <c r="A313" i="3"/>
  <c r="F312" i="3"/>
  <c r="A312" i="3"/>
  <c r="F311" i="3"/>
  <c r="A311" i="3"/>
  <c r="F310" i="3"/>
  <c r="A310" i="3"/>
  <c r="F309" i="3"/>
  <c r="A309" i="3"/>
  <c r="F308" i="3"/>
  <c r="A308" i="3"/>
  <c r="F307" i="3"/>
  <c r="A307" i="3"/>
  <c r="F306" i="3"/>
  <c r="A306" i="3"/>
  <c r="F305" i="3"/>
  <c r="A305" i="3"/>
  <c r="F304" i="3"/>
  <c r="A304" i="3"/>
  <c r="F303" i="3"/>
  <c r="A303" i="3"/>
  <c r="F302" i="3"/>
  <c r="A302" i="3"/>
  <c r="F301" i="3"/>
  <c r="A301" i="3"/>
  <c r="F300" i="3"/>
  <c r="A300" i="3"/>
  <c r="F299" i="3"/>
  <c r="A299" i="3"/>
  <c r="F298" i="3"/>
  <c r="A298" i="3"/>
  <c r="F297" i="3"/>
  <c r="A297" i="3"/>
  <c r="F296" i="3"/>
  <c r="A296" i="3"/>
  <c r="F295" i="3"/>
  <c r="A295" i="3"/>
  <c r="F294" i="3"/>
  <c r="A294" i="3"/>
  <c r="F293" i="3"/>
  <c r="A293" i="3"/>
  <c r="F292" i="3"/>
  <c r="A292" i="3"/>
  <c r="F291" i="3"/>
  <c r="A291" i="3"/>
  <c r="F290" i="3"/>
  <c r="A290" i="3"/>
  <c r="F289" i="3"/>
  <c r="A289" i="3"/>
  <c r="F288" i="3"/>
  <c r="A288" i="3"/>
  <c r="F287" i="3"/>
  <c r="A287" i="3"/>
  <c r="F286" i="3"/>
  <c r="A286" i="3"/>
  <c r="F285" i="3"/>
  <c r="A285" i="3"/>
  <c r="F284" i="3"/>
  <c r="A284" i="3"/>
  <c r="F283" i="3"/>
  <c r="A283" i="3"/>
  <c r="F282" i="3"/>
  <c r="A282" i="3"/>
  <c r="F281" i="3"/>
  <c r="A281" i="3"/>
  <c r="F280" i="3"/>
  <c r="A280" i="3"/>
  <c r="F279" i="3"/>
  <c r="A279" i="3"/>
  <c r="F278" i="3"/>
  <c r="A278" i="3"/>
  <c r="F277" i="3"/>
  <c r="A277" i="3"/>
  <c r="F276" i="3"/>
  <c r="A276" i="3"/>
  <c r="F275" i="3"/>
  <c r="A275" i="3"/>
  <c r="F274" i="3"/>
  <c r="A274" i="3"/>
  <c r="F273" i="3"/>
  <c r="A273" i="3"/>
  <c r="F272" i="3"/>
  <c r="A272" i="3"/>
  <c r="F271" i="3"/>
  <c r="A271" i="3"/>
  <c r="F270" i="3"/>
  <c r="A270" i="3"/>
  <c r="F269" i="3"/>
  <c r="A269" i="3"/>
  <c r="F268" i="3"/>
  <c r="A268" i="3"/>
  <c r="F267" i="3"/>
  <c r="A267" i="3"/>
  <c r="F266" i="3"/>
  <c r="A266" i="3"/>
  <c r="F265" i="3"/>
  <c r="A265" i="3"/>
  <c r="F264" i="3"/>
  <c r="A264" i="3"/>
  <c r="F263" i="3"/>
  <c r="A263" i="3"/>
  <c r="F262" i="3"/>
  <c r="A262" i="3"/>
  <c r="F261" i="3"/>
  <c r="A261" i="3"/>
  <c r="F260" i="3"/>
  <c r="A260" i="3"/>
  <c r="F259" i="3"/>
  <c r="A259" i="3"/>
  <c r="F258" i="3"/>
  <c r="A258" i="3"/>
  <c r="F257" i="3"/>
  <c r="A257" i="3"/>
  <c r="F256" i="3"/>
  <c r="A256" i="3"/>
  <c r="F255" i="3"/>
  <c r="A255" i="3"/>
  <c r="F254" i="3"/>
  <c r="A254" i="3"/>
  <c r="F253" i="3"/>
  <c r="A253" i="3"/>
  <c r="F252" i="3"/>
  <c r="A252" i="3"/>
  <c r="F251" i="3"/>
  <c r="A251" i="3"/>
  <c r="F250" i="3"/>
  <c r="A250" i="3"/>
  <c r="F249" i="3"/>
  <c r="A249" i="3"/>
  <c r="F248" i="3"/>
  <c r="A248" i="3"/>
  <c r="F247" i="3"/>
  <c r="A247" i="3"/>
  <c r="F246" i="3"/>
  <c r="A246" i="3"/>
  <c r="F245" i="3"/>
  <c r="A245" i="3"/>
  <c r="F244" i="3"/>
  <c r="A244" i="3"/>
  <c r="F243" i="3"/>
  <c r="A243" i="3"/>
  <c r="F242" i="3"/>
  <c r="A242" i="3"/>
  <c r="F241" i="3"/>
  <c r="A241" i="3"/>
  <c r="F240" i="3"/>
  <c r="A240" i="3"/>
  <c r="F239" i="3"/>
  <c r="A239" i="3"/>
  <c r="F238" i="3"/>
  <c r="A238" i="3"/>
  <c r="F237" i="3"/>
  <c r="A237" i="3"/>
  <c r="F236" i="3"/>
  <c r="A236" i="3"/>
  <c r="F235" i="3"/>
  <c r="A235" i="3"/>
  <c r="F234" i="3"/>
  <c r="A234" i="3"/>
  <c r="F233" i="3"/>
  <c r="A233" i="3"/>
  <c r="F232" i="3"/>
  <c r="A232" i="3"/>
  <c r="F231" i="3"/>
  <c r="A231" i="3"/>
  <c r="F230" i="3"/>
  <c r="A230" i="3"/>
  <c r="F229" i="3"/>
  <c r="A229" i="3"/>
  <c r="F228" i="3"/>
  <c r="A228" i="3"/>
  <c r="F227" i="3"/>
  <c r="A227" i="3"/>
  <c r="F226" i="3"/>
  <c r="A226" i="3"/>
  <c r="F225" i="3"/>
  <c r="A225" i="3"/>
  <c r="F224" i="3"/>
  <c r="A224" i="3"/>
  <c r="F223" i="3"/>
  <c r="A223" i="3"/>
  <c r="F222" i="3"/>
  <c r="A222" i="3"/>
  <c r="F221" i="3"/>
  <c r="A221" i="3"/>
  <c r="F220" i="3"/>
  <c r="A220" i="3"/>
  <c r="F219" i="3"/>
  <c r="A219" i="3"/>
  <c r="F218" i="3"/>
  <c r="A218" i="3"/>
  <c r="F217" i="3"/>
  <c r="A217" i="3"/>
  <c r="F216" i="3"/>
  <c r="A216" i="3"/>
  <c r="F215" i="3"/>
  <c r="A215" i="3"/>
  <c r="F214" i="3"/>
  <c r="A214" i="3"/>
  <c r="F213" i="3"/>
  <c r="A213" i="3"/>
  <c r="F212" i="3"/>
  <c r="A212" i="3"/>
  <c r="F211" i="3"/>
  <c r="A211" i="3"/>
  <c r="F210" i="3"/>
  <c r="A210" i="3"/>
  <c r="F209" i="3"/>
  <c r="A209" i="3"/>
  <c r="F208" i="3"/>
  <c r="A208" i="3"/>
  <c r="F207" i="3"/>
  <c r="A207" i="3"/>
  <c r="F206" i="3"/>
  <c r="A206" i="3"/>
  <c r="F205" i="3"/>
  <c r="A205" i="3"/>
  <c r="F204" i="3"/>
  <c r="A204" i="3"/>
  <c r="F203" i="3"/>
  <c r="A203" i="3"/>
  <c r="F202" i="3"/>
  <c r="A202" i="3"/>
  <c r="F201" i="3"/>
  <c r="A201" i="3"/>
  <c r="F200" i="3"/>
  <c r="A200" i="3"/>
  <c r="F199" i="3"/>
  <c r="A199" i="3"/>
  <c r="F198" i="3"/>
  <c r="A198" i="3"/>
  <c r="F197" i="3"/>
  <c r="A197" i="3"/>
  <c r="F196" i="3"/>
  <c r="A196" i="3"/>
  <c r="F195" i="3"/>
  <c r="A195" i="3"/>
  <c r="F194" i="3"/>
  <c r="A194" i="3"/>
  <c r="F193" i="3"/>
  <c r="A193" i="3"/>
  <c r="F192" i="3"/>
  <c r="A192" i="3"/>
  <c r="F191" i="3"/>
  <c r="A191" i="3"/>
  <c r="F190" i="3"/>
  <c r="A190" i="3"/>
  <c r="F189" i="3"/>
  <c r="A189" i="3"/>
  <c r="F188" i="3"/>
  <c r="A188" i="3"/>
  <c r="F187" i="3"/>
  <c r="A187" i="3"/>
  <c r="F186" i="3"/>
  <c r="A186" i="3"/>
  <c r="F185" i="3"/>
  <c r="A185" i="3"/>
  <c r="F184" i="3"/>
  <c r="A184" i="3"/>
  <c r="F183" i="3"/>
  <c r="A183" i="3"/>
  <c r="F182" i="3"/>
  <c r="A182" i="3"/>
  <c r="F181" i="3"/>
  <c r="A181" i="3"/>
  <c r="F180" i="3"/>
  <c r="A180" i="3"/>
  <c r="F179" i="3"/>
  <c r="A179" i="3"/>
  <c r="F178" i="3"/>
  <c r="A178" i="3"/>
  <c r="F177" i="3"/>
  <c r="A177" i="3"/>
  <c r="F176" i="3"/>
  <c r="A176" i="3"/>
  <c r="F175" i="3"/>
  <c r="A175" i="3"/>
  <c r="F174" i="3"/>
  <c r="A174" i="3"/>
  <c r="F173" i="3"/>
  <c r="A173" i="3"/>
  <c r="F172" i="3"/>
  <c r="A172" i="3"/>
  <c r="F171" i="3"/>
  <c r="A171" i="3"/>
  <c r="F170" i="3"/>
  <c r="A170" i="3"/>
  <c r="F169" i="3"/>
  <c r="A169" i="3"/>
  <c r="F168" i="3"/>
  <c r="A168" i="3"/>
  <c r="F167" i="3"/>
  <c r="A167" i="3"/>
  <c r="F166" i="3"/>
  <c r="A166" i="3"/>
  <c r="F165" i="3"/>
  <c r="A165" i="3"/>
  <c r="F164" i="3"/>
  <c r="A164" i="3"/>
  <c r="F163" i="3"/>
  <c r="A163" i="3"/>
  <c r="F162" i="3"/>
  <c r="A162" i="3"/>
  <c r="F161" i="3"/>
  <c r="A161" i="3"/>
  <c r="F160" i="3"/>
  <c r="A160" i="3"/>
  <c r="F159" i="3"/>
  <c r="A159" i="3"/>
  <c r="F158" i="3"/>
  <c r="A158" i="3"/>
  <c r="F157" i="3"/>
  <c r="A157" i="3"/>
  <c r="F156" i="3"/>
  <c r="A156" i="3"/>
  <c r="F155" i="3"/>
  <c r="A155" i="3"/>
  <c r="F154" i="3"/>
  <c r="A154" i="3"/>
  <c r="F153" i="3"/>
  <c r="A153" i="3"/>
  <c r="F152" i="3"/>
  <c r="A152" i="3"/>
  <c r="F151" i="3"/>
  <c r="A151" i="3"/>
  <c r="F150" i="3"/>
  <c r="A150" i="3"/>
  <c r="F149" i="3"/>
  <c r="A149" i="3"/>
  <c r="F148" i="3"/>
  <c r="A148" i="3"/>
  <c r="F147" i="3"/>
  <c r="A147" i="3"/>
  <c r="F146" i="3"/>
  <c r="A146" i="3"/>
  <c r="F145" i="3"/>
  <c r="A145" i="3"/>
  <c r="F144" i="3"/>
  <c r="A144" i="3"/>
  <c r="F143" i="3"/>
  <c r="A143" i="3"/>
  <c r="F142" i="3"/>
  <c r="A142" i="3"/>
  <c r="F141" i="3"/>
  <c r="A141" i="3"/>
  <c r="F140" i="3"/>
  <c r="A140" i="3"/>
  <c r="F139" i="3"/>
  <c r="A139" i="3"/>
  <c r="F138" i="3"/>
  <c r="A138" i="3"/>
  <c r="F137" i="3"/>
  <c r="A137" i="3"/>
  <c r="F136" i="3"/>
  <c r="A136" i="3"/>
  <c r="F135" i="3"/>
  <c r="A135" i="3"/>
  <c r="F134" i="3"/>
  <c r="A134" i="3"/>
  <c r="F133" i="3"/>
  <c r="A133" i="3"/>
  <c r="F132" i="3"/>
  <c r="A132" i="3"/>
  <c r="F131" i="3"/>
  <c r="A131" i="3"/>
  <c r="F130" i="3"/>
  <c r="A130" i="3"/>
  <c r="F129" i="3"/>
  <c r="A129" i="3"/>
  <c r="F128" i="3"/>
  <c r="A128" i="3"/>
  <c r="F127" i="3"/>
  <c r="A127" i="3"/>
  <c r="F126" i="3"/>
  <c r="A126" i="3"/>
  <c r="F125" i="3"/>
  <c r="A125" i="3"/>
  <c r="F124" i="3"/>
  <c r="A124" i="3"/>
  <c r="F123" i="3"/>
  <c r="A123" i="3"/>
  <c r="F122" i="3"/>
  <c r="A122" i="3"/>
  <c r="F121" i="3"/>
  <c r="A121" i="3"/>
  <c r="F120" i="3"/>
  <c r="A120" i="3"/>
  <c r="F119" i="3"/>
  <c r="A119" i="3"/>
  <c r="F118" i="3"/>
  <c r="A118" i="3"/>
  <c r="F117" i="3"/>
  <c r="A117" i="3"/>
  <c r="F116" i="3"/>
  <c r="A116" i="3"/>
  <c r="F115" i="3"/>
  <c r="A115" i="3"/>
  <c r="F114" i="3"/>
  <c r="A114" i="3"/>
  <c r="F113" i="3"/>
  <c r="A113" i="3"/>
  <c r="F112" i="3"/>
  <c r="A112" i="3"/>
  <c r="F111" i="3"/>
  <c r="A111" i="3"/>
  <c r="F110" i="3"/>
  <c r="A110" i="3"/>
  <c r="F109" i="3"/>
  <c r="A109" i="3"/>
  <c r="F108" i="3"/>
  <c r="A108" i="3"/>
  <c r="F107" i="3"/>
  <c r="A107" i="3"/>
  <c r="F106" i="3"/>
  <c r="A106" i="3"/>
  <c r="F105" i="3"/>
  <c r="A105" i="3"/>
  <c r="F104" i="3"/>
  <c r="A104" i="3"/>
  <c r="F103" i="3"/>
  <c r="A103" i="3"/>
  <c r="F102" i="3"/>
  <c r="A102" i="3"/>
  <c r="F101" i="3"/>
  <c r="A101" i="3"/>
  <c r="F100" i="3"/>
  <c r="A100" i="3"/>
  <c r="F99" i="3"/>
  <c r="A99" i="3"/>
  <c r="F98" i="3"/>
  <c r="A98" i="3"/>
  <c r="F97" i="3"/>
  <c r="A97" i="3"/>
  <c r="F96" i="3"/>
  <c r="A96" i="3"/>
  <c r="F95" i="3"/>
  <c r="A95" i="3"/>
  <c r="F94" i="3"/>
  <c r="A94" i="3"/>
  <c r="F93" i="3"/>
  <c r="A93" i="3"/>
  <c r="F92" i="3"/>
  <c r="A92" i="3"/>
  <c r="F91" i="3"/>
  <c r="A91" i="3"/>
  <c r="F90" i="3"/>
  <c r="A90" i="3"/>
  <c r="F89" i="3"/>
  <c r="A89" i="3"/>
  <c r="F88" i="3"/>
  <c r="A88" i="3"/>
  <c r="F87" i="3"/>
  <c r="A87" i="3"/>
  <c r="F86" i="3"/>
  <c r="A86" i="3"/>
  <c r="F85" i="3"/>
  <c r="A85" i="3"/>
  <c r="F84" i="3"/>
  <c r="A84" i="3"/>
  <c r="F83" i="3"/>
  <c r="A83" i="3"/>
  <c r="F82" i="3"/>
  <c r="A82" i="3"/>
  <c r="F81" i="3"/>
  <c r="A81" i="3"/>
  <c r="F80" i="3"/>
  <c r="A80" i="3"/>
  <c r="F79" i="3"/>
  <c r="A79" i="3"/>
  <c r="F78" i="3"/>
  <c r="A78" i="3"/>
  <c r="F77" i="3"/>
  <c r="A77" i="3"/>
  <c r="F76" i="3"/>
  <c r="A76" i="3"/>
  <c r="F75" i="3"/>
  <c r="A75" i="3"/>
  <c r="F74" i="3"/>
  <c r="A74" i="3"/>
  <c r="F73" i="3"/>
  <c r="A73" i="3"/>
  <c r="F72" i="3"/>
  <c r="A72" i="3"/>
  <c r="F71" i="3"/>
  <c r="A71" i="3"/>
  <c r="F70" i="3"/>
  <c r="A70" i="3"/>
  <c r="F69" i="3"/>
  <c r="A69" i="3"/>
  <c r="F68" i="3"/>
  <c r="A68" i="3"/>
  <c r="F67" i="3"/>
  <c r="A67" i="3"/>
  <c r="F66" i="3"/>
  <c r="A66" i="3"/>
  <c r="F65" i="3"/>
  <c r="A65" i="3"/>
  <c r="F64" i="3"/>
  <c r="A64" i="3"/>
  <c r="F63" i="3"/>
  <c r="A63" i="3"/>
  <c r="F62" i="3"/>
  <c r="A62" i="3"/>
  <c r="F61" i="3"/>
  <c r="A61" i="3"/>
  <c r="F60" i="3"/>
  <c r="A60" i="3"/>
  <c r="F59" i="3"/>
  <c r="A59" i="3"/>
  <c r="F58" i="3"/>
  <c r="A58" i="3"/>
  <c r="F57" i="3"/>
  <c r="A57" i="3"/>
  <c r="F56" i="3"/>
  <c r="A56" i="3"/>
  <c r="F55" i="3"/>
  <c r="A55" i="3"/>
  <c r="F54" i="3"/>
  <c r="A54" i="3"/>
  <c r="F53" i="3"/>
  <c r="A53" i="3"/>
  <c r="F52" i="3"/>
  <c r="A52" i="3"/>
  <c r="F51" i="3"/>
  <c r="A51" i="3"/>
  <c r="F50" i="3"/>
  <c r="A50" i="3"/>
  <c r="F49" i="3"/>
  <c r="A49" i="3"/>
  <c r="F48" i="3"/>
  <c r="A48" i="3"/>
  <c r="F47" i="3"/>
  <c r="A47" i="3"/>
  <c r="F46" i="3"/>
  <c r="A46" i="3"/>
  <c r="F45" i="3"/>
  <c r="A45" i="3"/>
  <c r="F44" i="3"/>
  <c r="A44" i="3"/>
  <c r="F43" i="3"/>
  <c r="A43" i="3"/>
  <c r="F42" i="3"/>
  <c r="A42" i="3"/>
  <c r="F41" i="3"/>
  <c r="A41" i="3"/>
  <c r="F40" i="3"/>
  <c r="A40" i="3"/>
  <c r="F39" i="3"/>
  <c r="A39" i="3"/>
  <c r="F38" i="3"/>
  <c r="A38" i="3"/>
  <c r="F37" i="3"/>
  <c r="A37" i="3"/>
  <c r="F36" i="3"/>
  <c r="A36" i="3"/>
  <c r="F35" i="3"/>
  <c r="A35" i="3"/>
  <c r="F34" i="3"/>
  <c r="A34" i="3"/>
  <c r="F33" i="3"/>
  <c r="A33" i="3"/>
  <c r="F32" i="3"/>
  <c r="A32" i="3"/>
  <c r="F31" i="3"/>
  <c r="A31" i="3"/>
  <c r="F30" i="3"/>
  <c r="A30" i="3"/>
  <c r="F29" i="3"/>
  <c r="A29" i="3"/>
  <c r="F28" i="3"/>
  <c r="A28" i="3"/>
  <c r="F27" i="3"/>
  <c r="A27" i="3"/>
  <c r="F26" i="3"/>
  <c r="A26" i="3"/>
  <c r="F25" i="3"/>
  <c r="A25" i="3"/>
  <c r="F24" i="3"/>
  <c r="A24" i="3"/>
  <c r="F23" i="3"/>
  <c r="A23" i="3"/>
  <c r="F22" i="3"/>
  <c r="A22" i="3"/>
  <c r="F21" i="3"/>
  <c r="A21" i="3"/>
  <c r="F20" i="3"/>
  <c r="A20" i="3"/>
  <c r="F19" i="3"/>
  <c r="A19" i="3"/>
  <c r="F18" i="3"/>
  <c r="A18" i="3"/>
  <c r="F17" i="3"/>
  <c r="A17" i="3"/>
  <c r="F16" i="3"/>
  <c r="A16" i="3"/>
  <c r="F15" i="3"/>
  <c r="A15" i="3"/>
  <c r="F14" i="3"/>
  <c r="A14" i="3"/>
  <c r="F13" i="3"/>
  <c r="A13" i="3"/>
  <c r="F12" i="3"/>
  <c r="A12" i="3"/>
  <c r="F11" i="3"/>
  <c r="A11" i="3"/>
  <c r="F10" i="3"/>
  <c r="A10" i="3"/>
  <c r="F9" i="3"/>
  <c r="A9" i="3"/>
  <c r="F8" i="3"/>
  <c r="A8" i="3"/>
  <c r="F7" i="3"/>
  <c r="A7" i="3"/>
  <c r="F6" i="3"/>
  <c r="A6" i="3"/>
  <c r="F5" i="3"/>
  <c r="A5" i="3"/>
  <c r="F4" i="3"/>
  <c r="A4" i="3"/>
  <c r="F3" i="3"/>
  <c r="A3" i="3"/>
  <c r="F2" i="3"/>
  <c r="A2" i="3"/>
  <c r="C12" i="4" l="1"/>
  <c r="U12" i="4"/>
  <c r="AM12" i="4"/>
  <c r="BE12" i="4"/>
  <c r="O13" i="4"/>
  <c r="AG13" i="4"/>
  <c r="AY13" i="4"/>
  <c r="I14" i="4"/>
  <c r="AA14" i="4"/>
  <c r="AS14" i="4"/>
  <c r="C15" i="4"/>
  <c r="U15" i="4"/>
  <c r="AM15" i="4"/>
  <c r="BE15" i="4"/>
  <c r="O16" i="4"/>
  <c r="AG16" i="4"/>
  <c r="AY16" i="4"/>
  <c r="I17" i="4"/>
  <c r="AA17" i="4"/>
  <c r="AS17" i="4"/>
  <c r="C18" i="4"/>
  <c r="U18" i="4"/>
  <c r="AM18" i="4"/>
  <c r="BE18" i="4"/>
  <c r="O19" i="4"/>
  <c r="AG19" i="4"/>
  <c r="AY19" i="4"/>
  <c r="I20" i="4"/>
  <c r="AA20" i="4"/>
  <c r="AS20" i="4"/>
  <c r="C21" i="4"/>
  <c r="U21" i="4"/>
  <c r="AM21" i="4"/>
  <c r="BE21" i="4"/>
  <c r="O22" i="4"/>
  <c r="AG22" i="4"/>
  <c r="AY22" i="4"/>
  <c r="I23" i="4"/>
  <c r="AA23" i="4"/>
  <c r="AS23" i="4"/>
  <c r="C24" i="4"/>
  <c r="U24" i="4"/>
  <c r="AM24" i="4"/>
  <c r="BE24" i="4"/>
  <c r="O25" i="4"/>
  <c r="AG25" i="4"/>
  <c r="AY25" i="4"/>
  <c r="I26" i="4"/>
  <c r="AA26" i="4"/>
  <c r="AS26" i="4"/>
  <c r="C27" i="4"/>
  <c r="U27" i="4"/>
  <c r="AM27" i="4"/>
  <c r="BE27" i="4"/>
  <c r="O28" i="4"/>
  <c r="AG28" i="4"/>
  <c r="AY28" i="4"/>
  <c r="I29" i="4"/>
  <c r="AA29" i="4"/>
  <c r="AS29" i="4"/>
  <c r="C30" i="4"/>
  <c r="U30" i="4"/>
  <c r="AM30" i="4"/>
  <c r="BE30" i="4"/>
  <c r="O31" i="4"/>
  <c r="AG31" i="4"/>
  <c r="AY31" i="4"/>
  <c r="I32" i="4"/>
  <c r="AA32" i="4"/>
  <c r="AS32" i="4"/>
  <c r="C33" i="4"/>
  <c r="U33" i="4"/>
  <c r="AM33" i="4"/>
  <c r="BE33" i="4"/>
  <c r="O34" i="4"/>
  <c r="AG34" i="4"/>
  <c r="AY34" i="4"/>
  <c r="J11" i="4"/>
  <c r="AB11" i="4"/>
  <c r="AT11" i="4"/>
  <c r="D12" i="4"/>
  <c r="V12" i="4"/>
  <c r="AN12" i="4"/>
  <c r="BF12" i="4"/>
  <c r="P13" i="4"/>
  <c r="AH13" i="4"/>
  <c r="AZ13" i="4"/>
  <c r="J14" i="4"/>
  <c r="AB14" i="4"/>
  <c r="AT14" i="4"/>
  <c r="D15" i="4"/>
  <c r="V15" i="4"/>
  <c r="AN15" i="4"/>
  <c r="BF15" i="4"/>
  <c r="P16" i="4"/>
  <c r="AH16" i="4"/>
  <c r="AZ16" i="4"/>
  <c r="J17" i="4"/>
  <c r="AB17" i="4"/>
  <c r="AT17" i="4"/>
  <c r="D18" i="4"/>
  <c r="V18" i="4"/>
  <c r="AN18" i="4"/>
  <c r="BF18" i="4"/>
  <c r="P19" i="4"/>
  <c r="AH19" i="4"/>
  <c r="AZ19" i="4"/>
  <c r="J20" i="4"/>
  <c r="AB20" i="4"/>
  <c r="AT20" i="4"/>
  <c r="D21" i="4"/>
  <c r="V21" i="4"/>
  <c r="AN21" i="4"/>
  <c r="BF21" i="4"/>
  <c r="P22" i="4"/>
  <c r="AH22" i="4"/>
  <c r="AZ22" i="4"/>
  <c r="J23" i="4"/>
  <c r="AB23" i="4"/>
  <c r="AT23" i="4"/>
  <c r="E12" i="4"/>
  <c r="W12" i="4"/>
  <c r="AO12" i="4"/>
  <c r="BG12" i="4"/>
  <c r="Q13" i="4"/>
  <c r="AI13" i="4"/>
  <c r="BA13" i="4"/>
  <c r="K14" i="4"/>
  <c r="AC14" i="4"/>
  <c r="AU14" i="4"/>
  <c r="E15" i="4"/>
  <c r="W15" i="4"/>
  <c r="AO15" i="4"/>
  <c r="BG15" i="4"/>
  <c r="Q16" i="4"/>
  <c r="AI16" i="4"/>
  <c r="BA16" i="4"/>
  <c r="K17" i="4"/>
  <c r="AC17" i="4"/>
  <c r="AU17" i="4"/>
  <c r="E18" i="4"/>
  <c r="W18" i="4"/>
  <c r="AO18" i="4"/>
  <c r="BG18" i="4"/>
  <c r="Q19" i="4"/>
  <c r="AI19" i="4"/>
  <c r="BA19" i="4"/>
  <c r="K20" i="4"/>
  <c r="AC20" i="4"/>
  <c r="AU20" i="4"/>
  <c r="E21" i="4"/>
  <c r="W21" i="4"/>
  <c r="AO21" i="4"/>
  <c r="BG21" i="4"/>
  <c r="Q22" i="4"/>
  <c r="AI22" i="4"/>
  <c r="BA22" i="4"/>
  <c r="K23" i="4"/>
  <c r="F12" i="4"/>
  <c r="X12" i="4"/>
  <c r="AP12" i="4"/>
  <c r="BH12" i="4"/>
  <c r="R13" i="4"/>
  <c r="AJ13" i="4"/>
  <c r="BB13" i="4"/>
  <c r="L14" i="4"/>
  <c r="AD14" i="4"/>
  <c r="AV14" i="4"/>
  <c r="F15" i="4"/>
  <c r="X15" i="4"/>
  <c r="AP15" i="4"/>
  <c r="BH15" i="4"/>
  <c r="R16" i="4"/>
  <c r="AJ16" i="4"/>
  <c r="BB16" i="4"/>
  <c r="L17" i="4"/>
  <c r="AD17" i="4"/>
  <c r="AV17" i="4"/>
  <c r="F18" i="4"/>
  <c r="X18" i="4"/>
  <c r="AP18" i="4"/>
  <c r="BH18" i="4"/>
  <c r="R19" i="4"/>
  <c r="AJ19" i="4"/>
  <c r="BB19" i="4"/>
  <c r="G12" i="4"/>
  <c r="Y12" i="4"/>
  <c r="AQ12" i="4"/>
  <c r="BI12" i="4"/>
  <c r="S13" i="4"/>
  <c r="AK13" i="4"/>
  <c r="BC13" i="4"/>
  <c r="M14" i="4"/>
  <c r="AE14" i="4"/>
  <c r="AW14" i="4"/>
  <c r="G15" i="4"/>
  <c r="Y15" i="4"/>
  <c r="AQ15" i="4"/>
  <c r="BI15" i="4"/>
  <c r="S16" i="4"/>
  <c r="AK16" i="4"/>
  <c r="BC16" i="4"/>
  <c r="M17" i="4"/>
  <c r="AE17" i="4"/>
  <c r="AW17" i="4"/>
  <c r="G18" i="4"/>
  <c r="Y18" i="4"/>
  <c r="AQ18" i="4"/>
  <c r="BI18" i="4"/>
  <c r="S19" i="4"/>
  <c r="AK19" i="4"/>
  <c r="BC19" i="4"/>
  <c r="M20" i="4"/>
  <c r="AE20" i="4"/>
  <c r="AW20" i="4"/>
  <c r="G21" i="4"/>
  <c r="Y21" i="4"/>
  <c r="AQ21" i="4"/>
  <c r="BI21" i="4"/>
  <c r="S22" i="4"/>
  <c r="AK22" i="4"/>
  <c r="BC22" i="4"/>
  <c r="M23" i="4"/>
  <c r="AE23" i="4"/>
  <c r="AW23" i="4"/>
  <c r="G24" i="4"/>
  <c r="Y24" i="4"/>
  <c r="AQ24" i="4"/>
  <c r="BI24" i="4"/>
  <c r="S25" i="4"/>
  <c r="AK25" i="4"/>
  <c r="BC25" i="4"/>
  <c r="M26" i="4"/>
  <c r="AE26" i="4"/>
  <c r="H12" i="4"/>
  <c r="Z12" i="4"/>
  <c r="AR12" i="4"/>
  <c r="BJ12" i="4"/>
  <c r="T13" i="4"/>
  <c r="AL13" i="4"/>
  <c r="BD13" i="4"/>
  <c r="N14" i="4"/>
  <c r="AF14" i="4"/>
  <c r="AX14" i="4"/>
  <c r="H15" i="4"/>
  <c r="Z15" i="4"/>
  <c r="AR15" i="4"/>
  <c r="BJ15" i="4"/>
  <c r="T16" i="4"/>
  <c r="AL16" i="4"/>
  <c r="BD16" i="4"/>
  <c r="N17" i="4"/>
  <c r="AF17" i="4"/>
  <c r="AX17" i="4"/>
  <c r="H18" i="4"/>
  <c r="Z18" i="4"/>
  <c r="AR18" i="4"/>
  <c r="BJ18" i="4"/>
  <c r="T19" i="4"/>
  <c r="AL19" i="4"/>
  <c r="BD19" i="4"/>
  <c r="N20" i="4"/>
  <c r="AF20" i="4"/>
  <c r="AX20" i="4"/>
  <c r="H21" i="4"/>
  <c r="Z21" i="4"/>
  <c r="AR21" i="4"/>
  <c r="BJ21" i="4"/>
  <c r="T22" i="4"/>
  <c r="AL22" i="4"/>
  <c r="BD22" i="4"/>
  <c r="I12" i="4"/>
  <c r="AA12" i="4"/>
  <c r="AS12" i="4"/>
  <c r="C13" i="4"/>
  <c r="U13" i="4"/>
  <c r="AM13" i="4"/>
  <c r="BE13" i="4"/>
  <c r="O14" i="4"/>
  <c r="AG14" i="4"/>
  <c r="AY14" i="4"/>
  <c r="I15" i="4"/>
  <c r="AA15" i="4"/>
  <c r="AS15" i="4"/>
  <c r="C16" i="4"/>
  <c r="U16" i="4"/>
  <c r="AM16" i="4"/>
  <c r="BE16" i="4"/>
  <c r="O17" i="4"/>
  <c r="AG17" i="4"/>
  <c r="AY17" i="4"/>
  <c r="I18" i="4"/>
  <c r="AA18" i="4"/>
  <c r="AS18" i="4"/>
  <c r="C19" i="4"/>
  <c r="U19" i="4"/>
  <c r="AM19" i="4"/>
  <c r="BE19" i="4"/>
  <c r="O20" i="4"/>
  <c r="AG20" i="4"/>
  <c r="AY20" i="4"/>
  <c r="I21" i="4"/>
  <c r="AA21" i="4"/>
  <c r="AS21" i="4"/>
  <c r="C22" i="4"/>
  <c r="U22" i="4"/>
  <c r="AM22" i="4"/>
  <c r="BE22" i="4"/>
  <c r="O23" i="4"/>
  <c r="AG23" i="4"/>
  <c r="AY23" i="4"/>
  <c r="I24" i="4"/>
  <c r="AA24" i="4"/>
  <c r="AS24" i="4"/>
  <c r="C25" i="4"/>
  <c r="U25" i="4"/>
  <c r="AM25" i="4"/>
  <c r="BE25" i="4"/>
  <c r="O26" i="4"/>
  <c r="J12" i="4"/>
  <c r="AB12" i="4"/>
  <c r="AT12" i="4"/>
  <c r="D13" i="4"/>
  <c r="V13" i="4"/>
  <c r="AN13" i="4"/>
  <c r="BF13" i="4"/>
  <c r="P14" i="4"/>
  <c r="AH14" i="4"/>
  <c r="AZ14" i="4"/>
  <c r="J15" i="4"/>
  <c r="AB15" i="4"/>
  <c r="AT15" i="4"/>
  <c r="D16" i="4"/>
  <c r="V16" i="4"/>
  <c r="AN16" i="4"/>
  <c r="BF16" i="4"/>
  <c r="P17" i="4"/>
  <c r="AH17" i="4"/>
  <c r="AZ17" i="4"/>
  <c r="J18" i="4"/>
  <c r="AB18" i="4"/>
  <c r="K12" i="4"/>
  <c r="AC12" i="4"/>
  <c r="AU12" i="4"/>
  <c r="E13" i="4"/>
  <c r="W13" i="4"/>
  <c r="AO13" i="4"/>
  <c r="BG13" i="4"/>
  <c r="Q14" i="4"/>
  <c r="AI14" i="4"/>
  <c r="BA14" i="4"/>
  <c r="K15" i="4"/>
  <c r="AC15" i="4"/>
  <c r="AU15" i="4"/>
  <c r="E16" i="4"/>
  <c r="W16" i="4"/>
  <c r="AO16" i="4"/>
  <c r="BG16" i="4"/>
  <c r="Q17" i="4"/>
  <c r="AI17" i="4"/>
  <c r="BA17" i="4"/>
  <c r="K18" i="4"/>
  <c r="AC18" i="4"/>
  <c r="AU18" i="4"/>
  <c r="E19" i="4"/>
  <c r="W19" i="4"/>
  <c r="AO19" i="4"/>
  <c r="BG19" i="4"/>
  <c r="M12" i="4"/>
  <c r="AE12" i="4"/>
  <c r="AW12" i="4"/>
  <c r="G13" i="4"/>
  <c r="Y13" i="4"/>
  <c r="AQ13" i="4"/>
  <c r="BI13" i="4"/>
  <c r="S14" i="4"/>
  <c r="AK14" i="4"/>
  <c r="BC14" i="4"/>
  <c r="M15" i="4"/>
  <c r="AE15" i="4"/>
  <c r="AW15" i="4"/>
  <c r="G16" i="4"/>
  <c r="Y16" i="4"/>
  <c r="AQ16" i="4"/>
  <c r="BI16" i="4"/>
  <c r="S17" i="4"/>
  <c r="AK17" i="4"/>
  <c r="BC17" i="4"/>
  <c r="M18" i="4"/>
  <c r="AE18" i="4"/>
  <c r="AW18" i="4"/>
  <c r="G19" i="4"/>
  <c r="Y19" i="4"/>
  <c r="AQ19" i="4"/>
  <c r="BI19" i="4"/>
  <c r="S20" i="4"/>
  <c r="AK20" i="4"/>
  <c r="BC20" i="4"/>
  <c r="M21" i="4"/>
  <c r="AE21" i="4"/>
  <c r="AW21" i="4"/>
  <c r="G22" i="4"/>
  <c r="Y22" i="4"/>
  <c r="AQ22" i="4"/>
  <c r="BI22" i="4"/>
  <c r="R12" i="4"/>
  <c r="AJ12" i="4"/>
  <c r="BB12" i="4"/>
  <c r="L13" i="4"/>
  <c r="AD13" i="4"/>
  <c r="AV13" i="4"/>
  <c r="F14" i="4"/>
  <c r="X14" i="4"/>
  <c r="AP14" i="4"/>
  <c r="BH14" i="4"/>
  <c r="R15" i="4"/>
  <c r="AJ15" i="4"/>
  <c r="BB15" i="4"/>
  <c r="L16" i="4"/>
  <c r="AD16" i="4"/>
  <c r="AV16" i="4"/>
  <c r="F17" i="4"/>
  <c r="X17" i="4"/>
  <c r="AP17" i="4"/>
  <c r="BH17" i="4"/>
  <c r="R18" i="4"/>
  <c r="AJ18" i="4"/>
  <c r="BB18" i="4"/>
  <c r="L19" i="4"/>
  <c r="AD19" i="4"/>
  <c r="AV19" i="4"/>
  <c r="F20" i="4"/>
  <c r="X20" i="4"/>
  <c r="AP20" i="4"/>
  <c r="BH20" i="4"/>
  <c r="R21" i="4"/>
  <c r="AJ21" i="4"/>
  <c r="BB21" i="4"/>
  <c r="L12" i="4"/>
  <c r="BA12" i="4"/>
  <c r="AR13" i="4"/>
  <c r="Y14" i="4"/>
  <c r="O15" i="4"/>
  <c r="BD15" i="4"/>
  <c r="AT16" i="4"/>
  <c r="AJ17" i="4"/>
  <c r="Q18" i="4"/>
  <c r="D19" i="4"/>
  <c r="AR19" i="4"/>
  <c r="T20" i="4"/>
  <c r="BA20" i="4"/>
  <c r="X21" i="4"/>
  <c r="BC21" i="4"/>
  <c r="AA22" i="4"/>
  <c r="BF22" i="4"/>
  <c r="V23" i="4"/>
  <c r="N12" i="4"/>
  <c r="BC12" i="4"/>
  <c r="AS13" i="4"/>
  <c r="Z14" i="4"/>
  <c r="P15" i="4"/>
  <c r="F16" i="4"/>
  <c r="AU16" i="4"/>
  <c r="AL17" i="4"/>
  <c r="S18" i="4"/>
  <c r="F19" i="4"/>
  <c r="AS19" i="4"/>
  <c r="U20" i="4"/>
  <c r="BB20" i="4"/>
  <c r="AB21" i="4"/>
  <c r="BD21" i="4"/>
  <c r="AB22" i="4"/>
  <c r="BG22" i="4"/>
  <c r="W23" i="4"/>
  <c r="O12" i="4"/>
  <c r="BD12" i="4"/>
  <c r="AT13" i="4"/>
  <c r="AJ14" i="4"/>
  <c r="Q15" i="4"/>
  <c r="H16" i="4"/>
  <c r="AW16" i="4"/>
  <c r="AM17" i="4"/>
  <c r="T18" i="4"/>
  <c r="H19" i="4"/>
  <c r="AT19" i="4"/>
  <c r="V20" i="4"/>
  <c r="BD20" i="4"/>
  <c r="AC21" i="4"/>
  <c r="BH21" i="4"/>
  <c r="AC22" i="4"/>
  <c r="BH22" i="4"/>
  <c r="X23" i="4"/>
  <c r="AV23" i="4"/>
  <c r="K24" i="4"/>
  <c r="AF24" i="4"/>
  <c r="BA24" i="4"/>
  <c r="N25" i="4"/>
  <c r="AJ25" i="4"/>
  <c r="BG25" i="4"/>
  <c r="T26" i="4"/>
  <c r="AN26" i="4"/>
  <c r="BG26" i="4"/>
  <c r="R27" i="4"/>
  <c r="AK27" i="4"/>
  <c r="BD27" i="4"/>
  <c r="P28" i="4"/>
  <c r="AI28" i="4"/>
  <c r="BB28" i="4"/>
  <c r="M29" i="4"/>
  <c r="AF29" i="4"/>
  <c r="AY29" i="4"/>
  <c r="J30" i="4"/>
  <c r="AC30" i="4"/>
  <c r="AV30" i="4"/>
  <c r="G31" i="4"/>
  <c r="Z31" i="4"/>
  <c r="AS31" i="4"/>
  <c r="D32" i="4"/>
  <c r="W32" i="4"/>
  <c r="AP32" i="4"/>
  <c r="BI32" i="4"/>
  <c r="T33" i="4"/>
  <c r="AN33" i="4"/>
  <c r="BG33" i="4"/>
  <c r="R34" i="4"/>
  <c r="AK34" i="4"/>
  <c r="BD34" i="4"/>
  <c r="P11" i="4"/>
  <c r="AI11" i="4"/>
  <c r="BB11" i="4"/>
  <c r="P12" i="4"/>
  <c r="F13" i="4"/>
  <c r="AU13" i="4"/>
  <c r="AL14" i="4"/>
  <c r="S15" i="4"/>
  <c r="I16" i="4"/>
  <c r="AX16" i="4"/>
  <c r="AN17" i="4"/>
  <c r="AD18" i="4"/>
  <c r="I19" i="4"/>
  <c r="AU19" i="4"/>
  <c r="W20" i="4"/>
  <c r="BE20" i="4"/>
  <c r="AD21" i="4"/>
  <c r="D22" i="4"/>
  <c r="AD22" i="4"/>
  <c r="BJ22" i="4"/>
  <c r="Y23" i="4"/>
  <c r="Q12" i="4"/>
  <c r="H13" i="4"/>
  <c r="AW13" i="4"/>
  <c r="AM14" i="4"/>
  <c r="T15" i="4"/>
  <c r="J16" i="4"/>
  <c r="BH16" i="4"/>
  <c r="AO17" i="4"/>
  <c r="AF18" i="4"/>
  <c r="J19" i="4"/>
  <c r="AW19" i="4"/>
  <c r="Y20" i="4"/>
  <c r="BF20" i="4"/>
  <c r="AF21" i="4"/>
  <c r="E22" i="4"/>
  <c r="AE22" i="4"/>
  <c r="C23" i="4"/>
  <c r="Z23" i="4"/>
  <c r="AZ23" i="4"/>
  <c r="M24" i="4"/>
  <c r="AH24" i="4"/>
  <c r="BC24" i="4"/>
  <c r="Q25" i="4"/>
  <c r="AN25" i="4"/>
  <c r="BI25" i="4"/>
  <c r="V26" i="4"/>
  <c r="AP26" i="4"/>
  <c r="BI26" i="4"/>
  <c r="T27" i="4"/>
  <c r="AN27" i="4"/>
  <c r="BG27" i="4"/>
  <c r="R28" i="4"/>
  <c r="AK28" i="4"/>
  <c r="BD28" i="4"/>
  <c r="O29" i="4"/>
  <c r="AH29" i="4"/>
  <c r="BA29" i="4"/>
  <c r="L30" i="4"/>
  <c r="AE30" i="4"/>
  <c r="AX30" i="4"/>
  <c r="I31" i="4"/>
  <c r="AB31" i="4"/>
  <c r="AU31" i="4"/>
  <c r="F32" i="4"/>
  <c r="Y32" i="4"/>
  <c r="AR32" i="4"/>
  <c r="D33" i="4"/>
  <c r="W33" i="4"/>
  <c r="AP33" i="4"/>
  <c r="BI33" i="4"/>
  <c r="T34" i="4"/>
  <c r="AM34" i="4"/>
  <c r="BF34" i="4"/>
  <c r="S12" i="4"/>
  <c r="I13" i="4"/>
  <c r="AX13" i="4"/>
  <c r="AN14" i="4"/>
  <c r="AD15" i="4"/>
  <c r="K16" i="4"/>
  <c r="BJ16" i="4"/>
  <c r="AQ17" i="4"/>
  <c r="AG18" i="4"/>
  <c r="K19" i="4"/>
  <c r="AX19" i="4"/>
  <c r="Z20" i="4"/>
  <c r="BG20" i="4"/>
  <c r="AG21" i="4"/>
  <c r="F22" i="4"/>
  <c r="AF22" i="4"/>
  <c r="D23" i="4"/>
  <c r="AC23" i="4"/>
  <c r="BA23" i="4"/>
  <c r="N24" i="4"/>
  <c r="AI24" i="4"/>
  <c r="BD24" i="4"/>
  <c r="R25" i="4"/>
  <c r="AO25" i="4"/>
  <c r="BJ25" i="4"/>
  <c r="W26" i="4"/>
  <c r="AQ26" i="4"/>
  <c r="BJ26" i="4"/>
  <c r="V27" i="4"/>
  <c r="AO27" i="4"/>
  <c r="BH27" i="4"/>
  <c r="S28" i="4"/>
  <c r="AL28" i="4"/>
  <c r="BE28" i="4"/>
  <c r="P29" i="4"/>
  <c r="AI29" i="4"/>
  <c r="BB29" i="4"/>
  <c r="M30" i="4"/>
  <c r="AF30" i="4"/>
  <c r="AY30" i="4"/>
  <c r="J31" i="4"/>
  <c r="AC31" i="4"/>
  <c r="AV31" i="4"/>
  <c r="G32" i="4"/>
  <c r="Z32" i="4"/>
  <c r="AT32" i="4"/>
  <c r="E33" i="4"/>
  <c r="T12" i="4"/>
  <c r="J13" i="4"/>
  <c r="BH13" i="4"/>
  <c r="AO14" i="4"/>
  <c r="AF15" i="4"/>
  <c r="M16" i="4"/>
  <c r="C17" i="4"/>
  <c r="AR17" i="4"/>
  <c r="AH18" i="4"/>
  <c r="M19" i="4"/>
  <c r="BF19" i="4"/>
  <c r="AD20" i="4"/>
  <c r="BI20" i="4"/>
  <c r="AH21" i="4"/>
  <c r="H22" i="4"/>
  <c r="AJ22" i="4"/>
  <c r="E23" i="4"/>
  <c r="AD23" i="4"/>
  <c r="BB23" i="4"/>
  <c r="O24" i="4"/>
  <c r="AJ24" i="4"/>
  <c r="AD12" i="4"/>
  <c r="K13" i="4"/>
  <c r="BJ13" i="4"/>
  <c r="AQ14" i="4"/>
  <c r="AG15" i="4"/>
  <c r="N16" i="4"/>
  <c r="D17" i="4"/>
  <c r="BB17" i="4"/>
  <c r="AI18" i="4"/>
  <c r="N19" i="4"/>
  <c r="BH19" i="4"/>
  <c r="AH20" i="4"/>
  <c r="BJ20" i="4"/>
  <c r="AF12" i="4"/>
  <c r="M13" i="4"/>
  <c r="C14" i="4"/>
  <c r="AR14" i="4"/>
  <c r="AH15" i="4"/>
  <c r="X16" i="4"/>
  <c r="E17" i="4"/>
  <c r="BD17" i="4"/>
  <c r="AG12" i="4"/>
  <c r="N13" i="4"/>
  <c r="D14" i="4"/>
  <c r="BB14" i="4"/>
  <c r="AI15" i="4"/>
  <c r="Z16" i="4"/>
  <c r="G17" i="4"/>
  <c r="AH12" i="4"/>
  <c r="X13" i="4"/>
  <c r="E14" i="4"/>
  <c r="BD14" i="4"/>
  <c r="AK15" i="4"/>
  <c r="AA16" i="4"/>
  <c r="H17" i="4"/>
  <c r="BF17" i="4"/>
  <c r="AT18" i="4"/>
  <c r="Z19" i="4"/>
  <c r="D20" i="4"/>
  <c r="AL20" i="4"/>
  <c r="K21" i="4"/>
  <c r="AP21" i="4"/>
  <c r="L22" i="4"/>
  <c r="AI12" i="4"/>
  <c r="U14" i="4"/>
  <c r="AC16" i="4"/>
  <c r="N18" i="4"/>
  <c r="AF19" i="4"/>
  <c r="AR20" i="4"/>
  <c r="AX21" i="4"/>
  <c r="AS22" i="4"/>
  <c r="AF23" i="4"/>
  <c r="BG23" i="4"/>
  <c r="Z24" i="4"/>
  <c r="AZ24" i="4"/>
  <c r="V25" i="4"/>
  <c r="AT25" i="4"/>
  <c r="K26" i="4"/>
  <c r="AJ26" i="4"/>
  <c r="BF26" i="4"/>
  <c r="X27" i="4"/>
  <c r="AT27" i="4"/>
  <c r="H28" i="4"/>
  <c r="AD28" i="4"/>
  <c r="BA28" i="4"/>
  <c r="R29" i="4"/>
  <c r="AN29" i="4"/>
  <c r="BJ29" i="4"/>
  <c r="Y30" i="4"/>
  <c r="AU30" i="4"/>
  <c r="L31" i="4"/>
  <c r="AI31" i="4"/>
  <c r="BE31" i="4"/>
  <c r="S32" i="4"/>
  <c r="AO32" i="4"/>
  <c r="G33" i="4"/>
  <c r="AB33" i="4"/>
  <c r="AW33" i="4"/>
  <c r="J34" i="4"/>
  <c r="AE34" i="4"/>
  <c r="BA34" i="4"/>
  <c r="O11" i="4"/>
  <c r="AJ11" i="4"/>
  <c r="BD11" i="4"/>
  <c r="AK12" i="4"/>
  <c r="V14" i="4"/>
  <c r="AE16" i="4"/>
  <c r="O18" i="4"/>
  <c r="AN19" i="4"/>
  <c r="AV20" i="4"/>
  <c r="AY21" i="4"/>
  <c r="AT22" i="4"/>
  <c r="AH23" i="4"/>
  <c r="BH23" i="4"/>
  <c r="AB24" i="4"/>
  <c r="BB24" i="4"/>
  <c r="W25" i="4"/>
  <c r="AU25" i="4"/>
  <c r="L26" i="4"/>
  <c r="AK26" i="4"/>
  <c r="BH26" i="4"/>
  <c r="Y27" i="4"/>
  <c r="AU27" i="4"/>
  <c r="I28" i="4"/>
  <c r="AE28" i="4"/>
  <c r="BC28" i="4"/>
  <c r="S29" i="4"/>
  <c r="AO29" i="4"/>
  <c r="D30" i="4"/>
  <c r="Z30" i="4"/>
  <c r="AW30" i="4"/>
  <c r="M31" i="4"/>
  <c r="AJ31" i="4"/>
  <c r="BF31" i="4"/>
  <c r="T32" i="4"/>
  <c r="AQ32" i="4"/>
  <c r="H33" i="4"/>
  <c r="AC33" i="4"/>
  <c r="AX33" i="4"/>
  <c r="K34" i="4"/>
  <c r="AF34" i="4"/>
  <c r="BB34" i="4"/>
  <c r="Q11" i="4"/>
  <c r="AK11" i="4"/>
  <c r="BE11" i="4"/>
  <c r="AL12" i="4"/>
  <c r="W14" i="4"/>
  <c r="AF16" i="4"/>
  <c r="P18" i="4"/>
  <c r="AP19" i="4"/>
  <c r="AZ20" i="4"/>
  <c r="AZ21" i="4"/>
  <c r="AU22" i="4"/>
  <c r="AI23" i="4"/>
  <c r="BI23" i="4"/>
  <c r="AC24" i="4"/>
  <c r="BF24" i="4"/>
  <c r="X25" i="4"/>
  <c r="AV25" i="4"/>
  <c r="N26" i="4"/>
  <c r="AL26" i="4"/>
  <c r="D27" i="4"/>
  <c r="Z27" i="4"/>
  <c r="AV27" i="4"/>
  <c r="J28" i="4"/>
  <c r="AF28" i="4"/>
  <c r="BF28" i="4"/>
  <c r="T29" i="4"/>
  <c r="AP29" i="4"/>
  <c r="E30" i="4"/>
  <c r="AA30" i="4"/>
  <c r="AZ30" i="4"/>
  <c r="N31" i="4"/>
  <c r="AK31" i="4"/>
  <c r="BG31" i="4"/>
  <c r="U32" i="4"/>
  <c r="AU32" i="4"/>
  <c r="I33" i="4"/>
  <c r="AD33" i="4"/>
  <c r="AY33" i="4"/>
  <c r="L34" i="4"/>
  <c r="AH34" i="4"/>
  <c r="BC34" i="4"/>
  <c r="R11" i="4"/>
  <c r="AL11" i="4"/>
  <c r="BF11" i="4"/>
  <c r="AV12" i="4"/>
  <c r="BE14" i="4"/>
  <c r="AP16" i="4"/>
  <c r="AK18" i="4"/>
  <c r="BJ19" i="4"/>
  <c r="F21" i="4"/>
  <c r="BA21" i="4"/>
  <c r="AV22" i="4"/>
  <c r="AJ23" i="4"/>
  <c r="BJ23" i="4"/>
  <c r="AD24" i="4"/>
  <c r="BG24" i="4"/>
  <c r="Y25" i="4"/>
  <c r="AX12" i="4"/>
  <c r="BF14" i="4"/>
  <c r="AR16" i="4"/>
  <c r="AL18" i="4"/>
  <c r="C20" i="4"/>
  <c r="J21" i="4"/>
  <c r="I22" i="4"/>
  <c r="AW22" i="4"/>
  <c r="AK23" i="4"/>
  <c r="D24" i="4"/>
  <c r="AE24" i="4"/>
  <c r="BH24" i="4"/>
  <c r="Z25" i="4"/>
  <c r="AY12" i="4"/>
  <c r="BG14" i="4"/>
  <c r="AS16" i="4"/>
  <c r="AV18" i="4"/>
  <c r="E20" i="4"/>
  <c r="L21" i="4"/>
  <c r="J22" i="4"/>
  <c r="AX22" i="4"/>
  <c r="AL23" i="4"/>
  <c r="E24" i="4"/>
  <c r="AG24" i="4"/>
  <c r="BJ24" i="4"/>
  <c r="AZ12" i="4"/>
  <c r="BI14" i="4"/>
  <c r="R17" i="4"/>
  <c r="AX18" i="4"/>
  <c r="G20" i="4"/>
  <c r="N21" i="4"/>
  <c r="K22" i="4"/>
  <c r="BB22" i="4"/>
  <c r="AM23" i="4"/>
  <c r="F24" i="4"/>
  <c r="AK24" i="4"/>
  <c r="D25" i="4"/>
  <c r="AA13" i="4"/>
  <c r="L15" i="4"/>
  <c r="U17" i="4"/>
  <c r="AZ18" i="4"/>
  <c r="AB13" i="4"/>
  <c r="N15" i="4"/>
  <c r="V17" i="4"/>
  <c r="H14" i="4"/>
  <c r="BA15" i="4"/>
  <c r="BI17" i="4"/>
  <c r="AB19" i="4"/>
  <c r="AN20" i="4"/>
  <c r="AT21" i="4"/>
  <c r="AO22" i="4"/>
  <c r="S23" i="4"/>
  <c r="Z13" i="4"/>
  <c r="Y17" i="4"/>
  <c r="Q20" i="4"/>
  <c r="N22" i="4"/>
  <c r="U23" i="4"/>
  <c r="S24" i="4"/>
  <c r="G25" i="4"/>
  <c r="AP25" i="4"/>
  <c r="J26" i="4"/>
  <c r="AR26" i="4"/>
  <c r="J27" i="4"/>
  <c r="AI27" i="4"/>
  <c r="D28" i="4"/>
  <c r="AC28" i="4"/>
  <c r="BI28" i="4"/>
  <c r="Z29" i="4"/>
  <c r="BC29" i="4"/>
  <c r="T30" i="4"/>
  <c r="AT30" i="4"/>
  <c r="R31" i="4"/>
  <c r="AQ31" i="4"/>
  <c r="L32" i="4"/>
  <c r="AK32" i="4"/>
  <c r="F33" i="4"/>
  <c r="AG33" i="4"/>
  <c r="BF33" i="4"/>
  <c r="X34" i="4"/>
  <c r="AV34" i="4"/>
  <c r="N11" i="4"/>
  <c r="AO11" i="4"/>
  <c r="AC13" i="4"/>
  <c r="Z17" i="4"/>
  <c r="R20" i="4"/>
  <c r="R22" i="4"/>
  <c r="AN23" i="4"/>
  <c r="T24" i="4"/>
  <c r="H25" i="4"/>
  <c r="AQ25" i="4"/>
  <c r="P26" i="4"/>
  <c r="AT26" i="4"/>
  <c r="K27" i="4"/>
  <c r="AJ27" i="4"/>
  <c r="E28" i="4"/>
  <c r="AH28" i="4"/>
  <c r="BJ28" i="4"/>
  <c r="AB29" i="4"/>
  <c r="BD29" i="4"/>
  <c r="V30" i="4"/>
  <c r="BA30" i="4"/>
  <c r="S31" i="4"/>
  <c r="AR31" i="4"/>
  <c r="M32" i="4"/>
  <c r="AL32" i="4"/>
  <c r="J33" i="4"/>
  <c r="AH33" i="4"/>
  <c r="BH33" i="4"/>
  <c r="Y34" i="4"/>
  <c r="AW34" i="4"/>
  <c r="S11" i="4"/>
  <c r="AP11" i="4"/>
  <c r="AE13" i="4"/>
  <c r="BE17" i="4"/>
  <c r="AI20" i="4"/>
  <c r="V22" i="4"/>
  <c r="AO23" i="4"/>
  <c r="V24" i="4"/>
  <c r="I25" i="4"/>
  <c r="AR25" i="4"/>
  <c r="Q26" i="4"/>
  <c r="AU26" i="4"/>
  <c r="L27" i="4"/>
  <c r="AL27" i="4"/>
  <c r="F28" i="4"/>
  <c r="AJ28" i="4"/>
  <c r="C29" i="4"/>
  <c r="AC29" i="4"/>
  <c r="BE29" i="4"/>
  <c r="W30" i="4"/>
  <c r="BB30" i="4"/>
  <c r="AF13" i="4"/>
  <c r="BG17" i="4"/>
  <c r="AJ20" i="4"/>
  <c r="W22" i="4"/>
  <c r="AP23" i="4"/>
  <c r="W24" i="4"/>
  <c r="J25" i="4"/>
  <c r="AS25" i="4"/>
  <c r="R26" i="4"/>
  <c r="AV26" i="4"/>
  <c r="M27" i="4"/>
  <c r="AP27" i="4"/>
  <c r="G28" i="4"/>
  <c r="AM28" i="4"/>
  <c r="D29" i="4"/>
  <c r="AD29" i="4"/>
  <c r="BF29" i="4"/>
  <c r="X30" i="4"/>
  <c r="BC30" i="4"/>
  <c r="AP13" i="4"/>
  <c r="BJ17" i="4"/>
  <c r="AM20" i="4"/>
  <c r="X22" i="4"/>
  <c r="AQ23" i="4"/>
  <c r="X24" i="4"/>
  <c r="K25" i="4"/>
  <c r="AW25" i="4"/>
  <c r="S26" i="4"/>
  <c r="AW26" i="4"/>
  <c r="N27" i="4"/>
  <c r="AQ27" i="4"/>
  <c r="K28" i="4"/>
  <c r="AN28" i="4"/>
  <c r="E29" i="4"/>
  <c r="AE29" i="4"/>
  <c r="BG29" i="4"/>
  <c r="AB30" i="4"/>
  <c r="BD30" i="4"/>
  <c r="G14" i="4"/>
  <c r="L18" i="4"/>
  <c r="AO20" i="4"/>
  <c r="Z22" i="4"/>
  <c r="AR23" i="4"/>
  <c r="AL24" i="4"/>
  <c r="L25" i="4"/>
  <c r="AX25" i="4"/>
  <c r="U26" i="4"/>
  <c r="AX26" i="4"/>
  <c r="O27" i="4"/>
  <c r="AR27" i="4"/>
  <c r="L28" i="4"/>
  <c r="AO28" i="4"/>
  <c r="F29" i="4"/>
  <c r="AG29" i="4"/>
  <c r="BH29" i="4"/>
  <c r="R14" i="4"/>
  <c r="AY18" i="4"/>
  <c r="AQ20" i="4"/>
  <c r="AN22" i="4"/>
  <c r="AU23" i="4"/>
  <c r="AN24" i="4"/>
  <c r="M25" i="4"/>
  <c r="AZ25" i="4"/>
  <c r="X26" i="4"/>
  <c r="AY26" i="4"/>
  <c r="P27" i="4"/>
  <c r="AS27" i="4"/>
  <c r="M28" i="4"/>
  <c r="AP28" i="4"/>
  <c r="G29" i="4"/>
  <c r="AJ29" i="4"/>
  <c r="BI29" i="4"/>
  <c r="AG30" i="4"/>
  <c r="T14" i="4"/>
  <c r="BA18" i="4"/>
  <c r="O21" i="4"/>
  <c r="AP22" i="4"/>
  <c r="AX23" i="4"/>
  <c r="AO24" i="4"/>
  <c r="P25" i="4"/>
  <c r="BA25" i="4"/>
  <c r="Y26" i="4"/>
  <c r="AZ26" i="4"/>
  <c r="Q27" i="4"/>
  <c r="AW27" i="4"/>
  <c r="N28" i="4"/>
  <c r="AQ28" i="4"/>
  <c r="H29" i="4"/>
  <c r="AK29" i="4"/>
  <c r="F30" i="4"/>
  <c r="AH30" i="4"/>
  <c r="BH30" i="4"/>
  <c r="Y31" i="4"/>
  <c r="BB31" i="4"/>
  <c r="V32" i="4"/>
  <c r="AL15" i="4"/>
  <c r="BD18" i="4"/>
  <c r="Q21" i="4"/>
  <c r="F23" i="4"/>
  <c r="BD23" i="4"/>
  <c r="AR24" i="4"/>
  <c r="AA25" i="4"/>
  <c r="BD25" i="4"/>
  <c r="AB26" i="4"/>
  <c r="BB26" i="4"/>
  <c r="W27" i="4"/>
  <c r="AY27" i="4"/>
  <c r="AX15" i="4"/>
  <c r="X19" i="4"/>
  <c r="T21" i="4"/>
  <c r="H23" i="4"/>
  <c r="BF23" i="4"/>
  <c r="AU24" i="4"/>
  <c r="AC25" i="4"/>
  <c r="BH25" i="4"/>
  <c r="AD26" i="4"/>
  <c r="BD26" i="4"/>
  <c r="AB27" i="4"/>
  <c r="BA27" i="4"/>
  <c r="V28" i="4"/>
  <c r="AU28" i="4"/>
  <c r="N29" i="4"/>
  <c r="AR29" i="4"/>
  <c r="K30" i="4"/>
  <c r="AL30" i="4"/>
  <c r="AY15" i="4"/>
  <c r="AA19" i="4"/>
  <c r="AI21" i="4"/>
  <c r="L23" i="4"/>
  <c r="H24" i="4"/>
  <c r="AV24" i="4"/>
  <c r="AD25" i="4"/>
  <c r="C26" i="4"/>
  <c r="AF26" i="4"/>
  <c r="BE26" i="4"/>
  <c r="AC27" i="4"/>
  <c r="BB27" i="4"/>
  <c r="W28" i="4"/>
  <c r="AV28" i="4"/>
  <c r="Q29" i="4"/>
  <c r="AT29" i="4"/>
  <c r="N30" i="4"/>
  <c r="AN30" i="4"/>
  <c r="E31" i="4"/>
  <c r="AH31" i="4"/>
  <c r="BJ31" i="4"/>
  <c r="AE32" i="4"/>
  <c r="BD32" i="4"/>
  <c r="X33" i="4"/>
  <c r="AV33" i="4"/>
  <c r="P34" i="4"/>
  <c r="AP34" i="4"/>
  <c r="G11" i="4"/>
  <c r="AE11" i="4"/>
  <c r="BC11" i="4"/>
  <c r="BJ14" i="4"/>
  <c r="AU21" i="4"/>
  <c r="AT24" i="4"/>
  <c r="G26" i="4"/>
  <c r="AD27" i="4"/>
  <c r="AA28" i="4"/>
  <c r="AL29" i="4"/>
  <c r="AJ30" i="4"/>
  <c r="T31" i="4"/>
  <c r="BA31" i="4"/>
  <c r="AD32" i="4"/>
  <c r="BG32" i="4"/>
  <c r="AI33" i="4"/>
  <c r="E34" i="4"/>
  <c r="AJ34" i="4"/>
  <c r="F11" i="4"/>
  <c r="AH11" i="4"/>
  <c r="AV15" i="4"/>
  <c r="AV21" i="4"/>
  <c r="AW24" i="4"/>
  <c r="H26" i="4"/>
  <c r="AE27" i="4"/>
  <c r="AB28" i="4"/>
  <c r="AM29" i="4"/>
  <c r="AK30" i="4"/>
  <c r="U31" i="4"/>
  <c r="BC31" i="4"/>
  <c r="AF32" i="4"/>
  <c r="BH32" i="4"/>
  <c r="AJ33" i="4"/>
  <c r="F34" i="4"/>
  <c r="AL34" i="4"/>
  <c r="H11" i="4"/>
  <c r="AM11" i="4"/>
  <c r="AZ15" i="4"/>
  <c r="M22" i="4"/>
  <c r="AX24" i="4"/>
  <c r="Z26" i="4"/>
  <c r="AF27" i="4"/>
  <c r="AR28" i="4"/>
  <c r="AQ29" i="4"/>
  <c r="AO30" i="4"/>
  <c r="V31" i="4"/>
  <c r="BD31" i="4"/>
  <c r="AG32" i="4"/>
  <c r="BJ32" i="4"/>
  <c r="AK33" i="4"/>
  <c r="G34" i="4"/>
  <c r="AN34" i="4"/>
  <c r="I11" i="4"/>
  <c r="AN11" i="4"/>
  <c r="BC15" i="4"/>
  <c r="AR22" i="4"/>
  <c r="AY24" i="4"/>
  <c r="AC26" i="4"/>
  <c r="AG27" i="4"/>
  <c r="AS28" i="4"/>
  <c r="AU29" i="4"/>
  <c r="AP30" i="4"/>
  <c r="W31" i="4"/>
  <c r="BH31" i="4"/>
  <c r="AH32" i="4"/>
  <c r="K33" i="4"/>
  <c r="AL33" i="4"/>
  <c r="H34" i="4"/>
  <c r="AO34" i="4"/>
  <c r="K11" i="4"/>
  <c r="AQ11" i="4"/>
  <c r="AB16" i="4"/>
  <c r="G23" i="4"/>
  <c r="E25" i="4"/>
  <c r="AG26" i="4"/>
  <c r="AH27" i="4"/>
  <c r="AT28" i="4"/>
  <c r="AV29" i="4"/>
  <c r="AQ30" i="4"/>
  <c r="X31" i="4"/>
  <c r="BI31" i="4"/>
  <c r="AI32" i="4"/>
  <c r="L33" i="4"/>
  <c r="AO33" i="4"/>
  <c r="I34" i="4"/>
  <c r="AQ34" i="4"/>
  <c r="L11" i="4"/>
  <c r="AR11" i="4"/>
  <c r="T17" i="4"/>
  <c r="N23" i="4"/>
  <c r="F25" i="4"/>
  <c r="AH26" i="4"/>
  <c r="AX27" i="4"/>
  <c r="AW28" i="4"/>
  <c r="AW29" i="4"/>
  <c r="AR30" i="4"/>
  <c r="AA31" i="4"/>
  <c r="C32" i="4"/>
  <c r="AJ32" i="4"/>
  <c r="M33" i="4"/>
  <c r="AQ33" i="4"/>
  <c r="M34" i="4"/>
  <c r="AR34" i="4"/>
  <c r="M11" i="4"/>
  <c r="AS11" i="4"/>
  <c r="W17" i="4"/>
  <c r="P23" i="4"/>
  <c r="T25" i="4"/>
  <c r="AI26" i="4"/>
  <c r="AZ27" i="4"/>
  <c r="AX28" i="4"/>
  <c r="AX29" i="4"/>
  <c r="AS30" i="4"/>
  <c r="AD31" i="4"/>
  <c r="E32" i="4"/>
  <c r="AM32" i="4"/>
  <c r="N33" i="4"/>
  <c r="AR33" i="4"/>
  <c r="N34" i="4"/>
  <c r="AS34" i="4"/>
  <c r="T11" i="4"/>
  <c r="AU11" i="4"/>
  <c r="BC18" i="4"/>
  <c r="Q23" i="4"/>
  <c r="AB25" i="4"/>
  <c r="AM26" i="4"/>
  <c r="BC27" i="4"/>
  <c r="AZ28" i="4"/>
  <c r="AZ29" i="4"/>
  <c r="BF30" i="4"/>
  <c r="AE31" i="4"/>
  <c r="H32" i="4"/>
  <c r="AN32" i="4"/>
  <c r="O33" i="4"/>
  <c r="AS33" i="4"/>
  <c r="Q34" i="4"/>
  <c r="AT34" i="4"/>
  <c r="U11" i="4"/>
  <c r="AV11" i="4"/>
  <c r="V19" i="4"/>
  <c r="R23" i="4"/>
  <c r="AE25" i="4"/>
  <c r="AO26" i="4"/>
  <c r="BF27" i="4"/>
  <c r="BG28" i="4"/>
  <c r="G30" i="4"/>
  <c r="BG30" i="4"/>
  <c r="AF31" i="4"/>
  <c r="J32" i="4"/>
  <c r="AV32" i="4"/>
  <c r="P33" i="4"/>
  <c r="AT33" i="4"/>
  <c r="S34" i="4"/>
  <c r="AU34" i="4"/>
  <c r="V11" i="4"/>
  <c r="AW11" i="4"/>
  <c r="AC19" i="4"/>
  <c r="T23" i="4"/>
  <c r="AF25" i="4"/>
  <c r="BA26" i="4"/>
  <c r="BI27" i="4"/>
  <c r="BH28" i="4"/>
  <c r="H30" i="4"/>
  <c r="BI30" i="4"/>
  <c r="AL31" i="4"/>
  <c r="K32" i="4"/>
  <c r="AW32" i="4"/>
  <c r="Q33" i="4"/>
  <c r="AU33" i="4"/>
  <c r="U34" i="4"/>
  <c r="AX34" i="4"/>
  <c r="W11" i="4"/>
  <c r="AX11" i="4"/>
  <c r="AE19" i="4"/>
  <c r="BC23" i="4"/>
  <c r="AH25" i="4"/>
  <c r="BC26" i="4"/>
  <c r="BJ27" i="4"/>
  <c r="J29" i="4"/>
  <c r="I30" i="4"/>
  <c r="BJ30" i="4"/>
  <c r="AM31" i="4"/>
  <c r="N32" i="4"/>
  <c r="AX32" i="4"/>
  <c r="R33" i="4"/>
  <c r="AZ33" i="4"/>
  <c r="V34" i="4"/>
  <c r="AZ34" i="4"/>
  <c r="X11" i="4"/>
  <c r="AY11" i="4"/>
  <c r="H20" i="4"/>
  <c r="BE23" i="4"/>
  <c r="AI25" i="4"/>
  <c r="E27" i="4"/>
  <c r="C28" i="4"/>
  <c r="K29" i="4"/>
  <c r="O30" i="4"/>
  <c r="C31" i="4"/>
  <c r="AN31" i="4"/>
  <c r="O32" i="4"/>
  <c r="AY32" i="4"/>
  <c r="S33" i="4"/>
  <c r="BA33" i="4"/>
  <c r="W34" i="4"/>
  <c r="BE34" i="4"/>
  <c r="Y11" i="4"/>
  <c r="AZ11" i="4"/>
  <c r="L20" i="4"/>
  <c r="J24" i="4"/>
  <c r="AL25" i="4"/>
  <c r="F27" i="4"/>
  <c r="Q28" i="4"/>
  <c r="L29" i="4"/>
  <c r="P30" i="4"/>
  <c r="D31" i="4"/>
  <c r="AO31" i="4"/>
  <c r="P32" i="4"/>
  <c r="AZ32" i="4"/>
  <c r="V33" i="4"/>
  <c r="BB33" i="4"/>
  <c r="Z34" i="4"/>
  <c r="BG34" i="4"/>
  <c r="Z11" i="4"/>
  <c r="BA11" i="4"/>
  <c r="P20" i="4"/>
  <c r="L24" i="4"/>
  <c r="BB25" i="4"/>
  <c r="G27" i="4"/>
  <c r="T28" i="4"/>
  <c r="U29" i="4"/>
  <c r="Q30" i="4"/>
  <c r="F31" i="4"/>
  <c r="AP31" i="4"/>
  <c r="Q32" i="4"/>
  <c r="BA32" i="4"/>
  <c r="Y33" i="4"/>
  <c r="BC33" i="4"/>
  <c r="AA34" i="4"/>
  <c r="BH34" i="4"/>
  <c r="AA11" i="4"/>
  <c r="BG11" i="4"/>
  <c r="P21" i="4"/>
  <c r="P24" i="4"/>
  <c r="BF25" i="4"/>
  <c r="H27" i="4"/>
  <c r="U28" i="4"/>
  <c r="V29" i="4"/>
  <c r="R30" i="4"/>
  <c r="H31" i="4"/>
  <c r="AT31" i="4"/>
  <c r="R32" i="4"/>
  <c r="BB32" i="4"/>
  <c r="Z33" i="4"/>
  <c r="BD33" i="4"/>
  <c r="AB34" i="4"/>
  <c r="BI34" i="4"/>
  <c r="AC11" i="4"/>
  <c r="BH11" i="4"/>
  <c r="S21" i="4"/>
  <c r="Q24" i="4"/>
  <c r="D26" i="4"/>
  <c r="I27" i="4"/>
  <c r="AK21" i="4"/>
  <c r="P31" i="4"/>
  <c r="AD34" i="4"/>
  <c r="AL21" i="4"/>
  <c r="Q31" i="4"/>
  <c r="AI34" i="4"/>
  <c r="R24" i="4"/>
  <c r="AW31" i="4"/>
  <c r="BJ34" i="4"/>
  <c r="AP24" i="4"/>
  <c r="AX31" i="4"/>
  <c r="D11" i="4"/>
  <c r="E26" i="4"/>
  <c r="AZ31" i="4"/>
  <c r="E11" i="4"/>
  <c r="F26" i="4"/>
  <c r="X32" i="4"/>
  <c r="AD11" i="4"/>
  <c r="S27" i="4"/>
  <c r="AB32" i="4"/>
  <c r="AF11" i="4"/>
  <c r="AA27" i="4"/>
  <c r="AC32" i="4"/>
  <c r="AG11" i="4"/>
  <c r="X28" i="4"/>
  <c r="BC32" i="4"/>
  <c r="BI11" i="4"/>
  <c r="Y28" i="4"/>
  <c r="BE32" i="4"/>
  <c r="BJ11" i="4"/>
  <c r="AI30" i="4"/>
  <c r="K31" i="4"/>
  <c r="Z28" i="4"/>
  <c r="BF32" i="4"/>
  <c r="C11" i="4"/>
  <c r="W29" i="4"/>
  <c r="AA33" i="4"/>
  <c r="X29" i="4"/>
  <c r="AE33" i="4"/>
  <c r="Y29" i="4"/>
  <c r="D34" i="4"/>
  <c r="AC34" i="4"/>
  <c r="AF33" i="4"/>
  <c r="S30" i="4"/>
  <c r="BJ33" i="4"/>
  <c r="AD30" i="4"/>
  <c r="C34" i="4"/>
  <c r="B49" i="4"/>
  <c r="B61" i="4"/>
  <c r="B44" i="4"/>
  <c r="B45" i="4"/>
  <c r="B46" i="4"/>
  <c r="B47" i="4"/>
  <c r="B38" i="4"/>
  <c r="B50" i="4"/>
  <c r="BK13" i="4"/>
  <c r="BK19" i="4"/>
  <c r="BK25" i="4"/>
  <c r="BK31" i="4"/>
  <c r="BK37" i="4"/>
  <c r="BK43" i="4"/>
  <c r="BK49" i="4"/>
  <c r="BK55" i="4"/>
  <c r="BK61" i="4"/>
  <c r="BK67" i="4"/>
  <c r="BK73" i="4"/>
  <c r="BK79" i="4"/>
  <c r="BK85" i="4"/>
  <c r="BK91" i="4"/>
  <c r="BK97" i="4"/>
  <c r="BK103" i="4"/>
  <c r="BK109" i="4"/>
  <c r="BK115" i="4"/>
  <c r="BK121" i="4"/>
  <c r="BK127" i="4"/>
  <c r="BK133" i="4"/>
  <c r="BK139" i="4"/>
  <c r="BK145" i="4"/>
  <c r="BK151" i="4"/>
  <c r="BK157" i="4"/>
  <c r="BK163" i="4"/>
  <c r="BK169" i="4"/>
  <c r="BK175" i="4"/>
  <c r="BK181" i="4"/>
  <c r="BK187" i="4"/>
  <c r="BK193" i="4"/>
  <c r="BK199" i="4"/>
  <c r="BK205" i="4"/>
  <c r="BK211" i="4"/>
  <c r="BK217" i="4"/>
  <c r="BK223" i="4"/>
  <c r="BK229" i="4"/>
  <c r="BK235" i="4"/>
  <c r="BK241" i="4"/>
  <c r="BK247" i="4"/>
  <c r="BK253" i="4"/>
  <c r="BK259" i="4"/>
  <c r="BK265" i="4"/>
  <c r="BK271" i="4"/>
  <c r="BK277" i="4"/>
  <c r="BM127" i="4"/>
  <c r="BM151" i="4"/>
  <c r="BM163" i="4"/>
  <c r="BM175" i="4"/>
  <c r="BM187" i="4"/>
  <c r="BM199" i="4"/>
  <c r="BM211" i="4"/>
  <c r="BM223" i="4"/>
  <c r="BM235" i="4"/>
  <c r="BM247" i="4"/>
  <c r="BM259" i="4"/>
  <c r="BM271" i="4"/>
  <c r="BM283" i="4"/>
  <c r="BM295" i="4"/>
  <c r="BM307" i="4"/>
  <c r="BM319" i="4"/>
  <c r="BM331" i="4"/>
  <c r="BM343" i="4"/>
  <c r="BM355" i="4"/>
  <c r="BM367" i="4"/>
  <c r="BM379" i="4"/>
  <c r="BM391" i="4"/>
  <c r="BM403" i="4"/>
  <c r="BM415" i="4"/>
  <c r="BM427" i="4"/>
  <c r="BM439" i="4"/>
  <c r="BM451" i="4"/>
  <c r="BM463" i="4"/>
  <c r="BM475" i="4"/>
  <c r="BM487" i="4"/>
  <c r="BM499" i="4"/>
  <c r="BM511" i="4"/>
  <c r="BM13" i="4"/>
  <c r="BM19" i="4"/>
  <c r="BM25" i="4"/>
  <c r="BM31" i="4"/>
  <c r="BM37" i="4"/>
  <c r="BM43" i="4"/>
  <c r="BM49" i="4"/>
  <c r="BM55" i="4"/>
  <c r="BM61" i="4"/>
  <c r="BM67" i="4"/>
  <c r="BM73" i="4"/>
  <c r="BM79" i="4"/>
  <c r="BM85" i="4"/>
  <c r="BM91" i="4"/>
  <c r="BM97" i="4"/>
  <c r="BM103" i="4"/>
  <c r="BM109" i="4"/>
  <c r="BM115" i="4"/>
  <c r="BM121" i="4"/>
  <c r="BM133" i="4"/>
  <c r="BM139" i="4"/>
  <c r="BM145" i="4"/>
  <c r="BM157" i="4"/>
  <c r="BM169" i="4"/>
  <c r="BM181" i="4"/>
  <c r="BM193" i="4"/>
  <c r="BM205" i="4"/>
  <c r="BM217" i="4"/>
  <c r="BM229" i="4"/>
  <c r="BM241" i="4"/>
  <c r="BM253" i="4"/>
  <c r="BM265" i="4"/>
  <c r="BM277" i="4"/>
  <c r="BM289" i="4"/>
  <c r="BM301" i="4"/>
  <c r="BM313" i="4"/>
  <c r="BM325" i="4"/>
  <c r="BM337" i="4"/>
  <c r="BM349" i="4"/>
  <c r="BM361" i="4"/>
  <c r="BM373" i="4"/>
  <c r="BM385" i="4"/>
  <c r="BM397" i="4"/>
  <c r="BM409" i="4"/>
  <c r="BM421" i="4"/>
  <c r="BM433" i="4"/>
  <c r="BM445" i="4"/>
  <c r="BM457" i="4"/>
  <c r="BM469" i="4"/>
  <c r="BM481" i="4"/>
  <c r="BM493" i="4"/>
  <c r="BM505" i="4"/>
  <c r="BK14" i="4"/>
  <c r="BK20" i="4"/>
  <c r="BK26" i="4"/>
  <c r="BK32" i="4"/>
  <c r="BK38" i="4"/>
  <c r="BK44" i="4"/>
  <c r="BK50" i="4"/>
  <c r="BK56" i="4"/>
  <c r="BK62" i="4"/>
  <c r="BK68" i="4"/>
  <c r="BK74" i="4"/>
  <c r="BK80" i="4"/>
  <c r="BK86" i="4"/>
  <c r="BK92" i="4"/>
  <c r="BK98" i="4"/>
  <c r="BK104" i="4"/>
  <c r="BK110" i="4"/>
  <c r="BK116" i="4"/>
  <c r="BK122" i="4"/>
  <c r="BK128" i="4"/>
  <c r="BK134" i="4"/>
  <c r="BK140" i="4"/>
  <c r="BK146" i="4"/>
  <c r="BK152" i="4"/>
  <c r="BK158" i="4"/>
  <c r="BK164" i="4"/>
  <c r="BK170" i="4"/>
  <c r="BK176" i="4"/>
  <c r="BK182" i="4"/>
  <c r="BK188" i="4"/>
  <c r="BK194" i="4"/>
  <c r="BK200" i="4"/>
  <c r="BK206" i="4"/>
  <c r="BK212" i="4"/>
  <c r="BK218" i="4"/>
  <c r="BK224" i="4"/>
  <c r="BK230" i="4"/>
  <c r="BK236" i="4"/>
  <c r="BK242" i="4"/>
  <c r="BK248" i="4"/>
  <c r="BK254" i="4"/>
  <c r="BK260" i="4"/>
  <c r="BK266" i="4"/>
  <c r="BK272" i="4"/>
  <c r="BK278" i="4"/>
  <c r="BK284" i="4"/>
  <c r="BK290" i="4"/>
  <c r="BK296" i="4"/>
  <c r="BK302" i="4"/>
  <c r="BK308" i="4"/>
  <c r="BK314" i="4"/>
  <c r="BK320" i="4"/>
  <c r="BM74" i="4"/>
  <c r="BM98" i="4"/>
  <c r="BM110" i="4"/>
  <c r="BM122" i="4"/>
  <c r="BM134" i="4"/>
  <c r="BM146" i="4"/>
  <c r="BM158" i="4"/>
  <c r="BM170" i="4"/>
  <c r="BM182" i="4"/>
  <c r="BM194" i="4"/>
  <c r="BM206" i="4"/>
  <c r="BM218" i="4"/>
  <c r="BM230" i="4"/>
  <c r="BM242" i="4"/>
  <c r="BM248" i="4"/>
  <c r="BM260" i="4"/>
  <c r="BM272" i="4"/>
  <c r="BM284" i="4"/>
  <c r="BM296" i="4"/>
  <c r="BM308" i="4"/>
  <c r="BM320" i="4"/>
  <c r="BM332" i="4"/>
  <c r="BM344" i="4"/>
  <c r="BM356" i="4"/>
  <c r="BM368" i="4"/>
  <c r="BM380" i="4"/>
  <c r="BM392" i="4"/>
  <c r="BM404" i="4"/>
  <c r="BM416" i="4"/>
  <c r="BM428" i="4"/>
  <c r="BM440" i="4"/>
  <c r="BM458" i="4"/>
  <c r="BM464" i="4"/>
  <c r="BM476" i="4"/>
  <c r="BM488" i="4"/>
  <c r="BM500" i="4"/>
  <c r="BM512" i="4"/>
  <c r="BM524" i="4"/>
  <c r="BM14" i="4"/>
  <c r="BM20" i="4"/>
  <c r="BM26" i="4"/>
  <c r="BM32" i="4"/>
  <c r="BM38" i="4"/>
  <c r="BM44" i="4"/>
  <c r="BM50" i="4"/>
  <c r="BM56" i="4"/>
  <c r="BM62" i="4"/>
  <c r="BM68" i="4"/>
  <c r="BM80" i="4"/>
  <c r="BM86" i="4"/>
  <c r="BM92" i="4"/>
  <c r="BM104" i="4"/>
  <c r="BM116" i="4"/>
  <c r="BM128" i="4"/>
  <c r="BM140" i="4"/>
  <c r="BM152" i="4"/>
  <c r="BM164" i="4"/>
  <c r="BM176" i="4"/>
  <c r="BM188" i="4"/>
  <c r="BM200" i="4"/>
  <c r="BM212" i="4"/>
  <c r="BM224" i="4"/>
  <c r="BM236" i="4"/>
  <c r="BM254" i="4"/>
  <c r="BM266" i="4"/>
  <c r="BM278" i="4"/>
  <c r="BM290" i="4"/>
  <c r="BM302" i="4"/>
  <c r="BM314" i="4"/>
  <c r="BM326" i="4"/>
  <c r="BM338" i="4"/>
  <c r="BM350" i="4"/>
  <c r="BM362" i="4"/>
  <c r="BM374" i="4"/>
  <c r="BM386" i="4"/>
  <c r="BM398" i="4"/>
  <c r="BM410" i="4"/>
  <c r="BM422" i="4"/>
  <c r="BM434" i="4"/>
  <c r="BM446" i="4"/>
  <c r="BM452" i="4"/>
  <c r="BM470" i="4"/>
  <c r="BM482" i="4"/>
  <c r="BM494" i="4"/>
  <c r="BM506" i="4"/>
  <c r="BM518" i="4"/>
  <c r="BK15" i="4"/>
  <c r="BK21" i="4"/>
  <c r="BK27" i="4"/>
  <c r="BK33" i="4"/>
  <c r="BK39" i="4"/>
  <c r="BK45" i="4"/>
  <c r="BK51" i="4"/>
  <c r="BK57" i="4"/>
  <c r="BK63" i="4"/>
  <c r="BK69" i="4"/>
  <c r="BK75" i="4"/>
  <c r="BK81" i="4"/>
  <c r="BK87" i="4"/>
  <c r="BK93" i="4"/>
  <c r="BK99" i="4"/>
  <c r="BK105" i="4"/>
  <c r="BK111" i="4"/>
  <c r="BK117" i="4"/>
  <c r="BK123" i="4"/>
  <c r="BK129" i="4"/>
  <c r="BK135" i="4"/>
  <c r="BK141" i="4"/>
  <c r="BK147" i="4"/>
  <c r="BK153" i="4"/>
  <c r="BK159" i="4"/>
  <c r="BK165" i="4"/>
  <c r="BK171" i="4"/>
  <c r="BK177" i="4"/>
  <c r="BK183" i="4"/>
  <c r="BK189" i="4"/>
  <c r="BK195" i="4"/>
  <c r="BK201" i="4"/>
  <c r="BK207" i="4"/>
  <c r="BK213" i="4"/>
  <c r="BK219" i="4"/>
  <c r="BK225" i="4"/>
  <c r="BK231" i="4"/>
  <c r="BK237" i="4"/>
  <c r="BK243" i="4"/>
  <c r="BK249" i="4"/>
  <c r="BK255" i="4"/>
  <c r="BK261" i="4"/>
  <c r="BK267" i="4"/>
  <c r="BK273" i="4"/>
  <c r="BK279" i="4"/>
  <c r="BK285" i="4"/>
  <c r="BK291" i="4"/>
  <c r="BK297" i="4"/>
  <c r="BK303" i="4"/>
  <c r="BK309" i="4"/>
  <c r="BK315" i="4"/>
  <c r="BK321" i="4"/>
  <c r="BK327" i="4"/>
  <c r="BK333" i="4"/>
  <c r="BK339" i="4"/>
  <c r="BK345" i="4"/>
  <c r="BK351" i="4"/>
  <c r="BK357" i="4"/>
  <c r="BK363" i="4"/>
  <c r="BK369" i="4"/>
  <c r="BK375" i="4"/>
  <c r="BK381" i="4"/>
  <c r="BK387" i="4"/>
  <c r="BK393" i="4"/>
  <c r="BK399" i="4"/>
  <c r="BK405" i="4"/>
  <c r="BK411" i="4"/>
  <c r="BK417" i="4"/>
  <c r="BM87" i="4"/>
  <c r="BM111" i="4"/>
  <c r="BM123" i="4"/>
  <c r="BM135" i="4"/>
  <c r="BM147" i="4"/>
  <c r="BM159" i="4"/>
  <c r="BM171" i="4"/>
  <c r="BM183" i="4"/>
  <c r="BM195" i="4"/>
  <c r="BM207" i="4"/>
  <c r="BM219" i="4"/>
  <c r="BM231" i="4"/>
  <c r="BM243" i="4"/>
  <c r="BM249" i="4"/>
  <c r="BM261" i="4"/>
  <c r="BM273" i="4"/>
  <c r="BM285" i="4"/>
  <c r="BM297" i="4"/>
  <c r="BM309" i="4"/>
  <c r="BM321" i="4"/>
  <c r="BM333" i="4"/>
  <c r="BM345" i="4"/>
  <c r="BM357" i="4"/>
  <c r="BM369" i="4"/>
  <c r="BM381" i="4"/>
  <c r="BM393" i="4"/>
  <c r="BM405" i="4"/>
  <c r="BM417" i="4"/>
  <c r="BM429" i="4"/>
  <c r="BM441" i="4"/>
  <c r="BM453" i="4"/>
  <c r="BM465" i="4"/>
  <c r="BM477" i="4"/>
  <c r="BM489" i="4"/>
  <c r="BM501" i="4"/>
  <c r="BM513" i="4"/>
  <c r="BM519" i="4"/>
  <c r="BM531" i="4"/>
  <c r="BM15" i="4"/>
  <c r="BM21" i="4"/>
  <c r="BM27" i="4"/>
  <c r="BM33" i="4"/>
  <c r="BM39" i="4"/>
  <c r="BM45" i="4"/>
  <c r="BM51" i="4"/>
  <c r="BM57" i="4"/>
  <c r="BM63" i="4"/>
  <c r="BM69" i="4"/>
  <c r="BM75" i="4"/>
  <c r="BM81" i="4"/>
  <c r="BM93" i="4"/>
  <c r="BM99" i="4"/>
  <c r="BM105" i="4"/>
  <c r="BM117" i="4"/>
  <c r="BM129" i="4"/>
  <c r="BM141" i="4"/>
  <c r="BM153" i="4"/>
  <c r="BM165" i="4"/>
  <c r="BM177" i="4"/>
  <c r="BM189" i="4"/>
  <c r="BM201" i="4"/>
  <c r="BM213" i="4"/>
  <c r="BM225" i="4"/>
  <c r="BM237" i="4"/>
  <c r="BM255" i="4"/>
  <c r="BM267" i="4"/>
  <c r="BM279" i="4"/>
  <c r="BM291" i="4"/>
  <c r="BM303" i="4"/>
  <c r="BM315" i="4"/>
  <c r="BM327" i="4"/>
  <c r="BM339" i="4"/>
  <c r="BM351" i="4"/>
  <c r="BM363" i="4"/>
  <c r="BM375" i="4"/>
  <c r="BM387" i="4"/>
  <c r="BM399" i="4"/>
  <c r="BM411" i="4"/>
  <c r="BM423" i="4"/>
  <c r="BM435" i="4"/>
  <c r="BM447" i="4"/>
  <c r="BM459" i="4"/>
  <c r="BM471" i="4"/>
  <c r="BM483" i="4"/>
  <c r="BM495" i="4"/>
  <c r="BM507" i="4"/>
  <c r="BM525" i="4"/>
  <c r="BK16" i="4"/>
  <c r="BK22" i="4"/>
  <c r="BK28" i="4"/>
  <c r="BK34" i="4"/>
  <c r="BK40" i="4"/>
  <c r="BK46" i="4"/>
  <c r="BK52" i="4"/>
  <c r="BK58" i="4"/>
  <c r="BK64" i="4"/>
  <c r="BK70" i="4"/>
  <c r="BK76" i="4"/>
  <c r="BK82" i="4"/>
  <c r="BK88" i="4"/>
  <c r="BK94" i="4"/>
  <c r="BK100" i="4"/>
  <c r="BK106" i="4"/>
  <c r="BK112" i="4"/>
  <c r="BK118" i="4"/>
  <c r="BK124" i="4"/>
  <c r="BK130" i="4"/>
  <c r="BK136" i="4"/>
  <c r="BK142" i="4"/>
  <c r="BK148" i="4"/>
  <c r="BK154" i="4"/>
  <c r="BK160" i="4"/>
  <c r="BK166" i="4"/>
  <c r="BK172" i="4"/>
  <c r="BK178" i="4"/>
  <c r="BK184" i="4"/>
  <c r="BK190" i="4"/>
  <c r="BK196" i="4"/>
  <c r="BK202" i="4"/>
  <c r="BK208" i="4"/>
  <c r="BK214" i="4"/>
  <c r="BK220" i="4"/>
  <c r="BK226" i="4"/>
  <c r="BK232" i="4"/>
  <c r="BK238" i="4"/>
  <c r="BK244" i="4"/>
  <c r="BK250" i="4"/>
  <c r="BK256" i="4"/>
  <c r="BK262" i="4"/>
  <c r="BK268" i="4"/>
  <c r="BK274" i="4"/>
  <c r="BK280" i="4"/>
  <c r="BK286" i="4"/>
  <c r="BK292" i="4"/>
  <c r="BK298" i="4"/>
  <c r="BK304" i="4"/>
  <c r="BK310" i="4"/>
  <c r="BM148" i="4"/>
  <c r="BM184" i="4"/>
  <c r="BM196" i="4"/>
  <c r="BM208" i="4"/>
  <c r="BM220" i="4"/>
  <c r="BM232" i="4"/>
  <c r="BM244" i="4"/>
  <c r="BM256" i="4"/>
  <c r="BM274" i="4"/>
  <c r="BM286" i="4"/>
  <c r="BM298" i="4"/>
  <c r="BM310" i="4"/>
  <c r="BM322" i="4"/>
  <c r="BM334" i="4"/>
  <c r="BM346" i="4"/>
  <c r="BM358" i="4"/>
  <c r="BM370" i="4"/>
  <c r="BM388" i="4"/>
  <c r="BM400" i="4"/>
  <c r="BM418" i="4"/>
  <c r="BM16" i="4"/>
  <c r="BM22" i="4"/>
  <c r="BM28" i="4"/>
  <c r="BM34" i="4"/>
  <c r="BM40" i="4"/>
  <c r="BM46" i="4"/>
  <c r="BM52" i="4"/>
  <c r="BM58" i="4"/>
  <c r="BM64" i="4"/>
  <c r="BM70" i="4"/>
  <c r="BM76" i="4"/>
  <c r="BM82" i="4"/>
  <c r="BM88" i="4"/>
  <c r="BM94" i="4"/>
  <c r="BM100" i="4"/>
  <c r="BM106" i="4"/>
  <c r="BM112" i="4"/>
  <c r="BM118" i="4"/>
  <c r="BM124" i="4"/>
  <c r="BM130" i="4"/>
  <c r="BM136" i="4"/>
  <c r="BM142" i="4"/>
  <c r="BM154" i="4"/>
  <c r="BM160" i="4"/>
  <c r="BM166" i="4"/>
  <c r="BM172" i="4"/>
  <c r="BM178" i="4"/>
  <c r="BM190" i="4"/>
  <c r="BM202" i="4"/>
  <c r="BM214" i="4"/>
  <c r="BM226" i="4"/>
  <c r="BM238" i="4"/>
  <c r="BM250" i="4"/>
  <c r="BM262" i="4"/>
  <c r="BM268" i="4"/>
  <c r="BM280" i="4"/>
  <c r="BM292" i="4"/>
  <c r="BM304" i="4"/>
  <c r="BM316" i="4"/>
  <c r="BM328" i="4"/>
  <c r="BM340" i="4"/>
  <c r="BM352" i="4"/>
  <c r="BM364" i="4"/>
  <c r="BM376" i="4"/>
  <c r="BM382" i="4"/>
  <c r="BM394" i="4"/>
  <c r="BM406" i="4"/>
  <c r="BM412" i="4"/>
  <c r="BM424" i="4"/>
  <c r="BM430" i="4"/>
  <c r="BK12" i="4"/>
  <c r="BK18" i="4"/>
  <c r="BK24" i="4"/>
  <c r="BK30" i="4"/>
  <c r="BK36" i="4"/>
  <c r="BK42" i="4"/>
  <c r="BK48" i="4"/>
  <c r="BK54" i="4"/>
  <c r="BK60" i="4"/>
  <c r="BK66" i="4"/>
  <c r="BK72" i="4"/>
  <c r="BK78" i="4"/>
  <c r="BK84" i="4"/>
  <c r="BK90" i="4"/>
  <c r="BK96" i="4"/>
  <c r="BK102" i="4"/>
  <c r="BK108" i="4"/>
  <c r="BK114" i="4"/>
  <c r="BK120" i="4"/>
  <c r="BK126" i="4"/>
  <c r="BK132" i="4"/>
  <c r="BK138" i="4"/>
  <c r="BK144" i="4"/>
  <c r="BK150" i="4"/>
  <c r="BK156" i="4"/>
  <c r="BK162" i="4"/>
  <c r="BK168" i="4"/>
  <c r="BK174" i="4"/>
  <c r="BK180" i="4"/>
  <c r="BK186" i="4"/>
  <c r="BK192" i="4"/>
  <c r="BK198" i="4"/>
  <c r="BK204" i="4"/>
  <c r="BK210" i="4"/>
  <c r="BK216" i="4"/>
  <c r="BK222" i="4"/>
  <c r="BK228" i="4"/>
  <c r="BK234" i="4"/>
  <c r="BK240" i="4"/>
  <c r="BK246" i="4"/>
  <c r="BK252" i="4"/>
  <c r="BK258" i="4"/>
  <c r="BK264" i="4"/>
  <c r="BK270" i="4"/>
  <c r="BK276" i="4"/>
  <c r="BK282" i="4"/>
  <c r="BK288" i="4"/>
  <c r="BK294" i="4"/>
  <c r="BK300" i="4"/>
  <c r="BK306" i="4"/>
  <c r="BM12" i="4"/>
  <c r="BM300" i="4"/>
  <c r="BM311" i="4"/>
  <c r="BK337" i="4"/>
  <c r="BK346" i="4"/>
  <c r="BK354" i="4"/>
  <c r="BK362" i="4"/>
  <c r="BK371" i="4"/>
  <c r="BM378" i="4"/>
  <c r="BM395" i="4"/>
  <c r="BK428" i="4"/>
  <c r="BK436" i="4"/>
  <c r="BK443" i="4"/>
  <c r="BK450" i="4"/>
  <c r="BK457" i="4"/>
  <c r="BK472" i="4"/>
  <c r="BK479" i="4"/>
  <c r="BK486" i="4"/>
  <c r="BK493" i="4"/>
  <c r="BK508" i="4"/>
  <c r="BK515" i="4"/>
  <c r="BM521" i="4"/>
  <c r="BM534" i="4"/>
  <c r="BM540" i="4"/>
  <c r="BM546" i="4"/>
  <c r="BM552" i="4"/>
  <c r="BM558" i="4"/>
  <c r="BM564" i="4"/>
  <c r="BM570" i="4"/>
  <c r="BM576" i="4"/>
  <c r="BM582" i="4"/>
  <c r="BM588" i="4"/>
  <c r="BM594" i="4"/>
  <c r="BM600" i="4"/>
  <c r="BM606" i="4"/>
  <c r="BM612" i="4"/>
  <c r="BM618" i="4"/>
  <c r="BM624" i="4"/>
  <c r="BM630" i="4"/>
  <c r="BM636" i="4"/>
  <c r="BM642" i="4"/>
  <c r="BM648" i="4"/>
  <c r="BM654" i="4"/>
  <c r="BM660" i="4"/>
  <c r="BM666" i="4"/>
  <c r="BM672" i="4"/>
  <c r="BM678" i="4"/>
  <c r="BM684" i="4"/>
  <c r="BM690" i="4"/>
  <c r="BM696" i="4"/>
  <c r="BM702" i="4"/>
  <c r="BM708" i="4"/>
  <c r="BM714" i="4"/>
  <c r="BM720" i="4"/>
  <c r="BM726" i="4"/>
  <c r="BM732" i="4"/>
  <c r="BM738" i="4"/>
  <c r="BM744" i="4"/>
  <c r="BM750" i="4"/>
  <c r="BK301" i="4"/>
  <c r="BK312" i="4"/>
  <c r="BM329" i="4"/>
  <c r="BK379" i="4"/>
  <c r="BK388" i="4"/>
  <c r="BK396" i="4"/>
  <c r="BK404" i="4"/>
  <c r="BK413" i="4"/>
  <c r="BM420" i="4"/>
  <c r="BK465" i="4"/>
  <c r="BK501" i="4"/>
  <c r="BK522" i="4"/>
  <c r="BM528" i="4"/>
  <c r="BK535" i="4"/>
  <c r="BK541" i="4"/>
  <c r="BK547" i="4"/>
  <c r="BK553" i="4"/>
  <c r="BK559" i="4"/>
  <c r="BK565" i="4"/>
  <c r="BK571" i="4"/>
  <c r="BK577" i="4"/>
  <c r="BK583" i="4"/>
  <c r="BK589" i="4"/>
  <c r="BK595" i="4"/>
  <c r="BK601" i="4"/>
  <c r="BK607" i="4"/>
  <c r="BK613" i="4"/>
  <c r="BK619" i="4"/>
  <c r="BK625" i="4"/>
  <c r="BK631" i="4"/>
  <c r="BK637" i="4"/>
  <c r="BK643" i="4"/>
  <c r="BK649" i="4"/>
  <c r="BK655" i="4"/>
  <c r="BK661" i="4"/>
  <c r="BK667" i="4"/>
  <c r="BK673" i="4"/>
  <c r="BK679" i="4"/>
  <c r="BK685" i="4"/>
  <c r="BK691" i="4"/>
  <c r="BK697" i="4"/>
  <c r="BK703" i="4"/>
  <c r="BK709" i="4"/>
  <c r="BK715" i="4"/>
  <c r="BK721" i="4"/>
  <c r="BK727" i="4"/>
  <c r="BK733" i="4"/>
  <c r="BK739" i="4"/>
  <c r="BK745" i="4"/>
  <c r="BK751" i="4"/>
  <c r="BK757" i="4"/>
  <c r="BK763" i="4"/>
  <c r="BK769" i="4"/>
  <c r="BK775" i="4"/>
  <c r="BK781" i="4"/>
  <c r="BK787" i="4"/>
  <c r="BK793" i="4"/>
  <c r="BK799" i="4"/>
  <c r="BK805" i="4"/>
  <c r="BK811" i="4"/>
  <c r="BK817" i="4"/>
  <c r="BK823" i="4"/>
  <c r="BK17" i="4"/>
  <c r="BK29" i="4"/>
  <c r="BK41" i="4"/>
  <c r="BK53" i="4"/>
  <c r="BK65" i="4"/>
  <c r="BK77" i="4"/>
  <c r="BK89" i="4"/>
  <c r="BK101" i="4"/>
  <c r="BK113" i="4"/>
  <c r="BK125" i="4"/>
  <c r="BK137" i="4"/>
  <c r="BK149" i="4"/>
  <c r="BK161" i="4"/>
  <c r="BK173" i="4"/>
  <c r="BK185" i="4"/>
  <c r="BK197" i="4"/>
  <c r="BK209" i="4"/>
  <c r="BK221" i="4"/>
  <c r="BK233" i="4"/>
  <c r="BK245" i="4"/>
  <c r="BK257" i="4"/>
  <c r="BK269" i="4"/>
  <c r="BK281" i="4"/>
  <c r="BK322" i="4"/>
  <c r="BK330" i="4"/>
  <c r="BK338" i="4"/>
  <c r="BK347" i="4"/>
  <c r="BM354" i="4"/>
  <c r="BM371" i="4"/>
  <c r="BK421" i="4"/>
  <c r="BK429" i="4"/>
  <c r="BM436" i="4"/>
  <c r="BM443" i="4"/>
  <c r="BM450" i="4"/>
  <c r="BK458" i="4"/>
  <c r="BM472" i="4"/>
  <c r="BM479" i="4"/>
  <c r="BM486" i="4"/>
  <c r="BK494" i="4"/>
  <c r="BM508" i="4"/>
  <c r="BM515" i="4"/>
  <c r="BK529" i="4"/>
  <c r="BM703" i="4"/>
  <c r="BM727" i="4"/>
  <c r="BM745" i="4"/>
  <c r="BM757" i="4"/>
  <c r="BM769" i="4"/>
  <c r="BM775" i="4"/>
  <c r="BM787" i="4"/>
  <c r="BM799" i="4"/>
  <c r="BM811" i="4"/>
  <c r="BM823" i="4"/>
  <c r="BM835" i="4"/>
  <c r="BM847" i="4"/>
  <c r="BM859" i="4"/>
  <c r="BM871" i="4"/>
  <c r="BM883" i="4"/>
  <c r="BM895" i="4"/>
  <c r="BM907" i="4"/>
  <c r="BM919" i="4"/>
  <c r="BM937" i="4"/>
  <c r="BM312" i="4"/>
  <c r="BK355" i="4"/>
  <c r="BK364" i="4"/>
  <c r="BK372" i="4"/>
  <c r="BK380" i="4"/>
  <c r="BK389" i="4"/>
  <c r="BM396" i="4"/>
  <c r="BM413" i="4"/>
  <c r="BK437" i="4"/>
  <c r="BK444" i="4"/>
  <c r="BK451" i="4"/>
  <c r="BK466" i="4"/>
  <c r="BK473" i="4"/>
  <c r="BK480" i="4"/>
  <c r="BK487" i="4"/>
  <c r="BK502" i="4"/>
  <c r="BK509" i="4"/>
  <c r="BK516" i="4"/>
  <c r="BM522" i="4"/>
  <c r="BM535" i="4"/>
  <c r="BM541" i="4"/>
  <c r="BM547" i="4"/>
  <c r="BM553" i="4"/>
  <c r="BM559" i="4"/>
  <c r="BM565" i="4"/>
  <c r="BM571" i="4"/>
  <c r="BM577" i="4"/>
  <c r="BM583" i="4"/>
  <c r="BM589" i="4"/>
  <c r="BM595" i="4"/>
  <c r="BM601" i="4"/>
  <c r="BM607" i="4"/>
  <c r="BM613" i="4"/>
  <c r="BM619" i="4"/>
  <c r="BM625" i="4"/>
  <c r="BM631" i="4"/>
  <c r="BM637" i="4"/>
  <c r="BM643" i="4"/>
  <c r="BM649" i="4"/>
  <c r="BM655" i="4"/>
  <c r="BM661" i="4"/>
  <c r="BM667" i="4"/>
  <c r="BM673" i="4"/>
  <c r="BM679" i="4"/>
  <c r="BM685" i="4"/>
  <c r="BM691" i="4"/>
  <c r="BM697" i="4"/>
  <c r="BM709" i="4"/>
  <c r="BM715" i="4"/>
  <c r="BM721" i="4"/>
  <c r="BM733" i="4"/>
  <c r="BM739" i="4"/>
  <c r="BM751" i="4"/>
  <c r="BM763" i="4"/>
  <c r="BM781" i="4"/>
  <c r="BM793" i="4"/>
  <c r="BM805" i="4"/>
  <c r="BM817" i="4"/>
  <c r="BM829" i="4"/>
  <c r="BM841" i="4"/>
  <c r="BM853" i="4"/>
  <c r="BM865" i="4"/>
  <c r="BM877" i="4"/>
  <c r="BM889" i="4"/>
  <c r="BM901" i="4"/>
  <c r="BM913" i="4"/>
  <c r="BM925" i="4"/>
  <c r="BM931" i="4"/>
  <c r="BM17" i="4"/>
  <c r="BM29" i="4"/>
  <c r="BM41" i="4"/>
  <c r="BM53" i="4"/>
  <c r="BM65" i="4"/>
  <c r="BM77" i="4"/>
  <c r="BM89" i="4"/>
  <c r="BM101" i="4"/>
  <c r="BM113" i="4"/>
  <c r="BM125" i="4"/>
  <c r="BM137" i="4"/>
  <c r="BM149" i="4"/>
  <c r="BM161" i="4"/>
  <c r="BM173" i="4"/>
  <c r="BM185" i="4"/>
  <c r="BM197" i="4"/>
  <c r="BM209" i="4"/>
  <c r="BM221" i="4"/>
  <c r="BM233" i="4"/>
  <c r="BM245" i="4"/>
  <c r="BM257" i="4"/>
  <c r="BM269" i="4"/>
  <c r="BM281" i="4"/>
  <c r="BK293" i="4"/>
  <c r="BK313" i="4"/>
  <c r="BK323" i="4"/>
  <c r="BM330" i="4"/>
  <c r="BM347" i="4"/>
  <c r="BK397" i="4"/>
  <c r="BK406" i="4"/>
  <c r="BK414" i="4"/>
  <c r="BK422" i="4"/>
  <c r="BK430" i="4"/>
  <c r="BK459" i="4"/>
  <c r="BK495" i="4"/>
  <c r="BK523" i="4"/>
  <c r="BM529" i="4"/>
  <c r="BK536" i="4"/>
  <c r="BK542" i="4"/>
  <c r="BK548" i="4"/>
  <c r="BK554" i="4"/>
  <c r="BK560" i="4"/>
  <c r="BK566" i="4"/>
  <c r="BK572" i="4"/>
  <c r="BK578" i="4"/>
  <c r="BK584" i="4"/>
  <c r="BK590" i="4"/>
  <c r="BK596" i="4"/>
  <c r="BK602" i="4"/>
  <c r="BK608" i="4"/>
  <c r="BK614" i="4"/>
  <c r="BK620" i="4"/>
  <c r="BK626" i="4"/>
  <c r="BK632" i="4"/>
  <c r="BK638" i="4"/>
  <c r="BK644" i="4"/>
  <c r="BK650" i="4"/>
  <c r="BK656" i="4"/>
  <c r="BK662" i="4"/>
  <c r="BK668" i="4"/>
  <c r="BK674" i="4"/>
  <c r="BK680" i="4"/>
  <c r="BK686" i="4"/>
  <c r="BK692" i="4"/>
  <c r="BK698" i="4"/>
  <c r="BK704" i="4"/>
  <c r="BK710" i="4"/>
  <c r="BK716" i="4"/>
  <c r="BK722" i="4"/>
  <c r="BK728" i="4"/>
  <c r="BK734" i="4"/>
  <c r="BK740" i="4"/>
  <c r="BK331" i="4"/>
  <c r="BK340" i="4"/>
  <c r="BK348" i="4"/>
  <c r="BK356" i="4"/>
  <c r="BK365" i="4"/>
  <c r="BM372" i="4"/>
  <c r="BM389" i="4"/>
  <c r="BM437" i="4"/>
  <c r="BM444" i="4"/>
  <c r="BK452" i="4"/>
  <c r="BM466" i="4"/>
  <c r="BM473" i="4"/>
  <c r="BM480" i="4"/>
  <c r="BK488" i="4"/>
  <c r="BM502" i="4"/>
  <c r="BM509" i="4"/>
  <c r="BM516" i="4"/>
  <c r="BK530" i="4"/>
  <c r="BK373" i="4"/>
  <c r="BK390" i="4"/>
  <c r="BK407" i="4"/>
  <c r="BK423" i="4"/>
  <c r="BK438" i="4"/>
  <c r="BK460" i="4"/>
  <c r="BK474" i="4"/>
  <c r="BK496" i="4"/>
  <c r="BK510" i="4"/>
  <c r="BM523" i="4"/>
  <c r="BM542" i="4"/>
  <c r="BM554" i="4"/>
  <c r="BM566" i="4"/>
  <c r="BM578" i="4"/>
  <c r="BM596" i="4"/>
  <c r="BM608" i="4"/>
  <c r="BM620" i="4"/>
  <c r="BM632" i="4"/>
  <c r="BM644" i="4"/>
  <c r="BM656" i="4"/>
  <c r="BM668" i="4"/>
  <c r="BM680" i="4"/>
  <c r="BM692" i="4"/>
  <c r="BM704" i="4"/>
  <c r="BM716" i="4"/>
  <c r="BM728" i="4"/>
  <c r="BM746" i="4"/>
  <c r="BM758" i="4"/>
  <c r="BM770" i="4"/>
  <c r="BM782" i="4"/>
  <c r="BM794" i="4"/>
  <c r="BM806" i="4"/>
  <c r="BM818" i="4"/>
  <c r="BM830" i="4"/>
  <c r="BM848" i="4"/>
  <c r="BM854" i="4"/>
  <c r="BM866" i="4"/>
  <c r="BM878" i="4"/>
  <c r="BM896" i="4"/>
  <c r="BM908" i="4"/>
  <c r="BM920" i="4"/>
  <c r="BM932" i="4"/>
  <c r="BM944" i="4"/>
  <c r="BM956" i="4"/>
  <c r="BM968" i="4"/>
  <c r="BM980" i="4"/>
  <c r="BM992" i="4"/>
  <c r="BM1004" i="4"/>
  <c r="BM1016" i="4"/>
  <c r="BM1028" i="4"/>
  <c r="BM18" i="4"/>
  <c r="BM30" i="4"/>
  <c r="BM42" i="4"/>
  <c r="BM54" i="4"/>
  <c r="BM66" i="4"/>
  <c r="BM78" i="4"/>
  <c r="BM90" i="4"/>
  <c r="BM102" i="4"/>
  <c r="BM114" i="4"/>
  <c r="BM126" i="4"/>
  <c r="BM138" i="4"/>
  <c r="BM150" i="4"/>
  <c r="BM162" i="4"/>
  <c r="BM174" i="4"/>
  <c r="BM186" i="4"/>
  <c r="BM198" i="4"/>
  <c r="BM210" i="4"/>
  <c r="BM222" i="4"/>
  <c r="BM234" i="4"/>
  <c r="BM246" i="4"/>
  <c r="BM258" i="4"/>
  <c r="BM270" i="4"/>
  <c r="BM282" i="4"/>
  <c r="BM293" i="4"/>
  <c r="BK305" i="4"/>
  <c r="BM323" i="4"/>
  <c r="BK382" i="4"/>
  <c r="BK398" i="4"/>
  <c r="BM414" i="4"/>
  <c r="BK431" i="4"/>
  <c r="BK445" i="4"/>
  <c r="BK467" i="4"/>
  <c r="BK481" i="4"/>
  <c r="BK503" i="4"/>
  <c r="BK517" i="4"/>
  <c r="BM536" i="4"/>
  <c r="BM548" i="4"/>
  <c r="BM560" i="4"/>
  <c r="BM572" i="4"/>
  <c r="BM584" i="4"/>
  <c r="BM590" i="4"/>
  <c r="BM602" i="4"/>
  <c r="BM614" i="4"/>
  <c r="BM626" i="4"/>
  <c r="BM638" i="4"/>
  <c r="BM650" i="4"/>
  <c r="BM662" i="4"/>
  <c r="BM674" i="4"/>
  <c r="BM686" i="4"/>
  <c r="BM698" i="4"/>
  <c r="BM710" i="4"/>
  <c r="BM722" i="4"/>
  <c r="BM734" i="4"/>
  <c r="BM740" i="4"/>
  <c r="BM752" i="4"/>
  <c r="BM764" i="4"/>
  <c r="BM776" i="4"/>
  <c r="BM788" i="4"/>
  <c r="BM800" i="4"/>
  <c r="BM812" i="4"/>
  <c r="BM824" i="4"/>
  <c r="BM836" i="4"/>
  <c r="BM842" i="4"/>
  <c r="BM860" i="4"/>
  <c r="BM872" i="4"/>
  <c r="BM884" i="4"/>
  <c r="BM890" i="4"/>
  <c r="BM902" i="4"/>
  <c r="BM914" i="4"/>
  <c r="BM926" i="4"/>
  <c r="BM938" i="4"/>
  <c r="BM950" i="4"/>
  <c r="BM962" i="4"/>
  <c r="BM974" i="4"/>
  <c r="BM986" i="4"/>
  <c r="BM998" i="4"/>
  <c r="BM1010" i="4"/>
  <c r="BM1022" i="4"/>
  <c r="BK283" i="4"/>
  <c r="BK324" i="4"/>
  <c r="BK332" i="4"/>
  <c r="BK341" i="4"/>
  <c r="BM348" i="4"/>
  <c r="BM365" i="4"/>
  <c r="BK415" i="4"/>
  <c r="BK453" i="4"/>
  <c r="BK489" i="4"/>
  <c r="BK524" i="4"/>
  <c r="BM530" i="4"/>
  <c r="BK537" i="4"/>
  <c r="BK543" i="4"/>
  <c r="BK549" i="4"/>
  <c r="BK555" i="4"/>
  <c r="BK561" i="4"/>
  <c r="BK567" i="4"/>
  <c r="BK573" i="4"/>
  <c r="BK579" i="4"/>
  <c r="BK585" i="4"/>
  <c r="BK591" i="4"/>
  <c r="BK597" i="4"/>
  <c r="BK603" i="4"/>
  <c r="BK609" i="4"/>
  <c r="BK615" i="4"/>
  <c r="BK621" i="4"/>
  <c r="BK627" i="4"/>
  <c r="BK633" i="4"/>
  <c r="BK639" i="4"/>
  <c r="BK645" i="4"/>
  <c r="BK651" i="4"/>
  <c r="BK657" i="4"/>
  <c r="BK663" i="4"/>
  <c r="BK669" i="4"/>
  <c r="BK675" i="4"/>
  <c r="BK681" i="4"/>
  <c r="BK687" i="4"/>
  <c r="BK693" i="4"/>
  <c r="BK699" i="4"/>
  <c r="BK705" i="4"/>
  <c r="BK711" i="4"/>
  <c r="BK717" i="4"/>
  <c r="BK723" i="4"/>
  <c r="BK729" i="4"/>
  <c r="BK735" i="4"/>
  <c r="BK741" i="4"/>
  <c r="BK747" i="4"/>
  <c r="BK753" i="4"/>
  <c r="BK759" i="4"/>
  <c r="BK765" i="4"/>
  <c r="BK771" i="4"/>
  <c r="BK777" i="4"/>
  <c r="BK783" i="4"/>
  <c r="BK789" i="4"/>
  <c r="BK795" i="4"/>
  <c r="BK801" i="4"/>
  <c r="BK807" i="4"/>
  <c r="BK813" i="4"/>
  <c r="BK819" i="4"/>
  <c r="BK825" i="4"/>
  <c r="BK831" i="4"/>
  <c r="BK837" i="4"/>
  <c r="BK843" i="4"/>
  <c r="BK849" i="4"/>
  <c r="BK855" i="4"/>
  <c r="BK861" i="4"/>
  <c r="BK867" i="4"/>
  <c r="BK873" i="4"/>
  <c r="BK879" i="4"/>
  <c r="BK885" i="4"/>
  <c r="BK891" i="4"/>
  <c r="BK897" i="4"/>
  <c r="BK903" i="4"/>
  <c r="BK909" i="4"/>
  <c r="BK915" i="4"/>
  <c r="BK921" i="4"/>
  <c r="BK927" i="4"/>
  <c r="BK933" i="4"/>
  <c r="BK939" i="4"/>
  <c r="BK945" i="4"/>
  <c r="BK951" i="4"/>
  <c r="BK957" i="4"/>
  <c r="BM294" i="4"/>
  <c r="BM305" i="4"/>
  <c r="BK316" i="4"/>
  <c r="BK349" i="4"/>
  <c r="BK358" i="4"/>
  <c r="BK366" i="4"/>
  <c r="BK374" i="4"/>
  <c r="BK383" i="4"/>
  <c r="BM390" i="4"/>
  <c r="BM407" i="4"/>
  <c r="BK424" i="4"/>
  <c r="BM431" i="4"/>
  <c r="BM438" i="4"/>
  <c r="BK446" i="4"/>
  <c r="BM460" i="4"/>
  <c r="BM467" i="4"/>
  <c r="BM474" i="4"/>
  <c r="BK482" i="4"/>
  <c r="BM496" i="4"/>
  <c r="BM503" i="4"/>
  <c r="BM510" i="4"/>
  <c r="BM517" i="4"/>
  <c r="BK531" i="4"/>
  <c r="BM567" i="4"/>
  <c r="BM591" i="4"/>
  <c r="BM603" i="4"/>
  <c r="BM615" i="4"/>
  <c r="BM627" i="4"/>
  <c r="BM639" i="4"/>
  <c r="BM651" i="4"/>
  <c r="BM663" i="4"/>
  <c r="BM675" i="4"/>
  <c r="BM687" i="4"/>
  <c r="BM699" i="4"/>
  <c r="BM711" i="4"/>
  <c r="BM723" i="4"/>
  <c r="BM735" i="4"/>
  <c r="BM747" i="4"/>
  <c r="BM759" i="4"/>
  <c r="BM771" i="4"/>
  <c r="BM783" i="4"/>
  <c r="BM795" i="4"/>
  <c r="BM807" i="4"/>
  <c r="BM819" i="4"/>
  <c r="BM825" i="4"/>
  <c r="BM837" i="4"/>
  <c r="BM849" i="4"/>
  <c r="BM861" i="4"/>
  <c r="BM873" i="4"/>
  <c r="BM885" i="4"/>
  <c r="BM897" i="4"/>
  <c r="BM909" i="4"/>
  <c r="BM921" i="4"/>
  <c r="BM933" i="4"/>
  <c r="BM945" i="4"/>
  <c r="BM957" i="4"/>
  <c r="BM969" i="4"/>
  <c r="BK295" i="4"/>
  <c r="BM324" i="4"/>
  <c r="BM341" i="4"/>
  <c r="BK391" i="4"/>
  <c r="BK400" i="4"/>
  <c r="BK408" i="4"/>
  <c r="BK416" i="4"/>
  <c r="BK432" i="4"/>
  <c r="BK439" i="4"/>
  <c r="BK454" i="4"/>
  <c r="BK461" i="4"/>
  <c r="BK468" i="4"/>
  <c r="BK475" i="4"/>
  <c r="BK490" i="4"/>
  <c r="BK497" i="4"/>
  <c r="BK504" i="4"/>
  <c r="BK511" i="4"/>
  <c r="BK518" i="4"/>
  <c r="BK525" i="4"/>
  <c r="BM537" i="4"/>
  <c r="BM543" i="4"/>
  <c r="BM549" i="4"/>
  <c r="BM555" i="4"/>
  <c r="BM561" i="4"/>
  <c r="BM573" i="4"/>
  <c r="BM579" i="4"/>
  <c r="BM585" i="4"/>
  <c r="BM597" i="4"/>
  <c r="BM609" i="4"/>
  <c r="BM621" i="4"/>
  <c r="BM633" i="4"/>
  <c r="BM645" i="4"/>
  <c r="BM657" i="4"/>
  <c r="BM669" i="4"/>
  <c r="BM681" i="4"/>
  <c r="BM693" i="4"/>
  <c r="BM705" i="4"/>
  <c r="BM717" i="4"/>
  <c r="BM729" i="4"/>
  <c r="BM741" i="4"/>
  <c r="BM753" i="4"/>
  <c r="BM765" i="4"/>
  <c r="BM777" i="4"/>
  <c r="BM789" i="4"/>
  <c r="BM801" i="4"/>
  <c r="BM813" i="4"/>
  <c r="BM831" i="4"/>
  <c r="BM843" i="4"/>
  <c r="BM855" i="4"/>
  <c r="BM867" i="4"/>
  <c r="BM879" i="4"/>
  <c r="BM891" i="4"/>
  <c r="BM903" i="4"/>
  <c r="BM915" i="4"/>
  <c r="BM927" i="4"/>
  <c r="BM939" i="4"/>
  <c r="BM951" i="4"/>
  <c r="BM963" i="4"/>
  <c r="BM975" i="4"/>
  <c r="BM306" i="4"/>
  <c r="BK317" i="4"/>
  <c r="BK325" i="4"/>
  <c r="BK334" i="4"/>
  <c r="BK342" i="4"/>
  <c r="BK350" i="4"/>
  <c r="BK359" i="4"/>
  <c r="BM366" i="4"/>
  <c r="BM383" i="4"/>
  <c r="BK425" i="4"/>
  <c r="BK447" i="4"/>
  <c r="BK483" i="4"/>
  <c r="BK532" i="4"/>
  <c r="BK538" i="4"/>
  <c r="BK544" i="4"/>
  <c r="BK550" i="4"/>
  <c r="BK556" i="4"/>
  <c r="BK562" i="4"/>
  <c r="BK568" i="4"/>
  <c r="BK574" i="4"/>
  <c r="BK580" i="4"/>
  <c r="BK586" i="4"/>
  <c r="BK592" i="4"/>
  <c r="BK598" i="4"/>
  <c r="BK604" i="4"/>
  <c r="BK610" i="4"/>
  <c r="BK616" i="4"/>
  <c r="BK622" i="4"/>
  <c r="BK628" i="4"/>
  <c r="BK634" i="4"/>
  <c r="BK640" i="4"/>
  <c r="BK646" i="4"/>
  <c r="BK652" i="4"/>
  <c r="BK658" i="4"/>
  <c r="BK664" i="4"/>
  <c r="BK670" i="4"/>
  <c r="BK676" i="4"/>
  <c r="BK682" i="4"/>
  <c r="BK688" i="4"/>
  <c r="BK694" i="4"/>
  <c r="BK700" i="4"/>
  <c r="BK706" i="4"/>
  <c r="BK712" i="4"/>
  <c r="BK718" i="4"/>
  <c r="BK724" i="4"/>
  <c r="BK730" i="4"/>
  <c r="BK736" i="4"/>
  <c r="BK742" i="4"/>
  <c r="BK748" i="4"/>
  <c r="BK754" i="4"/>
  <c r="BK760" i="4"/>
  <c r="BK766" i="4"/>
  <c r="BK772" i="4"/>
  <c r="BK778" i="4"/>
  <c r="BK784" i="4"/>
  <c r="BK790" i="4"/>
  <c r="BK796" i="4"/>
  <c r="BK802" i="4"/>
  <c r="BK808" i="4"/>
  <c r="BK814" i="4"/>
  <c r="BK820" i="4"/>
  <c r="BK826" i="4"/>
  <c r="BK832" i="4"/>
  <c r="BK838" i="4"/>
  <c r="BK844" i="4"/>
  <c r="BK850" i="4"/>
  <c r="BK856" i="4"/>
  <c r="BK862" i="4"/>
  <c r="BK868" i="4"/>
  <c r="BK874" i="4"/>
  <c r="BK880" i="4"/>
  <c r="BK886" i="4"/>
  <c r="BK892" i="4"/>
  <c r="BM24" i="4"/>
  <c r="BM36" i="4"/>
  <c r="BM48" i="4"/>
  <c r="BM60" i="4"/>
  <c r="BM72" i="4"/>
  <c r="BM84" i="4"/>
  <c r="BM96" i="4"/>
  <c r="BM108" i="4"/>
  <c r="BM120" i="4"/>
  <c r="BM132" i="4"/>
  <c r="BM144" i="4"/>
  <c r="BM156" i="4"/>
  <c r="BM168" i="4"/>
  <c r="BM180" i="4"/>
  <c r="BM192" i="4"/>
  <c r="BM204" i="4"/>
  <c r="BM216" i="4"/>
  <c r="BM228" i="4"/>
  <c r="BM240" i="4"/>
  <c r="BM252" i="4"/>
  <c r="BM264" i="4"/>
  <c r="BM276" i="4"/>
  <c r="BM318" i="4"/>
  <c r="BK328" i="4"/>
  <c r="BK336" i="4"/>
  <c r="BK344" i="4"/>
  <c r="BK353" i="4"/>
  <c r="BM360" i="4"/>
  <c r="BM377" i="4"/>
  <c r="BM426" i="4"/>
  <c r="BK442" i="4"/>
  <c r="BK449" i="4"/>
  <c r="BK456" i="4"/>
  <c r="BK463" i="4"/>
  <c r="BK478" i="4"/>
  <c r="BK485" i="4"/>
  <c r="BK492" i="4"/>
  <c r="BK499" i="4"/>
  <c r="BK514" i="4"/>
  <c r="BM520" i="4"/>
  <c r="BM533" i="4"/>
  <c r="BM539" i="4"/>
  <c r="BM545" i="4"/>
  <c r="BM551" i="4"/>
  <c r="BM557" i="4"/>
  <c r="BM563" i="4"/>
  <c r="BM569" i="4"/>
  <c r="BM575" i="4"/>
  <c r="BM581" i="4"/>
  <c r="BM587" i="4"/>
  <c r="BM593" i="4"/>
  <c r="BM599" i="4"/>
  <c r="BM605" i="4"/>
  <c r="BM611" i="4"/>
  <c r="BM617" i="4"/>
  <c r="BM623" i="4"/>
  <c r="BM629" i="4"/>
  <c r="BM635" i="4"/>
  <c r="BM641" i="4"/>
  <c r="BM647" i="4"/>
  <c r="BM653" i="4"/>
  <c r="BM659" i="4"/>
  <c r="BM665" i="4"/>
  <c r="BM288" i="4"/>
  <c r="BM299" i="4"/>
  <c r="BK311" i="4"/>
  <c r="BK319" i="4"/>
  <c r="BK361" i="4"/>
  <c r="BK370" i="4"/>
  <c r="BK378" i="4"/>
  <c r="BK386" i="4"/>
  <c r="BK395" i="4"/>
  <c r="BM402" i="4"/>
  <c r="BM419" i="4"/>
  <c r="BK427" i="4"/>
  <c r="BK435" i="4"/>
  <c r="BK471" i="4"/>
  <c r="BK507" i="4"/>
  <c r="BK521" i="4"/>
  <c r="BM527" i="4"/>
  <c r="BK534" i="4"/>
  <c r="BK540" i="4"/>
  <c r="BK546" i="4"/>
  <c r="BK552" i="4"/>
  <c r="BK558" i="4"/>
  <c r="BK564" i="4"/>
  <c r="BK570" i="4"/>
  <c r="BK576" i="4"/>
  <c r="BK582" i="4"/>
  <c r="BK588" i="4"/>
  <c r="BK594" i="4"/>
  <c r="BK600" i="4"/>
  <c r="BK606" i="4"/>
  <c r="BK612" i="4"/>
  <c r="BK618" i="4"/>
  <c r="BK624" i="4"/>
  <c r="BK630" i="4"/>
  <c r="BK636" i="4"/>
  <c r="BK642" i="4"/>
  <c r="BK648" i="4"/>
  <c r="BK654" i="4"/>
  <c r="BK660" i="4"/>
  <c r="BK666" i="4"/>
  <c r="BK672" i="4"/>
  <c r="BK678" i="4"/>
  <c r="BK684" i="4"/>
  <c r="BK690" i="4"/>
  <c r="BK696" i="4"/>
  <c r="BK702" i="4"/>
  <c r="BK708" i="4"/>
  <c r="BK714" i="4"/>
  <c r="BK720" i="4"/>
  <c r="BK726" i="4"/>
  <c r="BK732" i="4"/>
  <c r="BK738" i="4"/>
  <c r="BK744" i="4"/>
  <c r="BK750" i="4"/>
  <c r="BK756" i="4"/>
  <c r="BK762" i="4"/>
  <c r="BK768" i="4"/>
  <c r="BK774" i="4"/>
  <c r="BK780" i="4"/>
  <c r="BK786" i="4"/>
  <c r="BK792" i="4"/>
  <c r="BK798" i="4"/>
  <c r="BM408" i="4"/>
  <c r="BK434" i="4"/>
  <c r="BK448" i="4"/>
  <c r="BK533" i="4"/>
  <c r="BK587" i="4"/>
  <c r="BK641" i="4"/>
  <c r="BM780" i="4"/>
  <c r="BK791" i="4"/>
  <c r="BM809" i="4"/>
  <c r="BM827" i="4"/>
  <c r="BM844" i="4"/>
  <c r="BK877" i="4"/>
  <c r="BK894" i="4"/>
  <c r="BK910" i="4"/>
  <c r="BM924" i="4"/>
  <c r="BM940" i="4"/>
  <c r="BM947" i="4"/>
  <c r="BM954" i="4"/>
  <c r="BM961" i="4"/>
  <c r="BK982" i="4"/>
  <c r="BM994" i="4"/>
  <c r="BK1001" i="4"/>
  <c r="BM1013" i="4"/>
  <c r="BK1020" i="4"/>
  <c r="BM1032" i="4"/>
  <c r="BM1038" i="4"/>
  <c r="BM1044" i="4"/>
  <c r="BM1050" i="4"/>
  <c r="BM1056" i="4"/>
  <c r="BM1062" i="4"/>
  <c r="BM1068" i="4"/>
  <c r="BM1074" i="4"/>
  <c r="BM1080" i="4"/>
  <c r="BM1086" i="4"/>
  <c r="BM1092" i="4"/>
  <c r="BM1098" i="4"/>
  <c r="BM1104" i="4"/>
  <c r="BM1110" i="4"/>
  <c r="BM1116" i="4"/>
  <c r="BM1122" i="4"/>
  <c r="BM1128" i="4"/>
  <c r="BM1134" i="4"/>
  <c r="BM1140" i="4"/>
  <c r="BM1146" i="4"/>
  <c r="BM1152" i="4"/>
  <c r="BM1158" i="4"/>
  <c r="BM1164" i="4"/>
  <c r="BM1170" i="4"/>
  <c r="BM1176" i="4"/>
  <c r="BM1182" i="4"/>
  <c r="BM1188" i="4"/>
  <c r="BM1194" i="4"/>
  <c r="BM1200" i="4"/>
  <c r="BM1206" i="4"/>
  <c r="BM1212" i="4"/>
  <c r="BM1218" i="4"/>
  <c r="BM1230" i="4"/>
  <c r="BM1236" i="4"/>
  <c r="BM1242" i="4"/>
  <c r="BM1254" i="4"/>
  <c r="BM1266" i="4"/>
  <c r="BM1272" i="4"/>
  <c r="BM1284" i="4"/>
  <c r="BM1296" i="4"/>
  <c r="BM1308" i="4"/>
  <c r="BM1314" i="4"/>
  <c r="BM1326" i="4"/>
  <c r="BM1338" i="4"/>
  <c r="BM1350" i="4"/>
  <c r="BM1362" i="4"/>
  <c r="BM1368" i="4"/>
  <c r="BM1380" i="4"/>
  <c r="BM1392" i="4"/>
  <c r="BM1404" i="4"/>
  <c r="BM1416" i="4"/>
  <c r="BM1422" i="4"/>
  <c r="BM1434" i="4"/>
  <c r="BM1446" i="4"/>
  <c r="BM47" i="4"/>
  <c r="BK95" i="4"/>
  <c r="BM155" i="4"/>
  <c r="BK203" i="4"/>
  <c r="BM263" i="4"/>
  <c r="BK326" i="4"/>
  <c r="BM353" i="4"/>
  <c r="BK368" i="4"/>
  <c r="BK409" i="4"/>
  <c r="BM484" i="4"/>
  <c r="BM574" i="4"/>
  <c r="BM628" i="4"/>
  <c r="BK752" i="4"/>
  <c r="BM761" i="4"/>
  <c r="BK810" i="4"/>
  <c r="BK828" i="4"/>
  <c r="BK836" i="4"/>
  <c r="BK845" i="4"/>
  <c r="BM852" i="4"/>
  <c r="BM869" i="4"/>
  <c r="BM886" i="4"/>
  <c r="BK902" i="4"/>
  <c r="BM917" i="4"/>
  <c r="BK925" i="4"/>
  <c r="BK941" i="4"/>
  <c r="BK948" i="4"/>
  <c r="BK955" i="4"/>
  <c r="BK962" i="4"/>
  <c r="BK969" i="4"/>
  <c r="BK976" i="4"/>
  <c r="BM988" i="4"/>
  <c r="BK995" i="4"/>
  <c r="BM1007" i="4"/>
  <c r="BK1014" i="4"/>
  <c r="BM1026" i="4"/>
  <c r="BK1033" i="4"/>
  <c r="BK1039" i="4"/>
  <c r="BK1045" i="4"/>
  <c r="BK1051" i="4"/>
  <c r="BK1057" i="4"/>
  <c r="BK1063" i="4"/>
  <c r="BK1069" i="4"/>
  <c r="BK1075" i="4"/>
  <c r="BK1081" i="4"/>
  <c r="BK1087" i="4"/>
  <c r="BK1093" i="4"/>
  <c r="BK1099" i="4"/>
  <c r="BK1105" i="4"/>
  <c r="BK1111" i="4"/>
  <c r="BK1117" i="4"/>
  <c r="BK1123" i="4"/>
  <c r="BK1129" i="4"/>
  <c r="BK1135" i="4"/>
  <c r="BK1141" i="4"/>
  <c r="BK1147" i="4"/>
  <c r="BK1153" i="4"/>
  <c r="BK1159" i="4"/>
  <c r="BK1165" i="4"/>
  <c r="BK1171" i="4"/>
  <c r="BK1177" i="4"/>
  <c r="BK1183" i="4"/>
  <c r="BK1189" i="4"/>
  <c r="BK1195" i="4"/>
  <c r="BK1201" i="4"/>
  <c r="BK1207" i="4"/>
  <c r="BK1213" i="4"/>
  <c r="BK1219" i="4"/>
  <c r="BK1225" i="4"/>
  <c r="BK1231" i="4"/>
  <c r="BK1237" i="4"/>
  <c r="BK1243" i="4"/>
  <c r="BK1249" i="4"/>
  <c r="BK1255" i="4"/>
  <c r="BK384" i="4"/>
  <c r="BM448" i="4"/>
  <c r="BM497" i="4"/>
  <c r="BK575" i="4"/>
  <c r="BK629" i="4"/>
  <c r="BM772" i="4"/>
  <c r="BK782" i="4"/>
  <c r="BM791" i="4"/>
  <c r="BK853" i="4"/>
  <c r="BK870" i="4"/>
  <c r="BK878" i="4"/>
  <c r="BK887" i="4"/>
  <c r="BM894" i="4"/>
  <c r="BM910" i="4"/>
  <c r="BK918" i="4"/>
  <c r="BK934" i="4"/>
  <c r="BM982" i="4"/>
  <c r="BK989" i="4"/>
  <c r="BM1001" i="4"/>
  <c r="BK1008" i="4"/>
  <c r="BM1020" i="4"/>
  <c r="BK1027" i="4"/>
  <c r="BM820" i="4"/>
  <c r="BM845" i="4"/>
  <c r="BK895" i="4"/>
  <c r="BK926" i="4"/>
  <c r="BM948" i="4"/>
  <c r="BK963" i="4"/>
  <c r="BM976" i="4"/>
  <c r="BM995" i="4"/>
  <c r="BM1014" i="4"/>
  <c r="BM1033" i="4"/>
  <c r="BM1045" i="4"/>
  <c r="BM1057" i="4"/>
  <c r="BM1069" i="4"/>
  <c r="BM1081" i="4"/>
  <c r="BM1093" i="4"/>
  <c r="BM1105" i="4"/>
  <c r="BM1117" i="4"/>
  <c r="BM1129" i="4"/>
  <c r="BM1141" i="4"/>
  <c r="BM1153" i="4"/>
  <c r="BM1165" i="4"/>
  <c r="BM1177" i="4"/>
  <c r="BM1189" i="4"/>
  <c r="BM1195" i="4"/>
  <c r="BM1207" i="4"/>
  <c r="BM1219" i="4"/>
  <c r="BM1231" i="4"/>
  <c r="BM1243" i="4"/>
  <c r="BM1255" i="4"/>
  <c r="BM1267" i="4"/>
  <c r="BM1279" i="4"/>
  <c r="BM1291" i="4"/>
  <c r="BM1303" i="4"/>
  <c r="BM1315" i="4"/>
  <c r="BM1327" i="4"/>
  <c r="BK35" i="4"/>
  <c r="BM95" i="4"/>
  <c r="BK143" i="4"/>
  <c r="BM203" i="4"/>
  <c r="BK251" i="4"/>
  <c r="BK410" i="4"/>
  <c r="BM461" i="4"/>
  <c r="BM485" i="4"/>
  <c r="BK498" i="4"/>
  <c r="BM562" i="4"/>
  <c r="BM616" i="4"/>
  <c r="BM670" i="4"/>
  <c r="BM682" i="4"/>
  <c r="BM694" i="4"/>
  <c r="BM706" i="4"/>
  <c r="BM718" i="4"/>
  <c r="BM730" i="4"/>
  <c r="BM742" i="4"/>
  <c r="BM762" i="4"/>
  <c r="BK773" i="4"/>
  <c r="BM802" i="4"/>
  <c r="BM810" i="4"/>
  <c r="BM828" i="4"/>
  <c r="BM862" i="4"/>
  <c r="BK911" i="4"/>
  <c r="BM941" i="4"/>
  <c r="BM955" i="4"/>
  <c r="BK970" i="4"/>
  <c r="BK983" i="4"/>
  <c r="BK1002" i="4"/>
  <c r="BK1021" i="4"/>
  <c r="BM1039" i="4"/>
  <c r="BM1051" i="4"/>
  <c r="BM1063" i="4"/>
  <c r="BM1075" i="4"/>
  <c r="BM1087" i="4"/>
  <c r="BM1099" i="4"/>
  <c r="BM1111" i="4"/>
  <c r="BM1123" i="4"/>
  <c r="BM1135" i="4"/>
  <c r="BM1147" i="4"/>
  <c r="BM1159" i="4"/>
  <c r="BM1171" i="4"/>
  <c r="BM1183" i="4"/>
  <c r="BM1201" i="4"/>
  <c r="BM1213" i="4"/>
  <c r="BM1225" i="4"/>
  <c r="BM1237" i="4"/>
  <c r="BM1249" i="4"/>
  <c r="BM1261" i="4"/>
  <c r="BM1273" i="4"/>
  <c r="BM1285" i="4"/>
  <c r="BM1297" i="4"/>
  <c r="BM1309" i="4"/>
  <c r="BM1321" i="4"/>
  <c r="BM1333" i="4"/>
  <c r="BM384" i="4"/>
  <c r="BM449" i="4"/>
  <c r="BK462" i="4"/>
  <c r="BK563" i="4"/>
  <c r="BK617" i="4"/>
  <c r="BK671" i="4"/>
  <c r="BK683" i="4"/>
  <c r="BK695" i="4"/>
  <c r="BK707" i="4"/>
  <c r="BK719" i="4"/>
  <c r="BK731" i="4"/>
  <c r="BK743" i="4"/>
  <c r="BM792" i="4"/>
  <c r="BK803" i="4"/>
  <c r="BK821" i="4"/>
  <c r="BK829" i="4"/>
  <c r="BK846" i="4"/>
  <c r="BK854" i="4"/>
  <c r="BK863" i="4"/>
  <c r="BM870" i="4"/>
  <c r="BM887" i="4"/>
  <c r="BK904" i="4"/>
  <c r="BM918" i="4"/>
  <c r="BM934" i="4"/>
  <c r="BK942" i="4"/>
  <c r="BK949" i="4"/>
  <c r="BK956" i="4"/>
  <c r="BK977" i="4"/>
  <c r="BM989" i="4"/>
  <c r="BK996" i="4"/>
  <c r="BM1008" i="4"/>
  <c r="BK1015" i="4"/>
  <c r="BM1027" i="4"/>
  <c r="BK1034" i="4"/>
  <c r="BK1040" i="4"/>
  <c r="BK1046" i="4"/>
  <c r="BK1052" i="4"/>
  <c r="BK1058" i="4"/>
  <c r="BK1064" i="4"/>
  <c r="BK1070" i="4"/>
  <c r="BK1076" i="4"/>
  <c r="BK1082" i="4"/>
  <c r="BK1088" i="4"/>
  <c r="BK1094" i="4"/>
  <c r="BK1100" i="4"/>
  <c r="BK1106" i="4"/>
  <c r="BK1112" i="4"/>
  <c r="BK1118" i="4"/>
  <c r="BK1124" i="4"/>
  <c r="BK1130" i="4"/>
  <c r="BK1136" i="4"/>
  <c r="BK1142" i="4"/>
  <c r="BK1148" i="4"/>
  <c r="BK1154" i="4"/>
  <c r="BK1160" i="4"/>
  <c r="BK1166" i="4"/>
  <c r="BK1172" i="4"/>
  <c r="BK1178" i="4"/>
  <c r="BK1184" i="4"/>
  <c r="BK1190" i="4"/>
  <c r="BK1196" i="4"/>
  <c r="BK1202" i="4"/>
  <c r="BK1208" i="4"/>
  <c r="BK1214" i="4"/>
  <c r="BK1220" i="4"/>
  <c r="BK1226" i="4"/>
  <c r="BK1232" i="4"/>
  <c r="BK1238" i="4"/>
  <c r="BK1244" i="4"/>
  <c r="BK1250" i="4"/>
  <c r="BK1256" i="4"/>
  <c r="BK1262" i="4"/>
  <c r="BK1268" i="4"/>
  <c r="BK1274" i="4"/>
  <c r="BK1280" i="4"/>
  <c r="BK1286" i="4"/>
  <c r="BK1292" i="4"/>
  <c r="BK1298" i="4"/>
  <c r="BK1304" i="4"/>
  <c r="BK1310" i="4"/>
  <c r="BK1316" i="4"/>
  <c r="BK1322" i="4"/>
  <c r="BK1328" i="4"/>
  <c r="BK1334" i="4"/>
  <c r="BM35" i="4"/>
  <c r="BK83" i="4"/>
  <c r="BM143" i="4"/>
  <c r="BK191" i="4"/>
  <c r="BM251" i="4"/>
  <c r="BK329" i="4"/>
  <c r="BM342" i="4"/>
  <c r="BK385" i="4"/>
  <c r="BM498" i="4"/>
  <c r="BK512" i="4"/>
  <c r="BM550" i="4"/>
  <c r="BM604" i="4"/>
  <c r="BM658" i="4"/>
  <c r="BM754" i="4"/>
  <c r="BK764" i="4"/>
  <c r="BM773" i="4"/>
  <c r="BK812" i="4"/>
  <c r="BM838" i="4"/>
  <c r="BK871" i="4"/>
  <c r="BK888" i="4"/>
  <c r="BK896" i="4"/>
  <c r="BM911" i="4"/>
  <c r="BK919" i="4"/>
  <c r="BK935" i="4"/>
  <c r="BK964" i="4"/>
  <c r="BM970" i="4"/>
  <c r="BM983" i="4"/>
  <c r="BK990" i="4"/>
  <c r="BM1002" i="4"/>
  <c r="BK1009" i="4"/>
  <c r="BM1021" i="4"/>
  <c r="BK1028" i="4"/>
  <c r="BK1003" i="4"/>
  <c r="BK1022" i="4"/>
  <c r="BM1040" i="4"/>
  <c r="BM1052" i="4"/>
  <c r="BM1064" i="4"/>
  <c r="BM1076" i="4"/>
  <c r="BM1088" i="4"/>
  <c r="BM1100" i="4"/>
  <c r="BM1112" i="4"/>
  <c r="BM1124" i="4"/>
  <c r="BM1136" i="4"/>
  <c r="BM1148" i="4"/>
  <c r="BM1160" i="4"/>
  <c r="BM1172" i="4"/>
  <c r="BM1184" i="4"/>
  <c r="BM1196" i="4"/>
  <c r="BM1208" i="4"/>
  <c r="BM1220" i="4"/>
  <c r="BM1232" i="4"/>
  <c r="BM1244" i="4"/>
  <c r="BM1256" i="4"/>
  <c r="BM1268" i="4"/>
  <c r="BM1280" i="4"/>
  <c r="BM1292" i="4"/>
  <c r="BM1304" i="4"/>
  <c r="BM1316" i="4"/>
  <c r="BM1328" i="4"/>
  <c r="BM1340" i="4"/>
  <c r="BM1352" i="4"/>
  <c r="BM1370" i="4"/>
  <c r="BM1382" i="4"/>
  <c r="BM1388" i="4"/>
  <c r="BM1406" i="4"/>
  <c r="BM1418" i="4"/>
  <c r="BM1430" i="4"/>
  <c r="BM1442" i="4"/>
  <c r="BK299" i="4"/>
  <c r="BK343" i="4"/>
  <c r="BK401" i="4"/>
  <c r="BK412" i="4"/>
  <c r="BM425" i="4"/>
  <c r="BM462" i="4"/>
  <c r="BK476" i="4"/>
  <c r="BK526" i="4"/>
  <c r="BK551" i="4"/>
  <c r="BK605" i="4"/>
  <c r="BK659" i="4"/>
  <c r="BM671" i="4"/>
  <c r="BM683" i="4"/>
  <c r="BM695" i="4"/>
  <c r="BM707" i="4"/>
  <c r="BM719" i="4"/>
  <c r="BM731" i="4"/>
  <c r="BM743" i="4"/>
  <c r="BK755" i="4"/>
  <c r="BM784" i="4"/>
  <c r="BK794" i="4"/>
  <c r="BM803" i="4"/>
  <c r="BM821" i="4"/>
  <c r="BK830" i="4"/>
  <c r="BK839" i="4"/>
  <c r="BM846" i="4"/>
  <c r="BM863" i="4"/>
  <c r="BM880" i="4"/>
  <c r="BM904" i="4"/>
  <c r="BK912" i="4"/>
  <c r="BK928" i="4"/>
  <c r="BM942" i="4"/>
  <c r="BM949" i="4"/>
  <c r="BK971" i="4"/>
  <c r="BM977" i="4"/>
  <c r="BK984" i="4"/>
  <c r="BM996" i="4"/>
  <c r="BM1015" i="4"/>
  <c r="BM1034" i="4"/>
  <c r="BM1046" i="4"/>
  <c r="BM1058" i="4"/>
  <c r="BM1070" i="4"/>
  <c r="BM1082" i="4"/>
  <c r="BM1094" i="4"/>
  <c r="BM1106" i="4"/>
  <c r="BM1118" i="4"/>
  <c r="BM1130" i="4"/>
  <c r="BM1142" i="4"/>
  <c r="BM1154" i="4"/>
  <c r="BM1166" i="4"/>
  <c r="BM1178" i="4"/>
  <c r="BM1190" i="4"/>
  <c r="BM1202" i="4"/>
  <c r="BM1214" i="4"/>
  <c r="BM1226" i="4"/>
  <c r="BM1238" i="4"/>
  <c r="BM1250" i="4"/>
  <c r="BM1262" i="4"/>
  <c r="BM1274" i="4"/>
  <c r="BM1286" i="4"/>
  <c r="BM1298" i="4"/>
  <c r="BM1310" i="4"/>
  <c r="BM1322" i="4"/>
  <c r="BM1334" i="4"/>
  <c r="BM1346" i="4"/>
  <c r="BM1358" i="4"/>
  <c r="BM1364" i="4"/>
  <c r="BM1376" i="4"/>
  <c r="BM1394" i="4"/>
  <c r="BM1400" i="4"/>
  <c r="BM1412" i="4"/>
  <c r="BM1424" i="4"/>
  <c r="BM1436" i="4"/>
  <c r="BM1448" i="4"/>
  <c r="BK23" i="4"/>
  <c r="BM83" i="4"/>
  <c r="BK131" i="4"/>
  <c r="BM191" i="4"/>
  <c r="BK239" i="4"/>
  <c r="BK426" i="4"/>
  <c r="BK440" i="4"/>
  <c r="BK500" i="4"/>
  <c r="BK513" i="4"/>
  <c r="BM538" i="4"/>
  <c r="BM592" i="4"/>
  <c r="BM646" i="4"/>
  <c r="BM774" i="4"/>
  <c r="BK785" i="4"/>
  <c r="BK804" i="4"/>
  <c r="BK822" i="4"/>
  <c r="BK847" i="4"/>
  <c r="BK864" i="4"/>
  <c r="BK872" i="4"/>
  <c r="BK881" i="4"/>
  <c r="BM888" i="4"/>
  <c r="BK905" i="4"/>
  <c r="BK920" i="4"/>
  <c r="BM935" i="4"/>
  <c r="BK943" i="4"/>
  <c r="BK950" i="4"/>
  <c r="BK958" i="4"/>
  <c r="BM964" i="4"/>
  <c r="BK978" i="4"/>
  <c r="BM990" i="4"/>
  <c r="BK997" i="4"/>
  <c r="BM1009" i="4"/>
  <c r="BK1016" i="4"/>
  <c r="BK1029" i="4"/>
  <c r="BK1035" i="4"/>
  <c r="BK1041" i="4"/>
  <c r="BK1047" i="4"/>
  <c r="BK1053" i="4"/>
  <c r="BK1059" i="4"/>
  <c r="BK1065" i="4"/>
  <c r="BK1071" i="4"/>
  <c r="BK1077" i="4"/>
  <c r="BK1083" i="4"/>
  <c r="BK1089" i="4"/>
  <c r="BK1095" i="4"/>
  <c r="BK1101" i="4"/>
  <c r="BK1107" i="4"/>
  <c r="BK1113" i="4"/>
  <c r="BK1119" i="4"/>
  <c r="BK1125" i="4"/>
  <c r="BK1131" i="4"/>
  <c r="BK1137" i="4"/>
  <c r="BK1143" i="4"/>
  <c r="BK1149" i="4"/>
  <c r="BK1155" i="4"/>
  <c r="BK1161" i="4"/>
  <c r="BK1167" i="4"/>
  <c r="BK1173" i="4"/>
  <c r="BK1179" i="4"/>
  <c r="BK1185" i="4"/>
  <c r="BK1191" i="4"/>
  <c r="BK1197" i="4"/>
  <c r="BK1203" i="4"/>
  <c r="BK1209" i="4"/>
  <c r="BK1215" i="4"/>
  <c r="BK1221" i="4"/>
  <c r="BK1227" i="4"/>
  <c r="BK1233" i="4"/>
  <c r="BK1239" i="4"/>
  <c r="BK1245" i="4"/>
  <c r="BK1251" i="4"/>
  <c r="BK1257" i="4"/>
  <c r="BK1263" i="4"/>
  <c r="BK1269" i="4"/>
  <c r="BK1275" i="4"/>
  <c r="BK1281" i="4"/>
  <c r="BK1287" i="4"/>
  <c r="BK1293" i="4"/>
  <c r="BK1299" i="4"/>
  <c r="BK1305" i="4"/>
  <c r="BK1311" i="4"/>
  <c r="BK1317" i="4"/>
  <c r="BK1323" i="4"/>
  <c r="BK1329" i="4"/>
  <c r="BM359" i="4"/>
  <c r="BM401" i="4"/>
  <c r="BK464" i="4"/>
  <c r="BK477" i="4"/>
  <c r="BM526" i="4"/>
  <c r="BK539" i="4"/>
  <c r="BK593" i="4"/>
  <c r="BK647" i="4"/>
  <c r="BM755" i="4"/>
  <c r="BM839" i="4"/>
  <c r="BM856" i="4"/>
  <c r="BK889" i="4"/>
  <c r="BK898" i="4"/>
  <c r="BM912" i="4"/>
  <c r="BM928" i="4"/>
  <c r="BK936" i="4"/>
  <c r="BK965" i="4"/>
  <c r="BM971" i="4"/>
  <c r="BM984" i="4"/>
  <c r="BK991" i="4"/>
  <c r="BM1003" i="4"/>
  <c r="BK1010" i="4"/>
  <c r="BK1023" i="4"/>
  <c r="BK848" i="4"/>
  <c r="BM905" i="4"/>
  <c r="BK929" i="4"/>
  <c r="BM943" i="4"/>
  <c r="BK972" i="4"/>
  <c r="BK985" i="4"/>
  <c r="BK1004" i="4"/>
  <c r="BK1017" i="4"/>
  <c r="BM1035" i="4"/>
  <c r="BM1047" i="4"/>
  <c r="BM1059" i="4"/>
  <c r="BM1071" i="4"/>
  <c r="BM1083" i="4"/>
  <c r="BM1095" i="4"/>
  <c r="BM1107" i="4"/>
  <c r="BM1119" i="4"/>
  <c r="BM1131" i="4"/>
  <c r="BM1143" i="4"/>
  <c r="BM1155" i="4"/>
  <c r="BM1167" i="4"/>
  <c r="BM1179" i="4"/>
  <c r="BM1191" i="4"/>
  <c r="BM1203" i="4"/>
  <c r="BM1215" i="4"/>
  <c r="BM1227" i="4"/>
  <c r="BM1239" i="4"/>
  <c r="BM1251" i="4"/>
  <c r="BM1263" i="4"/>
  <c r="BM1275" i="4"/>
  <c r="BM1281" i="4"/>
  <c r="BM1293" i="4"/>
  <c r="BM23" i="4"/>
  <c r="BK71" i="4"/>
  <c r="BM131" i="4"/>
  <c r="BK179" i="4"/>
  <c r="BM239" i="4"/>
  <c r="BK287" i="4"/>
  <c r="BM317" i="4"/>
  <c r="BK360" i="4"/>
  <c r="BK402" i="4"/>
  <c r="BK441" i="4"/>
  <c r="BM490" i="4"/>
  <c r="BK527" i="4"/>
  <c r="BM580" i="4"/>
  <c r="BM634" i="4"/>
  <c r="BK746" i="4"/>
  <c r="BM766" i="4"/>
  <c r="BK776" i="4"/>
  <c r="BM785" i="4"/>
  <c r="BM804" i="4"/>
  <c r="BM814" i="4"/>
  <c r="BM822" i="4"/>
  <c r="BK840" i="4"/>
  <c r="BK857" i="4"/>
  <c r="BM864" i="4"/>
  <c r="BM881" i="4"/>
  <c r="BK913" i="4"/>
  <c r="BM958" i="4"/>
  <c r="BM978" i="4"/>
  <c r="BM997" i="4"/>
  <c r="BM1029" i="4"/>
  <c r="BM1041" i="4"/>
  <c r="BM1053" i="4"/>
  <c r="BM1065" i="4"/>
  <c r="BM1077" i="4"/>
  <c r="BM1089" i="4"/>
  <c r="BM1101" i="4"/>
  <c r="BM1113" i="4"/>
  <c r="BM1125" i="4"/>
  <c r="BM1137" i="4"/>
  <c r="BM1149" i="4"/>
  <c r="BM1161" i="4"/>
  <c r="BM1173" i="4"/>
  <c r="BM1185" i="4"/>
  <c r="BM1197" i="4"/>
  <c r="BM1209" i="4"/>
  <c r="BM1221" i="4"/>
  <c r="BM1233" i="4"/>
  <c r="BM1245" i="4"/>
  <c r="BM1257" i="4"/>
  <c r="BM1269" i="4"/>
  <c r="BM1287" i="4"/>
  <c r="BM1299" i="4"/>
  <c r="BM59" i="4"/>
  <c r="BK107" i="4"/>
  <c r="BM167" i="4"/>
  <c r="BK215" i="4"/>
  <c r="BM275" i="4"/>
  <c r="BK307" i="4"/>
  <c r="BK419" i="4"/>
  <c r="BM432" i="4"/>
  <c r="BM456" i="4"/>
  <c r="BK469" i="4"/>
  <c r="BK519" i="4"/>
  <c r="BM544" i="4"/>
  <c r="BM598" i="4"/>
  <c r="BM652" i="4"/>
  <c r="BM677" i="4"/>
  <c r="BM689" i="4"/>
  <c r="BM701" i="4"/>
  <c r="BM713" i="4"/>
  <c r="BM725" i="4"/>
  <c r="BM737" i="4"/>
  <c r="BM798" i="4"/>
  <c r="BM808" i="4"/>
  <c r="BM816" i="4"/>
  <c r="BM826" i="4"/>
  <c r="BK859" i="4"/>
  <c r="BK876" i="4"/>
  <c r="BK884" i="4"/>
  <c r="BK893" i="4"/>
  <c r="BK908" i="4"/>
  <c r="BM923" i="4"/>
  <c r="BK931" i="4"/>
  <c r="BM946" i="4"/>
  <c r="BM953" i="4"/>
  <c r="BM960" i="4"/>
  <c r="BK974" i="4"/>
  <c r="BK981" i="4"/>
  <c r="BM993" i="4"/>
  <c r="BK1000" i="4"/>
  <c r="BM1012" i="4"/>
  <c r="BK1019" i="4"/>
  <c r="BM1031" i="4"/>
  <c r="BM1037" i="4"/>
  <c r="BM1043" i="4"/>
  <c r="BM1049" i="4"/>
  <c r="BM1055" i="4"/>
  <c r="BM1061" i="4"/>
  <c r="BM1067" i="4"/>
  <c r="BM1073" i="4"/>
  <c r="BM1079" i="4"/>
  <c r="BM1085" i="4"/>
  <c r="BM336" i="4"/>
  <c r="BK352" i="4"/>
  <c r="BK394" i="4"/>
  <c r="BK433" i="4"/>
  <c r="BK506" i="4"/>
  <c r="BK545" i="4"/>
  <c r="BK599" i="4"/>
  <c r="BK653" i="4"/>
  <c r="BM749" i="4"/>
  <c r="BM760" i="4"/>
  <c r="BK770" i="4"/>
  <c r="BM779" i="4"/>
  <c r="BK809" i="4"/>
  <c r="BK827" i="4"/>
  <c r="BM834" i="4"/>
  <c r="BM851" i="4"/>
  <c r="BM868" i="4"/>
  <c r="BM900" i="4"/>
  <c r="BM916" i="4"/>
  <c r="BK924" i="4"/>
  <c r="BK940" i="4"/>
  <c r="BK947" i="4"/>
  <c r="BK954" i="4"/>
  <c r="BK961" i="4"/>
  <c r="BM967" i="4"/>
  <c r="BM987" i="4"/>
  <c r="BK994" i="4"/>
  <c r="BM1006" i="4"/>
  <c r="BK1013" i="4"/>
  <c r="BM1025" i="4"/>
  <c r="BK1032" i="4"/>
  <c r="BK1038" i="4"/>
  <c r="BK1044" i="4"/>
  <c r="BK1050" i="4"/>
  <c r="BK1056" i="4"/>
  <c r="BK1062" i="4"/>
  <c r="BK1068" i="4"/>
  <c r="BK1074" i="4"/>
  <c r="BK1080" i="4"/>
  <c r="BK1086" i="4"/>
  <c r="BK1092" i="4"/>
  <c r="BK1098" i="4"/>
  <c r="BK1104" i="4"/>
  <c r="BK1110" i="4"/>
  <c r="BK1116" i="4"/>
  <c r="BK1122" i="4"/>
  <c r="BK47" i="4"/>
  <c r="BM107" i="4"/>
  <c r="BK155" i="4"/>
  <c r="BM215" i="4"/>
  <c r="BK263" i="4"/>
  <c r="BK367" i="4"/>
  <c r="BK420" i="4"/>
  <c r="BK470" i="4"/>
  <c r="BK484" i="4"/>
  <c r="BK520" i="4"/>
  <c r="BM532" i="4"/>
  <c r="BM586" i="4"/>
  <c r="BM640" i="4"/>
  <c r="BK761" i="4"/>
  <c r="BM790" i="4"/>
  <c r="BK800" i="4"/>
  <c r="BK818" i="4"/>
  <c r="BK835" i="4"/>
  <c r="BK852" i="4"/>
  <c r="BK860" i="4"/>
  <c r="BK869" i="4"/>
  <c r="BM876" i="4"/>
  <c r="BM893" i="4"/>
  <c r="BK901" i="4"/>
  <c r="BK917" i="4"/>
  <c r="BK932" i="4"/>
  <c r="BK968" i="4"/>
  <c r="BK975" i="4"/>
  <c r="BM981" i="4"/>
  <c r="BK988" i="4"/>
  <c r="BM1000" i="4"/>
  <c r="BK1007" i="4"/>
  <c r="BM1019" i="4"/>
  <c r="BK1026" i="4"/>
  <c r="BM1224" i="4"/>
  <c r="BM1248" i="4"/>
  <c r="BM1260" i="4"/>
  <c r="BM1278" i="4"/>
  <c r="BM1290" i="4"/>
  <c r="BM1302" i="4"/>
  <c r="BM1320" i="4"/>
  <c r="BM1332" i="4"/>
  <c r="BM1344" i="4"/>
  <c r="BM1356" i="4"/>
  <c r="BM1374" i="4"/>
  <c r="BM1386" i="4"/>
  <c r="BM1398" i="4"/>
  <c r="BM1410" i="4"/>
  <c r="BM1428" i="4"/>
  <c r="BM1440" i="4"/>
  <c r="BK455" i="4"/>
  <c r="BK713" i="4"/>
  <c r="BK788" i="4"/>
  <c r="BM832" i="4"/>
  <c r="BK938" i="4"/>
  <c r="BM1024" i="4"/>
  <c r="BM1036" i="4"/>
  <c r="BM1048" i="4"/>
  <c r="BM1060" i="4"/>
  <c r="BM1072" i="4"/>
  <c r="BM1084" i="4"/>
  <c r="BM1127" i="4"/>
  <c r="BK1168" i="4"/>
  <c r="BK1187" i="4"/>
  <c r="BK1206" i="4"/>
  <c r="BM1216" i="4"/>
  <c r="BM1235" i="4"/>
  <c r="BK1265" i="4"/>
  <c r="BK1283" i="4"/>
  <c r="BK1301" i="4"/>
  <c r="BK1309" i="4"/>
  <c r="BK1318" i="4"/>
  <c r="BM1325" i="4"/>
  <c r="BK1348" i="4"/>
  <c r="BM1354" i="4"/>
  <c r="BK1368" i="4"/>
  <c r="BK1375" i="4"/>
  <c r="BM1381" i="4"/>
  <c r="BK1402" i="4"/>
  <c r="BM1408" i="4"/>
  <c r="BK1422" i="4"/>
  <c r="BK1429" i="4"/>
  <c r="BM1435" i="4"/>
  <c r="BK1037" i="4"/>
  <c r="BK1049" i="4"/>
  <c r="BK1073" i="4"/>
  <c r="BM1096" i="4"/>
  <c r="BK1108" i="4"/>
  <c r="BM1138" i="4"/>
  <c r="BK1198" i="4"/>
  <c r="BK1217" i="4"/>
  <c r="BM1246" i="4"/>
  <c r="BK1326" i="4"/>
  <c r="BM1341" i="4"/>
  <c r="BM1361" i="4"/>
  <c r="BK1389" i="4"/>
  <c r="BM1395" i="4"/>
  <c r="BM1415" i="4"/>
  <c r="BK1443" i="4"/>
  <c r="BM1449" i="4"/>
  <c r="BK1271" i="4"/>
  <c r="BK841" i="4"/>
  <c r="BK1164" i="4"/>
  <c r="BK1324" i="4"/>
  <c r="BK418" i="4"/>
  <c r="BK1156" i="4"/>
  <c r="BM1366" i="4"/>
  <c r="BK758" i="4"/>
  <c r="BK1176" i="4"/>
  <c r="BM1347" i="4"/>
  <c r="BK11" i="4"/>
  <c r="BK167" i="4"/>
  <c r="BM287" i="4"/>
  <c r="BM568" i="4"/>
  <c r="BK833" i="4"/>
  <c r="BM858" i="4"/>
  <c r="BM899" i="4"/>
  <c r="BM952" i="4"/>
  <c r="BM965" i="4"/>
  <c r="BK1025" i="4"/>
  <c r="BK1061" i="4"/>
  <c r="BK1085" i="4"/>
  <c r="BK1128" i="4"/>
  <c r="BM1157" i="4"/>
  <c r="BK1236" i="4"/>
  <c r="BK1335" i="4"/>
  <c r="BK1355" i="4"/>
  <c r="BK1382" i="4"/>
  <c r="BK1409" i="4"/>
  <c r="BK1436" i="4"/>
  <c r="BK1393" i="4"/>
  <c r="BM1379" i="4"/>
  <c r="BM1289" i="4"/>
  <c r="BM1186" i="4"/>
  <c r="BM455" i="4"/>
  <c r="BK569" i="4"/>
  <c r="BK635" i="4"/>
  <c r="BM874" i="4"/>
  <c r="BK900" i="4"/>
  <c r="BK914" i="4"/>
  <c r="BK953" i="4"/>
  <c r="BK966" i="4"/>
  <c r="BK1097" i="4"/>
  <c r="BK1139" i="4"/>
  <c r="BK1158" i="4"/>
  <c r="BM1168" i="4"/>
  <c r="BM1187" i="4"/>
  <c r="BK1228" i="4"/>
  <c r="BK1247" i="4"/>
  <c r="BM1265" i="4"/>
  <c r="BM1283" i="4"/>
  <c r="BM1301" i="4"/>
  <c r="BM1318" i="4"/>
  <c r="BK1342" i="4"/>
  <c r="BM1348" i="4"/>
  <c r="BK1362" i="4"/>
  <c r="BK1369" i="4"/>
  <c r="BM1375" i="4"/>
  <c r="BK1396" i="4"/>
  <c r="BM1402" i="4"/>
  <c r="BK1416" i="4"/>
  <c r="BK1423" i="4"/>
  <c r="BM1429" i="4"/>
  <c r="BK1450" i="4"/>
  <c r="BM1372" i="4"/>
  <c r="BM768" i="4"/>
  <c r="BK1332" i="4"/>
  <c r="BK1273" i="4"/>
  <c r="BM11" i="4"/>
  <c r="BK289" i="4"/>
  <c r="BM504" i="4"/>
  <c r="BM700" i="4"/>
  <c r="BM833" i="4"/>
  <c r="BK875" i="4"/>
  <c r="BK979" i="4"/>
  <c r="BM1108" i="4"/>
  <c r="BK1120" i="4"/>
  <c r="BK1150" i="4"/>
  <c r="BK1169" i="4"/>
  <c r="BK1188" i="4"/>
  <c r="BM1198" i="4"/>
  <c r="BM1217" i="4"/>
  <c r="BK1258" i="4"/>
  <c r="BK1266" i="4"/>
  <c r="BK1276" i="4"/>
  <c r="BK1284" i="4"/>
  <c r="BK1294" i="4"/>
  <c r="BK1302" i="4"/>
  <c r="BK1319" i="4"/>
  <c r="BK1327" i="4"/>
  <c r="BM1335" i="4"/>
  <c r="BK1349" i="4"/>
  <c r="BM1355" i="4"/>
  <c r="BK1376" i="4"/>
  <c r="BK1383" i="4"/>
  <c r="BM1389" i="4"/>
  <c r="BK1403" i="4"/>
  <c r="BM1409" i="4"/>
  <c r="BK1430" i="4"/>
  <c r="BK1437" i="4"/>
  <c r="BM1443" i="4"/>
  <c r="BK1363" i="4"/>
  <c r="BK1390" i="4"/>
  <c r="BK1410" i="4"/>
  <c r="BM1423" i="4"/>
  <c r="BM1450" i="4"/>
  <c r="BK1438" i="4"/>
  <c r="BM1385" i="4"/>
  <c r="BK907" i="4"/>
  <c r="BM1144" i="4"/>
  <c r="BM1306" i="4"/>
  <c r="BM1426" i="4"/>
  <c r="BM1114" i="4"/>
  <c r="BK1315" i="4"/>
  <c r="BM1413" i="4"/>
  <c r="BK725" i="4"/>
  <c r="BK1194" i="4"/>
  <c r="BK1414" i="4"/>
  <c r="BK858" i="4"/>
  <c r="BM1205" i="4"/>
  <c r="BM1367" i="4"/>
  <c r="BK1442" i="4"/>
  <c r="BK376" i="4"/>
  <c r="BK392" i="4"/>
  <c r="BM442" i="4"/>
  <c r="BK491" i="4"/>
  <c r="BK505" i="4"/>
  <c r="BK701" i="4"/>
  <c r="BK806" i="4"/>
  <c r="BK834" i="4"/>
  <c r="BM966" i="4"/>
  <c r="BM991" i="4"/>
  <c r="BM1097" i="4"/>
  <c r="BK1109" i="4"/>
  <c r="BM1139" i="4"/>
  <c r="BK1180" i="4"/>
  <c r="BK1199" i="4"/>
  <c r="BK1218" i="4"/>
  <c r="BM1228" i="4"/>
  <c r="BM1247" i="4"/>
  <c r="BM1311" i="4"/>
  <c r="BK1336" i="4"/>
  <c r="BM1342" i="4"/>
  <c r="BK1356" i="4"/>
  <c r="BM1369" i="4"/>
  <c r="BM1396" i="4"/>
  <c r="BK1417" i="4"/>
  <c r="BK1444" i="4"/>
  <c r="BK1439" i="4"/>
  <c r="BM972" i="4"/>
  <c r="BK1223" i="4"/>
  <c r="BK1366" i="4"/>
  <c r="BM724" i="4"/>
  <c r="BK1145" i="4"/>
  <c r="BM1359" i="4"/>
  <c r="BK1011" i="4"/>
  <c r="BM1271" i="4"/>
  <c r="BK1434" i="4"/>
  <c r="BK952" i="4"/>
  <c r="BK1246" i="4"/>
  <c r="BK1388" i="4"/>
  <c r="BK1449" i="4"/>
  <c r="BK119" i="4"/>
  <c r="BK275" i="4"/>
  <c r="BM556" i="4"/>
  <c r="BM748" i="4"/>
  <c r="BM875" i="4"/>
  <c r="BK890" i="4"/>
  <c r="BK916" i="4"/>
  <c r="BM929" i="4"/>
  <c r="BK967" i="4"/>
  <c r="BM979" i="4"/>
  <c r="BK992" i="4"/>
  <c r="BK1005" i="4"/>
  <c r="BM1120" i="4"/>
  <c r="BK1140" i="4"/>
  <c r="BM1150" i="4"/>
  <c r="BM1169" i="4"/>
  <c r="BK1210" i="4"/>
  <c r="BK1229" i="4"/>
  <c r="BK1248" i="4"/>
  <c r="BM1258" i="4"/>
  <c r="BK1267" i="4"/>
  <c r="BM1276" i="4"/>
  <c r="BK1285" i="4"/>
  <c r="BM1294" i="4"/>
  <c r="BK1303" i="4"/>
  <c r="BK1312" i="4"/>
  <c r="BM1319" i="4"/>
  <c r="BK1343" i="4"/>
  <c r="BM1349" i="4"/>
  <c r="BK1370" i="4"/>
  <c r="BK1377" i="4"/>
  <c r="BM1383" i="4"/>
  <c r="BK1397" i="4"/>
  <c r="BM1403" i="4"/>
  <c r="BK1424" i="4"/>
  <c r="BK1431" i="4"/>
  <c r="BM1437" i="4"/>
  <c r="BM1425" i="4"/>
  <c r="BK1433" i="4"/>
  <c r="BK882" i="4"/>
  <c r="BM1091" i="4"/>
  <c r="BK1289" i="4"/>
  <c r="BM797" i="4"/>
  <c r="BK1126" i="4"/>
  <c r="BK1307" i="4"/>
  <c r="BK1427" i="4"/>
  <c r="BK815" i="4"/>
  <c r="BK1115" i="4"/>
  <c r="BK1380" i="4"/>
  <c r="BK899" i="4"/>
  <c r="BK1012" i="4"/>
  <c r="BM1264" i="4"/>
  <c r="BK1395" i="4"/>
  <c r="BK377" i="4"/>
  <c r="BM491" i="4"/>
  <c r="BK557" i="4"/>
  <c r="BM622" i="4"/>
  <c r="BK749" i="4"/>
  <c r="BM778" i="4"/>
  <c r="BK930" i="4"/>
  <c r="BK980" i="4"/>
  <c r="BM1017" i="4"/>
  <c r="BM1109" i="4"/>
  <c r="BK1121" i="4"/>
  <c r="BK1132" i="4"/>
  <c r="BK1151" i="4"/>
  <c r="BK1170" i="4"/>
  <c r="BM1180" i="4"/>
  <c r="BM1199" i="4"/>
  <c r="BK1240" i="4"/>
  <c r="BK1259" i="4"/>
  <c r="BK1277" i="4"/>
  <c r="BK1295" i="4"/>
  <c r="BK1320" i="4"/>
  <c r="BM1336" i="4"/>
  <c r="BK1350" i="4"/>
  <c r="BK1357" i="4"/>
  <c r="BM1363" i="4"/>
  <c r="BK1384" i="4"/>
  <c r="BM1390" i="4"/>
  <c r="BK1404" i="4"/>
  <c r="BK1411" i="4"/>
  <c r="BM1417" i="4"/>
  <c r="BM1444" i="4"/>
  <c r="BK1413" i="4"/>
  <c r="BK1204" i="4"/>
  <c r="BK1386" i="4"/>
  <c r="BK1346" i="4"/>
  <c r="BM1339" i="4"/>
  <c r="BK1138" i="4"/>
  <c r="BM119" i="4"/>
  <c r="BK623" i="4"/>
  <c r="BM688" i="4"/>
  <c r="BK779" i="4"/>
  <c r="BM850" i="4"/>
  <c r="BK944" i="4"/>
  <c r="BK993" i="4"/>
  <c r="BM1005" i="4"/>
  <c r="BK1018" i="4"/>
  <c r="BK1030" i="4"/>
  <c r="BK1042" i="4"/>
  <c r="BK1054" i="4"/>
  <c r="BK1066" i="4"/>
  <c r="BK1078" i="4"/>
  <c r="BK1090" i="4"/>
  <c r="BK1162" i="4"/>
  <c r="BK1181" i="4"/>
  <c r="BK1200" i="4"/>
  <c r="BM1210" i="4"/>
  <c r="BM1229" i="4"/>
  <c r="BM1312" i="4"/>
  <c r="BM1329" i="4"/>
  <c r="BK1337" i="4"/>
  <c r="BM1343" i="4"/>
  <c r="BK1364" i="4"/>
  <c r="BK1371" i="4"/>
  <c r="BM1377" i="4"/>
  <c r="BK1391" i="4"/>
  <c r="BM1397" i="4"/>
  <c r="BK1418" i="4"/>
  <c r="BK1425" i="4"/>
  <c r="BM1431" i="4"/>
  <c r="BK1445" i="4"/>
  <c r="BM1411" i="4"/>
  <c r="BM1438" i="4"/>
  <c r="BK1419" i="4"/>
  <c r="BM1439" i="4"/>
  <c r="BK960" i="4"/>
  <c r="BM1163" i="4"/>
  <c r="BM1323" i="4"/>
  <c r="BK1440" i="4"/>
  <c r="BK998" i="4"/>
  <c r="BK1234" i="4"/>
  <c r="BK1373" i="4"/>
  <c r="BM922" i="4"/>
  <c r="BM1223" i="4"/>
  <c r="BM1393" i="4"/>
  <c r="BK816" i="4"/>
  <c r="BM999" i="4"/>
  <c r="BK1291" i="4"/>
  <c r="BM1401" i="4"/>
  <c r="BM492" i="4"/>
  <c r="BK689" i="4"/>
  <c r="BK824" i="4"/>
  <c r="BK851" i="4"/>
  <c r="BK865" i="4"/>
  <c r="BM930" i="4"/>
  <c r="BK1006" i="4"/>
  <c r="BM1121" i="4"/>
  <c r="BM1132" i="4"/>
  <c r="BM1151" i="4"/>
  <c r="BK1192" i="4"/>
  <c r="BK1211" i="4"/>
  <c r="BK1230" i="4"/>
  <c r="BM1240" i="4"/>
  <c r="BM1259" i="4"/>
  <c r="BM1277" i="4"/>
  <c r="BM1295" i="4"/>
  <c r="BK1313" i="4"/>
  <c r="BK1321" i="4"/>
  <c r="BK1330" i="4"/>
  <c r="BK1344" i="4"/>
  <c r="BK1351" i="4"/>
  <c r="BM1357" i="4"/>
  <c r="BK1378" i="4"/>
  <c r="BM1384" i="4"/>
  <c r="BK1398" i="4"/>
  <c r="BK1405" i="4"/>
  <c r="BK1432" i="4"/>
  <c r="BM1445" i="4"/>
  <c r="BM1252" i="4"/>
  <c r="BK1420" i="4"/>
  <c r="BM1331" i="4"/>
  <c r="BM1420" i="4"/>
  <c r="BM1317" i="4"/>
  <c r="BK227" i="4"/>
  <c r="BM478" i="4"/>
  <c r="BM736" i="4"/>
  <c r="BK767" i="4"/>
  <c r="BM892" i="4"/>
  <c r="BK906" i="4"/>
  <c r="BK959" i="4"/>
  <c r="BM1018" i="4"/>
  <c r="BM1030" i="4"/>
  <c r="BM1042" i="4"/>
  <c r="BM1054" i="4"/>
  <c r="BM1066" i="4"/>
  <c r="BM1078" i="4"/>
  <c r="BM1090" i="4"/>
  <c r="BK1102" i="4"/>
  <c r="BK1133" i="4"/>
  <c r="BK1152" i="4"/>
  <c r="BM1162" i="4"/>
  <c r="BM1181" i="4"/>
  <c r="BK1222" i="4"/>
  <c r="BK1241" i="4"/>
  <c r="BK1260" i="4"/>
  <c r="BK1270" i="4"/>
  <c r="BK1278" i="4"/>
  <c r="BK1288" i="4"/>
  <c r="BK1296" i="4"/>
  <c r="BM1305" i="4"/>
  <c r="BM1337" i="4"/>
  <c r="BK1358" i="4"/>
  <c r="BK1365" i="4"/>
  <c r="BM1371" i="4"/>
  <c r="BK1385" i="4"/>
  <c r="BM1391" i="4"/>
  <c r="BK1412" i="4"/>
  <c r="BK1242" i="4"/>
  <c r="BM1193" i="4"/>
  <c r="BK1441" i="4"/>
  <c r="BK1157" i="4"/>
  <c r="BM610" i="4"/>
  <c r="BK737" i="4"/>
  <c r="BM796" i="4"/>
  <c r="BK866" i="4"/>
  <c r="BK946" i="4"/>
  <c r="BK1031" i="4"/>
  <c r="BK1043" i="4"/>
  <c r="BK1055" i="4"/>
  <c r="BK1067" i="4"/>
  <c r="BK1079" i="4"/>
  <c r="BK1091" i="4"/>
  <c r="BK1144" i="4"/>
  <c r="BK1163" i="4"/>
  <c r="BK1182" i="4"/>
  <c r="BM1192" i="4"/>
  <c r="BM1211" i="4"/>
  <c r="BK1252" i="4"/>
  <c r="BK1306" i="4"/>
  <c r="BM1313" i="4"/>
  <c r="BM1330" i="4"/>
  <c r="BK1338" i="4"/>
  <c r="BK1345" i="4"/>
  <c r="BM1351" i="4"/>
  <c r="BK1372" i="4"/>
  <c r="BM1378" i="4"/>
  <c r="BK1392" i="4"/>
  <c r="BK1399" i="4"/>
  <c r="BM1405" i="4"/>
  <c r="BK1426" i="4"/>
  <c r="BM1432" i="4"/>
  <c r="BK1446" i="4"/>
  <c r="BK1212" i="4"/>
  <c r="BK1261" i="4"/>
  <c r="BK1279" i="4"/>
  <c r="BM1288" i="4"/>
  <c r="BK1314" i="4"/>
  <c r="BK1352" i="4"/>
  <c r="BK1359" i="4"/>
  <c r="BK1379" i="4"/>
  <c r="BM1419" i="4"/>
  <c r="BK922" i="4"/>
  <c r="BK1134" i="4"/>
  <c r="BM1345" i="4"/>
  <c r="BM1399" i="4"/>
  <c r="BK973" i="4"/>
  <c r="BM1174" i="4"/>
  <c r="BK1353" i="4"/>
  <c r="BM1433" i="4"/>
  <c r="BK986" i="4"/>
  <c r="BK1175" i="4"/>
  <c r="BK1387" i="4"/>
  <c r="BM71" i="4"/>
  <c r="BM227" i="4"/>
  <c r="BK528" i="4"/>
  <c r="BK611" i="4"/>
  <c r="BM676" i="4"/>
  <c r="BM767" i="4"/>
  <c r="BK797" i="4"/>
  <c r="BM906" i="4"/>
  <c r="BM959" i="4"/>
  <c r="BM1102" i="4"/>
  <c r="BK1114" i="4"/>
  <c r="BM1133" i="4"/>
  <c r="BK1174" i="4"/>
  <c r="BK1193" i="4"/>
  <c r="BM1222" i="4"/>
  <c r="BM1241" i="4"/>
  <c r="BM1270" i="4"/>
  <c r="BK1297" i="4"/>
  <c r="BK1331" i="4"/>
  <c r="BM1365" i="4"/>
  <c r="BK1406" i="4"/>
  <c r="BM840" i="4"/>
  <c r="BK1103" i="4"/>
  <c r="BK1339" i="4"/>
  <c r="BK1447" i="4"/>
  <c r="BM985" i="4"/>
  <c r="BK1253" i="4"/>
  <c r="BK1400" i="4"/>
  <c r="BM882" i="4"/>
  <c r="BM1103" i="4"/>
  <c r="BK1360" i="4"/>
  <c r="BM1447" i="4"/>
  <c r="BM712" i="4"/>
  <c r="BK1096" i="4"/>
  <c r="BM1300" i="4"/>
  <c r="BK1415" i="4"/>
  <c r="BK677" i="4"/>
  <c r="BK1407" i="4"/>
  <c r="BM1204" i="4"/>
  <c r="BK1361" i="4"/>
  <c r="BK59" i="4"/>
  <c r="BM179" i="4"/>
  <c r="BK318" i="4"/>
  <c r="BK335" i="4"/>
  <c r="BM514" i="4"/>
  <c r="BK581" i="4"/>
  <c r="BM664" i="4"/>
  <c r="BM756" i="4"/>
  <c r="BK842" i="4"/>
  <c r="BK883" i="4"/>
  <c r="BK923" i="4"/>
  <c r="BM936" i="4"/>
  <c r="BM973" i="4"/>
  <c r="BK999" i="4"/>
  <c r="BM1023" i="4"/>
  <c r="BM1126" i="4"/>
  <c r="BM1145" i="4"/>
  <c r="BK1186" i="4"/>
  <c r="BK1205" i="4"/>
  <c r="BK1224" i="4"/>
  <c r="BM1234" i="4"/>
  <c r="BM1253" i="4"/>
  <c r="BK1264" i="4"/>
  <c r="BK1272" i="4"/>
  <c r="BK1282" i="4"/>
  <c r="BK1290" i="4"/>
  <c r="BK1300" i="4"/>
  <c r="BM1307" i="4"/>
  <c r="BM1324" i="4"/>
  <c r="BK1340" i="4"/>
  <c r="BK1347" i="4"/>
  <c r="BM1353" i="4"/>
  <c r="BK1367" i="4"/>
  <c r="BM1373" i="4"/>
  <c r="BK1394" i="4"/>
  <c r="BK1401" i="4"/>
  <c r="BM1407" i="4"/>
  <c r="BK1421" i="4"/>
  <c r="BM1427" i="4"/>
  <c r="BK1448" i="4"/>
  <c r="BM454" i="4"/>
  <c r="BM1282" i="4"/>
  <c r="BM1421" i="4"/>
  <c r="BK403" i="4"/>
  <c r="BM468" i="4"/>
  <c r="BK665" i="4"/>
  <c r="BM786" i="4"/>
  <c r="BM815" i="4"/>
  <c r="BM857" i="4"/>
  <c r="BM898" i="4"/>
  <c r="BK937" i="4"/>
  <c r="BK987" i="4"/>
  <c r="BM1011" i="4"/>
  <c r="BK1024" i="4"/>
  <c r="BK1036" i="4"/>
  <c r="BK1048" i="4"/>
  <c r="BK1060" i="4"/>
  <c r="BK1072" i="4"/>
  <c r="BK1084" i="4"/>
  <c r="BM1115" i="4"/>
  <c r="BK1127" i="4"/>
  <c r="BK1146" i="4"/>
  <c r="BM1156" i="4"/>
  <c r="BM1175" i="4"/>
  <c r="BK1216" i="4"/>
  <c r="BK1235" i="4"/>
  <c r="BK1254" i="4"/>
  <c r="BK1308" i="4"/>
  <c r="BK1325" i="4"/>
  <c r="BK1333" i="4"/>
  <c r="BK1354" i="4"/>
  <c r="BM1360" i="4"/>
  <c r="BK1374" i="4"/>
  <c r="BK1381" i="4"/>
  <c r="BM1387" i="4"/>
  <c r="BK1408" i="4"/>
  <c r="BM1414" i="4"/>
  <c r="BK1428" i="4"/>
  <c r="BK1435" i="4"/>
  <c r="BM1441" i="4"/>
  <c r="BM335" i="4"/>
  <c r="BK1341" i="4"/>
  <c r="B51" i="4"/>
  <c r="B39" i="4"/>
  <c r="B52" i="4"/>
  <c r="B53" i="4"/>
  <c r="B40" i="4"/>
  <c r="B54" i="4"/>
  <c r="B55" i="4"/>
  <c r="B41" i="4"/>
  <c r="B56" i="4"/>
  <c r="B48" i="4"/>
  <c r="B57" i="4"/>
  <c r="B42" i="4"/>
  <c r="B58" i="4"/>
  <c r="B59" i="4"/>
  <c r="B43" i="4"/>
  <c r="B60" i="4"/>
  <c r="BN314" i="4" l="1"/>
  <c r="BN254" i="4"/>
  <c r="BN102" i="4"/>
  <c r="BN47" i="4"/>
  <c r="BN205" i="4"/>
  <c r="BN114" i="4"/>
  <c r="BN752" i="4"/>
  <c r="BN138" i="4"/>
  <c r="BN96" i="4"/>
  <c r="BN132" i="4"/>
  <c r="BN241" i="4"/>
  <c r="BN126" i="4"/>
  <c r="BN120" i="4"/>
  <c r="BN90" i="4"/>
  <c r="BN144" i="4"/>
  <c r="BN36" i="4"/>
  <c r="Z40" i="4"/>
  <c r="BN108" i="4"/>
  <c r="BN135" i="4"/>
  <c r="BN897" i="4"/>
  <c r="BN71" i="4"/>
  <c r="BN59" i="4"/>
  <c r="BN167" i="4"/>
  <c r="BN355" i="4"/>
  <c r="BN746" i="4"/>
  <c r="BN529" i="4"/>
  <c r="BN113" i="4"/>
  <c r="BN202" i="4"/>
  <c r="BN80" i="4"/>
  <c r="BN79" i="4"/>
  <c r="BN101" i="4"/>
  <c r="BN129" i="4"/>
  <c r="BN156" i="4"/>
  <c r="BN48" i="4"/>
  <c r="BN806" i="4"/>
  <c r="BN1411" i="4"/>
  <c r="BN88" i="4"/>
  <c r="BN168" i="4"/>
  <c r="BN60" i="4"/>
  <c r="BN596" i="4"/>
  <c r="BN572" i="4"/>
  <c r="BN72" i="4"/>
  <c r="BN150" i="4"/>
  <c r="BN42" i="4"/>
  <c r="BN1168" i="4"/>
  <c r="BN491" i="4"/>
  <c r="BN1076" i="4"/>
  <c r="BN119" i="4"/>
  <c r="BN155" i="4"/>
  <c r="BN162" i="4"/>
  <c r="BN54" i="4"/>
  <c r="V40" i="4"/>
  <c r="BN107" i="4"/>
  <c r="BN77" i="4"/>
  <c r="BN70" i="4"/>
  <c r="BN170" i="4"/>
  <c r="BN62" i="4"/>
  <c r="BN169" i="4"/>
  <c r="BN61" i="4"/>
  <c r="BN82" i="4"/>
  <c r="BN95" i="4"/>
  <c r="BN123" i="4"/>
  <c r="BN130" i="4"/>
  <c r="BN161" i="4"/>
  <c r="BN117" i="4"/>
  <c r="BN65" i="4"/>
  <c r="BN111" i="4"/>
  <c r="BN53" i="4"/>
  <c r="BN166" i="4"/>
  <c r="BN105" i="4"/>
  <c r="BN99" i="4"/>
  <c r="BN154" i="4"/>
  <c r="BN46" i="4"/>
  <c r="BN142" i="4"/>
  <c r="BN136" i="4"/>
  <c r="BN127" i="4"/>
  <c r="BN78" i="4"/>
  <c r="BN173" i="4"/>
  <c r="BN83" i="4"/>
  <c r="BN74" i="4"/>
  <c r="BN73" i="4"/>
  <c r="BN89" i="4"/>
  <c r="BN76" i="4"/>
  <c r="BN68" i="4"/>
  <c r="BN175" i="4"/>
  <c r="BN67" i="4"/>
  <c r="BN172" i="4"/>
  <c r="BN64" i="4"/>
  <c r="BN164" i="4"/>
  <c r="BN56" i="4"/>
  <c r="BN163" i="4"/>
  <c r="BN55" i="4"/>
  <c r="BN58" i="4"/>
  <c r="BN158" i="4"/>
  <c r="BN50" i="4"/>
  <c r="BN157" i="4"/>
  <c r="BN49" i="4"/>
  <c r="BN41" i="4"/>
  <c r="BN160" i="4"/>
  <c r="BN52" i="4"/>
  <c r="BN152" i="4"/>
  <c r="BN44" i="4"/>
  <c r="BN151" i="4"/>
  <c r="BN43" i="4"/>
  <c r="BN93" i="4"/>
  <c r="BN146" i="4"/>
  <c r="BN38" i="4"/>
  <c r="BN145" i="4"/>
  <c r="BN37" i="4"/>
  <c r="BN148" i="4"/>
  <c r="BN40" i="4"/>
  <c r="BN87" i="4"/>
  <c r="BN140" i="4"/>
  <c r="BN32" i="4"/>
  <c r="BN139" i="4"/>
  <c r="BN31" i="4"/>
  <c r="BN34" i="4"/>
  <c r="BN81" i="4"/>
  <c r="BN134" i="4"/>
  <c r="BN133" i="4"/>
  <c r="BN84" i="4"/>
  <c r="BN75" i="4"/>
  <c r="BN128" i="4"/>
  <c r="BN69" i="4"/>
  <c r="BN122" i="4"/>
  <c r="BN121" i="4"/>
  <c r="BN124" i="4"/>
  <c r="BN171" i="4"/>
  <c r="BN63" i="4"/>
  <c r="BN116" i="4"/>
  <c r="BN115" i="4"/>
  <c r="BN143" i="4"/>
  <c r="BN174" i="4"/>
  <c r="BN66" i="4"/>
  <c r="BN118" i="4"/>
  <c r="BN165" i="4"/>
  <c r="BN57" i="4"/>
  <c r="BN110" i="4"/>
  <c r="BN109" i="4"/>
  <c r="BN112" i="4"/>
  <c r="BN159" i="4"/>
  <c r="BN51" i="4"/>
  <c r="BN104" i="4"/>
  <c r="BN103" i="4"/>
  <c r="BN131" i="4"/>
  <c r="BN35" i="4"/>
  <c r="BN149" i="4"/>
  <c r="BN106" i="4"/>
  <c r="BN153" i="4"/>
  <c r="BN45" i="4"/>
  <c r="BN98" i="4"/>
  <c r="BN97" i="4"/>
  <c r="BN137" i="4"/>
  <c r="BN100" i="4"/>
  <c r="BN147" i="4"/>
  <c r="BN39" i="4"/>
  <c r="BN92" i="4"/>
  <c r="BN91" i="4"/>
  <c r="BN125" i="4"/>
  <c r="BN94" i="4"/>
  <c r="BN141" i="4"/>
  <c r="BN33" i="4"/>
  <c r="BN86" i="4"/>
  <c r="BN85" i="4"/>
  <c r="BN496" i="4"/>
  <c r="BN1306" i="4"/>
  <c r="BN1172" i="4"/>
  <c r="BN415" i="4"/>
  <c r="BN837" i="4"/>
  <c r="BN685" i="4"/>
  <c r="BN432" i="4"/>
  <c r="BN1345" i="4"/>
  <c r="BN650" i="4"/>
  <c r="BN1293" i="4"/>
  <c r="BN271" i="4"/>
  <c r="BN602" i="4"/>
  <c r="BN387" i="4"/>
  <c r="BN1441" i="4"/>
  <c r="BN1429" i="4"/>
  <c r="BN23" i="4"/>
  <c r="W40" i="4"/>
  <c r="BN771" i="4"/>
  <c r="BN292" i="4"/>
  <c r="BN1192" i="4"/>
  <c r="BN280" i="4"/>
  <c r="BN1097" i="4"/>
  <c r="BN524" i="4"/>
  <c r="BN392" i="4"/>
  <c r="BN1269" i="4"/>
  <c r="BN1102" i="4"/>
  <c r="BN312" i="4"/>
  <c r="BN1117" i="4"/>
  <c r="BN856" i="4"/>
  <c r="BN586" i="4"/>
  <c r="BN743" i="4"/>
  <c r="BN1187" i="4"/>
  <c r="BN1081" i="4"/>
  <c r="BN1319" i="4"/>
  <c r="BN459" i="4"/>
  <c r="BN939" i="4"/>
  <c r="BN700" i="4"/>
  <c r="BN591" i="4"/>
  <c r="Y40" i="4"/>
  <c r="T40" i="4"/>
  <c r="BN884" i="4"/>
  <c r="BN667" i="4"/>
  <c r="BN558" i="4"/>
  <c r="BN562" i="4"/>
  <c r="BN983" i="4"/>
  <c r="BN1072" i="4"/>
  <c r="BN1029" i="4"/>
  <c r="BN728" i="4"/>
  <c r="U40" i="4"/>
  <c r="BN968" i="4"/>
  <c r="X40" i="4"/>
  <c r="S40" i="4"/>
  <c r="BN702" i="4"/>
  <c r="BN228" i="4"/>
  <c r="BN803" i="4"/>
  <c r="BN1228" i="4"/>
  <c r="BN477" i="4"/>
  <c r="BN695" i="4"/>
  <c r="BN981" i="4"/>
  <c r="BN1108" i="4"/>
  <c r="BN1298" i="4"/>
  <c r="BN1408" i="4"/>
  <c r="AA40" i="4"/>
  <c r="BN576" i="4"/>
  <c r="BN323" i="4"/>
  <c r="BN993" i="4"/>
  <c r="BN1361" i="4"/>
  <c r="BN1223" i="4"/>
  <c r="BN1122" i="4"/>
  <c r="BN767" i="4"/>
  <c r="BN1157" i="4"/>
  <c r="BN1120" i="4"/>
  <c r="BN1127" i="4"/>
  <c r="BN1035" i="4"/>
  <c r="BN1335" i="4"/>
  <c r="BN541" i="4"/>
  <c r="BN868" i="4"/>
  <c r="BN337" i="4"/>
  <c r="BN781" i="4"/>
  <c r="BN291" i="4"/>
  <c r="BN1050" i="4"/>
  <c r="BN1450" i="4"/>
  <c r="BN1382" i="4"/>
  <c r="BN1331" i="4"/>
  <c r="BN811" i="4"/>
  <c r="BN1328" i="4"/>
  <c r="BN1112" i="4"/>
  <c r="BN232" i="4"/>
  <c r="BN966" i="4"/>
  <c r="BN275" i="4"/>
  <c r="BN816" i="4"/>
  <c r="BN1007" i="4"/>
  <c r="BN335" i="4"/>
  <c r="BN796" i="4"/>
  <c r="BN511" i="4"/>
  <c r="BN527" i="4"/>
  <c r="BN1001" i="4"/>
  <c r="BN1259" i="4"/>
  <c r="BN1264" i="4"/>
  <c r="BN951" i="4"/>
  <c r="BN1162" i="4"/>
  <c r="BN1340" i="4"/>
  <c r="BN724" i="4"/>
  <c r="BN1137" i="4"/>
  <c r="BN641" i="4"/>
  <c r="BN179" i="4"/>
  <c r="BN1133" i="4"/>
  <c r="BN1392" i="4"/>
  <c r="BN956" i="4"/>
  <c r="BN520" i="4"/>
  <c r="BN929" i="4"/>
  <c r="BN1200" i="4"/>
  <c r="BN866" i="4"/>
  <c r="BN445" i="4"/>
  <c r="BN30" i="4"/>
  <c r="BN214" i="4"/>
  <c r="BN625" i="4"/>
  <c r="BN681" i="4"/>
  <c r="BN776" i="4"/>
  <c r="BN499" i="4"/>
  <c r="BN504" i="4"/>
  <c r="BN627" i="4"/>
  <c r="BN1145" i="4"/>
  <c r="BN1202" i="4"/>
  <c r="BN483" i="4"/>
  <c r="BN369" i="4"/>
  <c r="BN420" i="4"/>
  <c r="BN886" i="4"/>
  <c r="BN257" i="4"/>
  <c r="BN328" i="4"/>
  <c r="BN440" i="4"/>
  <c r="BN614" i="4"/>
  <c r="BN404" i="4"/>
  <c r="BN665" i="4"/>
  <c r="BN1099" i="4"/>
  <c r="BN1290" i="4"/>
  <c r="BN823" i="4"/>
  <c r="BN931" i="4"/>
  <c r="BN859" i="4"/>
  <c r="BN1077" i="4"/>
  <c r="BN1140" i="4"/>
  <c r="BN1085" i="4"/>
  <c r="BN1278" i="4"/>
  <c r="BN1182" i="4"/>
  <c r="BN333" i="4"/>
  <c r="BN259" i="4"/>
  <c r="BN449" i="4"/>
  <c r="BN218" i="4"/>
  <c r="BN341" i="4"/>
  <c r="BN187" i="4"/>
  <c r="BN581" i="4"/>
  <c r="BN759" i="4"/>
  <c r="BN546" i="4"/>
  <c r="BN532" i="4"/>
  <c r="BN828" i="4"/>
  <c r="BN905" i="4"/>
  <c r="BN1107" i="4"/>
  <c r="BN1087" i="4"/>
  <c r="BN1351" i="4"/>
  <c r="BN1250" i="4"/>
  <c r="BN1185" i="4"/>
  <c r="BN1405" i="4"/>
  <c r="BN1348" i="4"/>
  <c r="BN1390" i="4"/>
  <c r="BN646" i="4"/>
  <c r="BN1255" i="4"/>
  <c r="BN1115" i="4"/>
  <c r="BN384" i="4"/>
  <c r="BN976" i="4"/>
  <c r="BN238" i="4"/>
  <c r="BN1225" i="4"/>
  <c r="BN748" i="4"/>
  <c r="BN769" i="4"/>
  <c r="BN549" i="4"/>
  <c r="BN534" i="4"/>
  <c r="BN543" i="4"/>
  <c r="BN635" i="4"/>
  <c r="BN193" i="4"/>
  <c r="BN364" i="4"/>
  <c r="BN435" i="4"/>
  <c r="BN196" i="4"/>
  <c r="BN697" i="4"/>
  <c r="BN465" i="4"/>
  <c r="BN262" i="4"/>
  <c r="BN424" i="4"/>
  <c r="BN913" i="4"/>
  <c r="BN1002" i="4"/>
  <c r="BN749" i="4"/>
  <c r="BN1031" i="4"/>
  <c r="BN835" i="4"/>
  <c r="BN1055" i="4"/>
  <c r="BN1215" i="4"/>
  <c r="BN1363" i="4"/>
  <c r="BN1023" i="4"/>
  <c r="BN1333" i="4"/>
  <c r="BN1339" i="4"/>
  <c r="BN398" i="4"/>
  <c r="BN689" i="4"/>
  <c r="BN649" i="4"/>
  <c r="BN727" i="4"/>
  <c r="BN1220" i="4"/>
  <c r="BN1105" i="4"/>
  <c r="BN412" i="4"/>
  <c r="BN198" i="4"/>
  <c r="BN482" i="4"/>
  <c r="BN300" i="4"/>
  <c r="BN1371" i="4"/>
  <c r="BN852" i="4"/>
  <c r="BN1058" i="4"/>
  <c r="BN1067" i="4"/>
  <c r="BN794" i="4"/>
  <c r="BN714" i="4"/>
  <c r="BN27" i="4"/>
  <c r="BN1446" i="4"/>
  <c r="BN1342" i="4"/>
  <c r="BN318" i="4"/>
  <c r="BN270" i="4"/>
  <c r="BN680" i="4"/>
  <c r="BN822" i="4"/>
  <c r="BN434" i="4"/>
  <c r="BN676" i="4"/>
  <c r="BN1430" i="4"/>
  <c r="BN296" i="4"/>
  <c r="BN427" i="4"/>
  <c r="BN506" i="4"/>
  <c r="BN351" i="4"/>
  <c r="BN182" i="4"/>
  <c r="BN992" i="4"/>
  <c r="BN876" i="4"/>
  <c r="BN974" i="4"/>
  <c r="BN902" i="4"/>
  <c r="BN643" i="4"/>
  <c r="BN1147" i="4"/>
  <c r="BN1041" i="4"/>
  <c r="BN1295" i="4"/>
  <c r="BN1197" i="4"/>
  <c r="BN1357" i="4"/>
  <c r="BN184" i="4"/>
  <c r="BN406" i="4"/>
  <c r="BN656" i="4"/>
  <c r="BN243" i="4"/>
  <c r="BN1434" i="4"/>
  <c r="BN789" i="4"/>
  <c r="BN1366" i="4"/>
  <c r="BN1274" i="4"/>
  <c r="BN1326" i="4"/>
  <c r="BN20" i="4"/>
  <c r="BN248" i="4"/>
  <c r="BN846" i="4"/>
  <c r="BN610" i="4"/>
  <c r="BN819" i="4"/>
  <c r="BN1179" i="4"/>
  <c r="BN1376" i="4"/>
  <c r="BN1194" i="4"/>
  <c r="BN928" i="4"/>
  <c r="BN472" i="4"/>
  <c r="BN548" i="4"/>
  <c r="BN757" i="4"/>
  <c r="BN463" i="4"/>
  <c r="BN622" i="4"/>
  <c r="BN453" i="4"/>
  <c r="BN234" i="4"/>
  <c r="BN363" i="4"/>
  <c r="BN1338" i="4"/>
  <c r="BN1075" i="4"/>
  <c r="BN1318" i="4"/>
  <c r="BN918" i="4"/>
  <c r="BN559" i="4"/>
  <c r="BN990" i="4"/>
  <c r="BN1320" i="4"/>
  <c r="BN530" i="4"/>
  <c r="BN319" i="4"/>
  <c r="BN278" i="4"/>
  <c r="BN574" i="4"/>
  <c r="BN880" i="4"/>
  <c r="BN964" i="4"/>
  <c r="BN1260" i="4"/>
  <c r="BN1455" i="4"/>
  <c r="BN177" i="4"/>
  <c r="BN1397" i="4"/>
  <c r="BN1454" i="4"/>
  <c r="BN1142" i="4"/>
  <c r="BN810" i="4"/>
  <c r="BN397" i="4"/>
  <c r="BN851" i="4"/>
  <c r="BN1330" i="4"/>
  <c r="BN662" i="4"/>
  <c r="BN264" i="4"/>
  <c r="BN942" i="4"/>
  <c r="BN607" i="4"/>
  <c r="BN831" i="4"/>
  <c r="BN693" i="4"/>
  <c r="BN1367" i="4"/>
  <c r="BN826" i="4"/>
  <c r="BN372" i="4"/>
  <c r="BN996" i="4"/>
  <c r="BN1413" i="4"/>
  <c r="BN1252" i="4"/>
  <c r="BN765" i="4"/>
  <c r="BN644" i="4"/>
  <c r="BN934" i="4"/>
  <c r="BN1010" i="4"/>
  <c r="BN448" i="4"/>
  <c r="BN1178" i="4"/>
  <c r="BN1166" i="4"/>
  <c r="BN12" i="4"/>
  <c r="BN282" i="4"/>
  <c r="BN256" i="4"/>
  <c r="BN454" i="4"/>
  <c r="BN569" i="4"/>
  <c r="BN266" i="4"/>
  <c r="BN721" i="4"/>
  <c r="BN863" i="4"/>
  <c r="BN1425" i="4"/>
  <c r="BN1155" i="4"/>
  <c r="BN1288" i="4"/>
  <c r="BN612" i="4"/>
  <c r="BN442" i="4"/>
  <c r="BN801" i="4"/>
  <c r="BN1148" i="4"/>
  <c r="BN347" i="4"/>
  <c r="BN224" i="4"/>
  <c r="BN1095" i="4"/>
  <c r="BN498" i="4"/>
  <c r="BN638" i="4"/>
  <c r="BN652" i="4"/>
  <c r="BN1083" i="4"/>
  <c r="BN1033" i="4"/>
  <c r="BN1236" i="4"/>
  <c r="BN1207" i="4"/>
  <c r="BN321" i="4"/>
  <c r="BN331" i="4"/>
  <c r="BN518" i="4"/>
  <c r="BN382" i="4"/>
  <c r="BN523" i="4"/>
  <c r="BN438" i="4"/>
  <c r="BN994" i="4"/>
  <c r="BN1016" i="4"/>
  <c r="BN944" i="4"/>
  <c r="BN1310" i="4"/>
  <c r="BN1038" i="4"/>
  <c r="BN1281" i="4"/>
  <c r="BN1395" i="4"/>
  <c r="BN1131" i="4"/>
  <c r="BN458" i="4"/>
  <c r="BN1028" i="4"/>
  <c r="BN1045" i="4"/>
  <c r="BN1165" i="4"/>
  <c r="BN456" i="4"/>
  <c r="BN668" i="4"/>
  <c r="BN707" i="4"/>
  <c r="BN344" i="4"/>
  <c r="BN1012" i="4"/>
  <c r="BN414" i="4"/>
  <c r="BN368" i="4"/>
  <c r="BN585" i="4"/>
  <c r="BN1089" i="4"/>
  <c r="BN1057" i="4"/>
  <c r="BN1209" i="4"/>
  <c r="BN220" i="4"/>
  <c r="BN444" i="4"/>
  <c r="BN589" i="4"/>
  <c r="BN923" i="4"/>
  <c r="BN1042" i="4"/>
  <c r="BN1198" i="4"/>
  <c r="BN468" i="4"/>
  <c r="BN287" i="4"/>
  <c r="BN236" i="4"/>
  <c r="BN609" i="4"/>
  <c r="BN555" i="4"/>
  <c r="BN390" i="4"/>
  <c r="BN1323" i="4"/>
  <c r="BN843" i="4"/>
  <c r="BN1048" i="4"/>
  <c r="BN916" i="4"/>
  <c r="BN1284" i="4"/>
  <c r="BN1372" i="4"/>
  <c r="BN1426" i="4"/>
  <c r="BN950" i="4"/>
  <c r="BN1364" i="4"/>
  <c r="BN1272" i="4"/>
  <c r="BN1232" i="4"/>
  <c r="BN1439" i="4"/>
  <c r="BN525" i="4"/>
  <c r="BN946" i="4"/>
  <c r="BN861" i="4"/>
  <c r="BN663" i="4"/>
  <c r="BN772" i="4"/>
  <c r="BN17" i="4"/>
  <c r="BN14" i="4"/>
  <c r="BN216" i="4"/>
  <c r="BN841" i="4"/>
  <c r="BN325" i="4"/>
  <c r="BN332" i="4"/>
  <c r="BN267" i="4"/>
  <c r="BN407" i="4"/>
  <c r="BN374" i="4"/>
  <c r="BN735" i="4"/>
  <c r="BN210" i="4"/>
  <c r="BN601" i="4"/>
  <c r="BN957" i="4"/>
  <c r="BN617" i="4"/>
  <c r="BN871" i="4"/>
  <c r="BN473" i="4"/>
  <c r="BN674" i="4"/>
  <c r="BN593" i="4"/>
  <c r="BN940" i="4"/>
  <c r="BN469" i="4"/>
  <c r="BN579" i="4"/>
  <c r="BN653" i="4"/>
  <c r="BN791" i="4"/>
  <c r="BN349" i="4"/>
  <c r="BN800" i="4"/>
  <c r="BN711" i="4"/>
  <c r="BN682" i="4"/>
  <c r="BN611" i="4"/>
  <c r="BN1253" i="4"/>
  <c r="BN1152" i="4"/>
  <c r="BN782" i="4"/>
  <c r="BN924" i="4"/>
  <c r="BN678" i="4"/>
  <c r="BN892" i="4"/>
  <c r="BN971" i="4"/>
  <c r="BN959" i="4"/>
  <c r="BN634" i="4"/>
  <c r="BN740" i="4"/>
  <c r="BN1003" i="4"/>
  <c r="BN873" i="4"/>
  <c r="BN755" i="4"/>
  <c r="BN1324" i="4"/>
  <c r="BN889" i="4"/>
  <c r="BN820" i="4"/>
  <c r="BN1435" i="4"/>
  <c r="BN1265" i="4"/>
  <c r="BN1316" i="4"/>
  <c r="BN1241" i="4"/>
  <c r="BN1416" i="4"/>
  <c r="BN1125" i="4"/>
  <c r="BN1237" i="4"/>
  <c r="BN1060" i="4"/>
  <c r="BN1303" i="4"/>
  <c r="BN986" i="4"/>
  <c r="BN1248" i="4"/>
  <c r="BN1444" i="4"/>
  <c r="BN1421" i="4"/>
  <c r="BN239" i="4"/>
  <c r="BN342" i="4"/>
  <c r="BN29" i="4"/>
  <c r="BN301" i="4"/>
  <c r="BN338" i="4"/>
  <c r="BN277" i="4"/>
  <c r="BN304" i="4"/>
  <c r="BN176" i="4"/>
  <c r="BN421" i="4"/>
  <c r="BN658" i="4"/>
  <c r="BN963" i="4"/>
  <c r="BN565" i="4"/>
  <c r="BN570" i="4"/>
  <c r="BN551" i="4"/>
  <c r="BN294" i="4"/>
  <c r="BN480" i="4"/>
  <c r="BN705" i="4"/>
  <c r="BN345" i="4"/>
  <c r="BN485" i="4"/>
  <c r="BN787" i="4"/>
  <c r="BN935" i="4"/>
  <c r="BN903" i="4"/>
  <c r="BN730" i="4"/>
  <c r="BN977" i="4"/>
  <c r="BN1017" i="4"/>
  <c r="BN878" i="4"/>
  <c r="BN760" i="4"/>
  <c r="BN906" i="4"/>
  <c r="BN825" i="4"/>
  <c r="BN979" i="4"/>
  <c r="BN1393" i="4"/>
  <c r="BN1451" i="4"/>
  <c r="BN1270" i="4"/>
  <c r="BN1205" i="4"/>
  <c r="BN1246" i="4"/>
  <c r="BN1374" i="4"/>
  <c r="BN1009" i="4"/>
  <c r="BN1130" i="4"/>
  <c r="BN1065" i="4"/>
  <c r="BN1308" i="4"/>
  <c r="BN1258" i="4"/>
  <c r="BN870" i="4"/>
  <c r="BN13" i="4"/>
  <c r="BN324" i="4"/>
  <c r="BN370" i="4"/>
  <c r="BN690" i="4"/>
  <c r="BN309" i="4"/>
  <c r="BN429" i="4"/>
  <c r="BN639" i="4"/>
  <c r="BN619" i="4"/>
  <c r="BN604" i="4"/>
  <c r="BN738" i="4"/>
  <c r="BN359" i="4"/>
  <c r="BN410" i="4"/>
  <c r="BN606" i="4"/>
  <c r="BN687" i="4"/>
  <c r="BN764" i="4"/>
  <c r="BN1025" i="4"/>
  <c r="BN779" i="4"/>
  <c r="BN943" i="4"/>
  <c r="BN1388" i="4"/>
  <c r="BN900" i="4"/>
  <c r="BN895" i="4"/>
  <c r="BN830" i="4"/>
  <c r="BN1158" i="4"/>
  <c r="BN1210" i="4"/>
  <c r="BN1251" i="4"/>
  <c r="BN1221" i="4"/>
  <c r="BN1135" i="4"/>
  <c r="BN1263" i="4"/>
  <c r="BN25" i="4"/>
  <c r="BN949" i="4"/>
  <c r="BN1078" i="4"/>
  <c r="BN1321" i="4"/>
  <c r="BN1256" i="4"/>
  <c r="BN1231" i="4"/>
  <c r="BN1437" i="4"/>
  <c r="BN647" i="4"/>
  <c r="BN276" i="4"/>
  <c r="BN725" i="4"/>
  <c r="BN915" i="4"/>
  <c r="BN732" i="4"/>
  <c r="BN1279" i="4"/>
  <c r="BN1419" i="4"/>
  <c r="BN1384" i="4"/>
  <c r="BN1110" i="4"/>
  <c r="BN1354" i="4"/>
  <c r="BN1151" i="4"/>
  <c r="BN1217" i="4"/>
  <c r="BN189" i="4"/>
  <c r="BN244" i="4"/>
  <c r="BN684" i="4"/>
  <c r="BN850" i="4"/>
  <c r="BN1289" i="4"/>
  <c r="BN1424" i="4"/>
  <c r="BN1235" i="4"/>
  <c r="BN1160" i="4"/>
  <c r="BN188" i="4"/>
  <c r="BN563" i="4"/>
  <c r="BN362" i="4"/>
  <c r="BN809" i="4"/>
  <c r="BN307" i="4"/>
  <c r="BN212" i="4"/>
  <c r="BN672" i="4"/>
  <c r="BN578" i="4"/>
  <c r="BN691" i="4"/>
  <c r="BN790" i="4"/>
  <c r="BN376" i="4"/>
  <c r="BN512" i="4"/>
  <c r="BN536" i="4"/>
  <c r="BN722" i="4"/>
  <c r="BN631" i="4"/>
  <c r="BN261" i="4"/>
  <c r="BN600" i="4"/>
  <c r="BN912" i="4"/>
  <c r="BN354" i="4"/>
  <c r="BN848" i="4"/>
  <c r="BN299" i="4"/>
  <c r="BN677" i="4"/>
  <c r="BN832" i="4"/>
  <c r="BN633" i="4"/>
  <c r="BN739" i="4"/>
  <c r="BN793" i="4"/>
  <c r="BN670" i="4"/>
  <c r="BN838" i="4"/>
  <c r="BN937" i="4"/>
  <c r="BN814" i="4"/>
  <c r="BN1103" i="4"/>
  <c r="BN834" i="4"/>
  <c r="BN751" i="4"/>
  <c r="BN998" i="4"/>
  <c r="BN718" i="4"/>
  <c r="BN1183" i="4"/>
  <c r="BN1239" i="4"/>
  <c r="BN1214" i="4"/>
  <c r="BN1352" i="4"/>
  <c r="BN1129" i="4"/>
  <c r="BN1302" i="4"/>
  <c r="BN1054" i="4"/>
  <c r="BN1297" i="4"/>
  <c r="BN1380" i="4"/>
  <c r="BN1370" i="4"/>
  <c r="BN1116" i="4"/>
  <c r="BN864" i="4"/>
  <c r="BN1101" i="4"/>
  <c r="BN226" i="4"/>
  <c r="BN1407" i="4"/>
  <c r="BN235" i="4"/>
  <c r="BN286" i="4"/>
  <c r="BN1027" i="4"/>
  <c r="BN250" i="4"/>
  <c r="BN245" i="4"/>
  <c r="BN539" i="4"/>
  <c r="BN288" i="4"/>
  <c r="BN587" i="4"/>
  <c r="BN514" i="4"/>
  <c r="BN762" i="4"/>
  <c r="BN786" i="4"/>
  <c r="BN567" i="4"/>
  <c r="BN399" i="4"/>
  <c r="BN284" i="4"/>
  <c r="BN509" i="4"/>
  <c r="BN887" i="4"/>
  <c r="BN909" i="4"/>
  <c r="BN1093" i="4"/>
  <c r="BN1336" i="4"/>
  <c r="BN1046" i="4"/>
  <c r="BN839" i="4"/>
  <c r="BN775" i="4"/>
  <c r="BN961" i="4"/>
  <c r="BN1020" i="4"/>
  <c r="BN1275" i="4"/>
  <c r="BN1346" i="4"/>
  <c r="BN1378" i="4"/>
  <c r="BN1368" i="4"/>
  <c r="BN1144" i="4"/>
  <c r="BN1190" i="4"/>
  <c r="BN1401" i="4"/>
  <c r="BN1070" i="4"/>
  <c r="BN1313" i="4"/>
  <c r="BN1212" i="4"/>
  <c r="BN1386" i="4"/>
  <c r="BN1136" i="4"/>
  <c r="BN260" i="4"/>
  <c r="BN208" i="4"/>
  <c r="BN252" i="4"/>
  <c r="BN657" i="4"/>
  <c r="BN489" i="4"/>
  <c r="BN621" i="4"/>
  <c r="BN1063" i="4"/>
  <c r="BN1091" i="4"/>
  <c r="BN734" i="4"/>
  <c r="BN854" i="4"/>
  <c r="BN1327" i="4"/>
  <c r="BN1227" i="4"/>
  <c r="BN1433" i="4"/>
  <c r="BN1177" i="4"/>
  <c r="BN15" i="4"/>
  <c r="BN18" i="4"/>
  <c r="BN24" i="4"/>
  <c r="BN26" i="4"/>
  <c r="BN492" i="4"/>
  <c r="BN1304" i="4"/>
  <c r="BN879" i="4"/>
  <c r="BN1163" i="4"/>
  <c r="BN783" i="4"/>
  <c r="BN474" i="4"/>
  <c r="BN953" i="4"/>
  <c r="BN972" i="4"/>
  <c r="BN573" i="4"/>
  <c r="BN1299" i="4"/>
  <c r="BN797" i="4"/>
  <c r="BN784" i="4"/>
  <c r="BN1285" i="4"/>
  <c r="BN1300" i="4"/>
  <c r="BN1169" i="4"/>
  <c r="BN597" i="4"/>
  <c r="BN326" i="4"/>
  <c r="BN408" i="4"/>
  <c r="BN987" i="4"/>
  <c r="BN969" i="4"/>
  <c r="BN842" i="4"/>
  <c r="BN272" i="4"/>
  <c r="BN441" i="4"/>
  <c r="BN592" i="4"/>
  <c r="BN327" i="4"/>
  <c r="BN493" i="4"/>
  <c r="BN594" i="4"/>
  <c r="BN575" i="4"/>
  <c r="BN812" i="4"/>
  <c r="BN773" i="4"/>
  <c r="BN1079" i="4"/>
  <c r="BN1153" i="4"/>
  <c r="BN215" i="4"/>
  <c r="BN416" i="4"/>
  <c r="BN947" i="4"/>
  <c r="BN560" i="4"/>
  <c r="BN199" i="4"/>
  <c r="BN425" i="4"/>
  <c r="BN422" i="4"/>
  <c r="BN21" i="4"/>
  <c r="BN206" i="4"/>
  <c r="BN197" i="4"/>
  <c r="BN221" i="4"/>
  <c r="BN844" i="4"/>
  <c r="BN613" i="4"/>
  <c r="BN417" i="4"/>
  <c r="BN356" i="4"/>
  <c r="BN393" i="4"/>
  <c r="BN464" i="4"/>
  <c r="BN598" i="4"/>
  <c r="BN494" i="4"/>
  <c r="BN595" i="4"/>
  <c r="BN180" i="4"/>
  <c r="BN329" i="4"/>
  <c r="BN178" i="4"/>
  <c r="BN229" i="4"/>
  <c r="BN305" i="4"/>
  <c r="BN500" i="4"/>
  <c r="BN446" i="4"/>
  <c r="BN659" i="4"/>
  <c r="BN952" i="4"/>
  <c r="BN388" i="4"/>
  <c r="BN785" i="4"/>
  <c r="BN660" i="4"/>
  <c r="BN914" i="4"/>
  <c r="BN1203" i="4"/>
  <c r="BN1047" i="4"/>
  <c r="BN761" i="4"/>
  <c r="BN1230" i="4"/>
  <c r="BN1291" i="4"/>
  <c r="BN1436" i="4"/>
  <c r="BN1385" i="4"/>
  <c r="BN1216" i="4"/>
  <c r="BN932" i="4"/>
  <c r="BN225" i="4"/>
  <c r="BN302" i="4"/>
  <c r="BN303" i="4"/>
  <c r="BN222" i="4"/>
  <c r="BN251" i="4"/>
  <c r="BN352" i="4"/>
  <c r="BN394" i="4"/>
  <c r="BN577" i="4"/>
  <c r="BN623" i="4"/>
  <c r="BN881" i="4"/>
  <c r="BN564" i="4"/>
  <c r="BN630" i="4"/>
  <c r="BN436" i="4"/>
  <c r="BN620" i="4"/>
  <c r="BN508" i="4"/>
  <c r="BN698" i="4"/>
  <c r="BN308" i="4"/>
  <c r="BN461" i="4"/>
  <c r="BN860" i="4"/>
  <c r="BN571" i="4"/>
  <c r="BN753" i="4"/>
  <c r="BN1383" i="4"/>
  <c r="BN1109" i="4"/>
  <c r="BN1243" i="4"/>
  <c r="BN936" i="4"/>
  <c r="BN948" i="4"/>
  <c r="BN853" i="4"/>
  <c r="BN921" i="4"/>
  <c r="BN736" i="4"/>
  <c r="BN869" i="4"/>
  <c r="BN1062" i="4"/>
  <c r="BN1138" i="4"/>
  <c r="BN1420" i="4"/>
  <c r="BN1240" i="4"/>
  <c r="BN1296" i="4"/>
  <c r="BN1150" i="4"/>
  <c r="BN1226" i="4"/>
  <c r="BN1019" i="4"/>
  <c r="BN1257" i="4"/>
  <c r="BN1422" i="4"/>
  <c r="BN1090" i="4"/>
  <c r="BN1283" i="4"/>
  <c r="BN211" i="4"/>
  <c r="BN515" i="4"/>
  <c r="BN297" i="4"/>
  <c r="BN401" i="4"/>
  <c r="BN268" i="4"/>
  <c r="BN962" i="4"/>
  <c r="BN450" i="4"/>
  <c r="BN418" i="4"/>
  <c r="BN537" i="4"/>
  <c r="BN428" i="4"/>
  <c r="BN671" i="4"/>
  <c r="BN322" i="4"/>
  <c r="BN466" i="4"/>
  <c r="BN373" i="4"/>
  <c r="BN777" i="4"/>
  <c r="BN1098" i="4"/>
  <c r="BN1128" i="4"/>
  <c r="BN908" i="4"/>
  <c r="BN669" i="4"/>
  <c r="BN930" i="4"/>
  <c r="BN833" i="4"/>
  <c r="BN731" i="4"/>
  <c r="BN741" i="4"/>
  <c r="BN910" i="4"/>
  <c r="BN1123" i="4"/>
  <c r="BN874" i="4"/>
  <c r="BN1356" i="4"/>
  <c r="BN1092" i="4"/>
  <c r="BN1143" i="4"/>
  <c r="BN1414" i="4"/>
  <c r="BN1245" i="4"/>
  <c r="BN1301" i="4"/>
  <c r="BN1452" i="4"/>
  <c r="BN1195" i="4"/>
  <c r="BN1353" i="4"/>
  <c r="BN945" i="4"/>
  <c r="BN1359" i="4"/>
  <c r="BN1024" i="4"/>
  <c r="BN1267" i="4"/>
  <c r="BN1427" i="4"/>
  <c r="BN1100" i="4"/>
  <c r="BN1449" i="4"/>
  <c r="BN1423" i="4"/>
  <c r="BN1447" i="4"/>
  <c r="BN1242" i="4"/>
  <c r="BN1396" i="4"/>
  <c r="BN673" i="4"/>
  <c r="BN357" i="4"/>
  <c r="BN190" i="4"/>
  <c r="BN200" i="4"/>
  <c r="BN263" i="4"/>
  <c r="BN486" i="4"/>
  <c r="BN510" i="4"/>
  <c r="BN516" i="4"/>
  <c r="BN478" i="4"/>
  <c r="BN507" i="4"/>
  <c r="BN455" i="4"/>
  <c r="BN664" i="4"/>
  <c r="BN460" i="4"/>
  <c r="BN1013" i="4"/>
  <c r="BN556" i="4"/>
  <c r="BN632" i="4"/>
  <c r="BN792" i="4"/>
  <c r="BN958" i="4"/>
  <c r="BN919" i="4"/>
  <c r="BN989" i="4"/>
  <c r="BN1094" i="4"/>
  <c r="BN1011" i="4"/>
  <c r="BN708" i="4"/>
  <c r="BN917" i="4"/>
  <c r="BN1377" i="4"/>
  <c r="BN1398" i="4"/>
  <c r="BN1280" i="4"/>
  <c r="BN1068" i="4"/>
  <c r="BN1311" i="4"/>
  <c r="BN1358" i="4"/>
  <c r="BN1018" i="4"/>
  <c r="BN1379" i="4"/>
  <c r="BN999" i="4"/>
  <c r="BN1014" i="4"/>
  <c r="BN995" i="4"/>
  <c r="BN1247" i="4"/>
  <c r="BN1412" i="4"/>
  <c r="BN802" i="4"/>
  <c r="BN1453" i="4"/>
  <c r="BN1004" i="4"/>
  <c r="BN1417" i="4"/>
  <c r="BN1266" i="4"/>
  <c r="BN348" i="4"/>
  <c r="BN207" i="4"/>
  <c r="BN378" i="4"/>
  <c r="BN371" i="4"/>
  <c r="BN339" i="4"/>
  <c r="BN204" i="4"/>
  <c r="BN283" i="4"/>
  <c r="BN553" i="4"/>
  <c r="BN544" i="4"/>
  <c r="BN1238" i="4"/>
  <c r="BN535" i="4"/>
  <c r="BN526" i="4"/>
  <c r="BN703" i="4"/>
  <c r="BN488" i="4"/>
  <c r="BN636" i="4"/>
  <c r="BN316" i="4"/>
  <c r="BN692" i="4"/>
  <c r="BN1314" i="4"/>
  <c r="BN836" i="4"/>
  <c r="BN386" i="4"/>
  <c r="BN317" i="4"/>
  <c r="BN754" i="4"/>
  <c r="BN807" i="4"/>
  <c r="BN615" i="4"/>
  <c r="BN701" i="4"/>
  <c r="BN941" i="4"/>
  <c r="BN847" i="4"/>
  <c r="BN1132" i="4"/>
  <c r="BN799" i="4"/>
  <c r="BN911" i="4"/>
  <c r="BN933" i="4"/>
  <c r="BN1403" i="4"/>
  <c r="BN840" i="4"/>
  <c r="BN1071" i="4"/>
  <c r="BN1173" i="4"/>
  <c r="BN1305" i="4"/>
  <c r="BN1174" i="4"/>
  <c r="BN1276" i="4"/>
  <c r="BN1261" i="4"/>
  <c r="BN1442" i="4"/>
  <c r="BN1034" i="4"/>
  <c r="BN1277" i="4"/>
  <c r="BN1432" i="4"/>
  <c r="BN1349" i="4"/>
  <c r="BN1262" i="4"/>
  <c r="BN1344" i="4"/>
  <c r="BN1360" i="4"/>
  <c r="BN821" i="4"/>
  <c r="BN1456" i="4"/>
  <c r="BN1448" i="4"/>
  <c r="BN1438" i="4"/>
  <c r="BN383" i="4"/>
  <c r="BN281" i="4"/>
  <c r="BN203" i="4"/>
  <c r="BN385" i="4"/>
  <c r="BN320" i="4"/>
  <c r="BN365" i="4"/>
  <c r="BN608" i="4"/>
  <c r="BN186" i="4"/>
  <c r="BN360" i="4"/>
  <c r="BN237" i="4"/>
  <c r="BN451" i="4"/>
  <c r="BN334" i="4"/>
  <c r="BN219" i="4"/>
  <c r="BN437" i="4"/>
  <c r="BN443" i="4"/>
  <c r="BN366" i="4"/>
  <c r="BN554" i="4"/>
  <c r="BN497" i="4"/>
  <c r="BN545" i="4"/>
  <c r="BN774" i="4"/>
  <c r="BN330" i="4"/>
  <c r="BN517" i="4"/>
  <c r="BN479" i="4"/>
  <c r="BN580" i="4"/>
  <c r="BN396" i="4"/>
  <c r="BN528" i="4"/>
  <c r="BN666" i="4"/>
  <c r="BN1015" i="4"/>
  <c r="BN1008" i="4"/>
  <c r="BN624" i="4"/>
  <c r="BN720" i="4"/>
  <c r="BN857" i="4"/>
  <c r="BN778" i="4"/>
  <c r="BN1037" i="4"/>
  <c r="BN661" i="4"/>
  <c r="BN926" i="4"/>
  <c r="BN804" i="4"/>
  <c r="BN824" i="4"/>
  <c r="BN978" i="4"/>
  <c r="BN922" i="4"/>
  <c r="BN973" i="4"/>
  <c r="BN699" i="4"/>
  <c r="BN1088" i="4"/>
  <c r="BN1315" i="4"/>
  <c r="BN1184" i="4"/>
  <c r="BN1389" i="4"/>
  <c r="BN1400" i="4"/>
  <c r="BN1044" i="4"/>
  <c r="BN1287" i="4"/>
  <c r="BN1156" i="4"/>
  <c r="BN1443" i="4"/>
  <c r="BN1141" i="4"/>
  <c r="BN1106" i="4"/>
  <c r="BN1381" i="4"/>
  <c r="BN845" i="4"/>
  <c r="BN1086" i="4"/>
  <c r="BN1329" i="4"/>
  <c r="BN311" i="4"/>
  <c r="BN1271" i="4"/>
  <c r="BN1039" i="4"/>
  <c r="BN1282" i="4"/>
  <c r="BN274" i="4"/>
  <c r="BN192" i="4"/>
  <c r="BN183" i="4"/>
  <c r="BN1021" i="4"/>
  <c r="BN230" i="4"/>
  <c r="BN217" i="4"/>
  <c r="BN185" i="4"/>
  <c r="BN379" i="4"/>
  <c r="BN227" i="4"/>
  <c r="BN501" i="4"/>
  <c r="BN645" i="4"/>
  <c r="BN380" i="4"/>
  <c r="BN242" i="4"/>
  <c r="BN233" i="4"/>
  <c r="BN452" i="4"/>
  <c r="BN269" i="4"/>
  <c r="BN750" i="4"/>
  <c r="BN655" i="4"/>
  <c r="BN462" i="4"/>
  <c r="BN502" i="4"/>
  <c r="BN675" i="4"/>
  <c r="BN710" i="4"/>
  <c r="BN484" i="4"/>
  <c r="BN247" i="4"/>
  <c r="BN409" i="4"/>
  <c r="BN470" i="4"/>
  <c r="BN561" i="4"/>
  <c r="BN717" i="4"/>
  <c r="BN471" i="4"/>
  <c r="BN1022" i="4"/>
  <c r="BN827" i="4"/>
  <c r="BN1036" i="4"/>
  <c r="BN982" i="4"/>
  <c r="BN744" i="4"/>
  <c r="BN867" i="4"/>
  <c r="BN788" i="4"/>
  <c r="BN829" i="4"/>
  <c r="BN984" i="4"/>
  <c r="BN991" i="4"/>
  <c r="BN938" i="4"/>
  <c r="BN805" i="4"/>
  <c r="BN855" i="4"/>
  <c r="BN1325" i="4"/>
  <c r="BN1189" i="4"/>
  <c r="BN1347" i="4"/>
  <c r="BN1124" i="4"/>
  <c r="BN1049" i="4"/>
  <c r="BN1292" i="4"/>
  <c r="BN1375" i="4"/>
  <c r="BN1161" i="4"/>
  <c r="BN1146" i="4"/>
  <c r="BN1365" i="4"/>
  <c r="BN1111" i="4"/>
  <c r="BN1096" i="4"/>
  <c r="BN1334" i="4"/>
  <c r="BN22" i="4"/>
  <c r="BN475" i="4"/>
  <c r="BN1043" i="4"/>
  <c r="BN872" i="4"/>
  <c r="BN1199" i="4"/>
  <c r="BN1149" i="4"/>
  <c r="BN1170" i="4"/>
  <c r="BN1059" i="4"/>
  <c r="BN965" i="4"/>
  <c r="BN1402" i="4"/>
  <c r="BN726" i="4"/>
  <c r="BN696" i="4"/>
  <c r="BN988" i="4"/>
  <c r="BN1051" i="4"/>
  <c r="BN893" i="4"/>
  <c r="BN439" i="4"/>
  <c r="BN538" i="4"/>
  <c r="BN231" i="4"/>
  <c r="BN340" i="4"/>
  <c r="BN209" i="4"/>
  <c r="BN533" i="4"/>
  <c r="BN402" i="4"/>
  <c r="BN253" i="4"/>
  <c r="BN285" i="4"/>
  <c r="BN683" i="4"/>
  <c r="BN481" i="4"/>
  <c r="BN733" i="4"/>
  <c r="BN713" i="4"/>
  <c r="BN389" i="4"/>
  <c r="BN583" i="4"/>
  <c r="BN865" i="4"/>
  <c r="BN709" i="4"/>
  <c r="BN798" i="4"/>
  <c r="BN686" i="4"/>
  <c r="BN353" i="4"/>
  <c r="BN729" i="4"/>
  <c r="BN358" i="4"/>
  <c r="BN648" i="4"/>
  <c r="BN605" i="4"/>
  <c r="BN419" i="4"/>
  <c r="BN542" i="4"/>
  <c r="BN313" i="4"/>
  <c r="BN490" i="4"/>
  <c r="BN1073" i="4"/>
  <c r="BN763" i="4"/>
  <c r="BN877" i="4"/>
  <c r="BN1066" i="4"/>
  <c r="BN813" i="4"/>
  <c r="BN858" i="4"/>
  <c r="BN1218" i="4"/>
  <c r="BN997" i="4"/>
  <c r="BN1026" i="4"/>
  <c r="BN815" i="4"/>
  <c r="BN1006" i="4"/>
  <c r="BN723" i="4"/>
  <c r="BN885" i="4"/>
  <c r="BN1188" i="4"/>
  <c r="BN1249" i="4"/>
  <c r="BN1440" i="4"/>
  <c r="BN1219" i="4"/>
  <c r="BN1159" i="4"/>
  <c r="BN1134" i="4"/>
  <c r="BN1410" i="4"/>
  <c r="BN1104" i="4"/>
  <c r="BN1332" i="4"/>
  <c r="BN1175" i="4"/>
  <c r="BN1069" i="4"/>
  <c r="BN1312" i="4"/>
  <c r="BN1064" i="4"/>
  <c r="BN1307" i="4"/>
  <c r="BN970" i="4"/>
  <c r="BN1176" i="4"/>
  <c r="BN1171" i="4"/>
  <c r="BN1121" i="4"/>
  <c r="BN400" i="4"/>
  <c r="BN246" i="4"/>
  <c r="BN273" i="4"/>
  <c r="BN279" i="4"/>
  <c r="BN423" i="4"/>
  <c r="BN1052" i="4"/>
  <c r="BN19" i="4"/>
  <c r="BN201" i="4"/>
  <c r="BN487" i="4"/>
  <c r="BN505" i="4"/>
  <c r="BN411" i="4"/>
  <c r="BN343" i="4"/>
  <c r="BN265" i="4"/>
  <c r="BN240" i="4"/>
  <c r="BN640" i="4"/>
  <c r="BN213" i="4"/>
  <c r="BN457" i="4"/>
  <c r="BN181" i="4"/>
  <c r="BN346" i="4"/>
  <c r="BN719" i="4"/>
  <c r="BN223" i="4"/>
  <c r="BN289" i="4"/>
  <c r="BN430" i="4"/>
  <c r="BN258" i="4"/>
  <c r="BN495" i="4"/>
  <c r="BN290" i="4"/>
  <c r="BN403" i="4"/>
  <c r="BN588" i="4"/>
  <c r="BN875" i="4"/>
  <c r="BN521" i="4"/>
  <c r="BN531" i="4"/>
  <c r="BN367" i="4"/>
  <c r="BN584" i="4"/>
  <c r="BN745" i="4"/>
  <c r="BN503" i="4"/>
  <c r="BN626" i="4"/>
  <c r="BN590" i="4"/>
  <c r="BN433" i="4"/>
  <c r="BN547" i="4"/>
  <c r="BN747" i="4"/>
  <c r="BN694" i="4"/>
  <c r="BN1404" i="4"/>
  <c r="BN1082" i="4"/>
  <c r="BN642" i="4"/>
  <c r="BN758" i="4"/>
  <c r="BN768" i="4"/>
  <c r="BN882" i="4"/>
  <c r="BN904" i="4"/>
  <c r="BN1084" i="4"/>
  <c r="BN679" i="4"/>
  <c r="BN954" i="4"/>
  <c r="BN1294" i="4"/>
  <c r="BN1233" i="4"/>
  <c r="BN1032" i="4"/>
  <c r="BN1040" i="4"/>
  <c r="BN770" i="4"/>
  <c r="BN890" i="4"/>
  <c r="BN1193" i="4"/>
  <c r="BN1254" i="4"/>
  <c r="BN1445" i="4"/>
  <c r="BN1224" i="4"/>
  <c r="BN1341" i="4"/>
  <c r="BN1164" i="4"/>
  <c r="BN1139" i="4"/>
  <c r="BN1415" i="4"/>
  <c r="BN1114" i="4"/>
  <c r="BN1337" i="4"/>
  <c r="BN1180" i="4"/>
  <c r="BN1074" i="4"/>
  <c r="BN1317" i="4"/>
  <c r="BN1196" i="4"/>
  <c r="BN975" i="4"/>
  <c r="BN1186" i="4"/>
  <c r="BN1181" i="4"/>
  <c r="BN1126" i="4"/>
  <c r="BN883" i="4"/>
  <c r="BN1350" i="4"/>
  <c r="BN1119" i="4"/>
  <c r="BN1201" i="4"/>
  <c r="BN980" i="4"/>
  <c r="BN1191" i="4"/>
  <c r="BN1355" i="4"/>
  <c r="BN715" i="4"/>
  <c r="BN1118" i="4"/>
  <c r="BN1409" i="4"/>
  <c r="BN888" i="4"/>
  <c r="BN1229" i="4"/>
  <c r="BN28" i="4"/>
  <c r="BN306" i="4"/>
  <c r="BN568" i="4"/>
  <c r="BN582" i="4"/>
  <c r="BN255" i="4"/>
  <c r="BN519" i="4"/>
  <c r="BN618" i="4"/>
  <c r="BN194" i="4"/>
  <c r="BN293" i="4"/>
  <c r="BN195" i="4"/>
  <c r="BN310" i="4"/>
  <c r="BN467" i="4"/>
  <c r="BN361" i="4"/>
  <c r="BN557" i="4"/>
  <c r="BN603" i="4"/>
  <c r="BN540" i="4"/>
  <c r="BN766" i="4"/>
  <c r="BN413" i="4"/>
  <c r="BN550" i="4"/>
  <c r="BN737" i="4"/>
  <c r="BN599" i="4"/>
  <c r="BN381" i="4"/>
  <c r="BN522" i="4"/>
  <c r="BN704" i="4"/>
  <c r="BN298" i="4"/>
  <c r="BN637" i="4"/>
  <c r="BN391" i="4"/>
  <c r="BN616" i="4"/>
  <c r="BN447" i="4"/>
  <c r="BN336" i="4"/>
  <c r="BN706" i="4"/>
  <c r="BN1056" i="4"/>
  <c r="BN1213" i="4"/>
  <c r="BN651" i="4"/>
  <c r="BN1030" i="4"/>
  <c r="BN898" i="4"/>
  <c r="BN862" i="4"/>
  <c r="BN808" i="4"/>
  <c r="BN1204" i="4"/>
  <c r="BN688" i="4"/>
  <c r="BN899" i="4"/>
  <c r="BN1362" i="4"/>
  <c r="BN1309" i="4"/>
  <c r="BN1053" i="4"/>
  <c r="BN849" i="4"/>
  <c r="BN1113" i="4"/>
  <c r="BN795" i="4"/>
  <c r="BN967" i="4"/>
  <c r="BN742" i="4"/>
  <c r="BN901" i="4"/>
  <c r="BN1208" i="4"/>
  <c r="BN1234" i="4"/>
  <c r="BN1394" i="4"/>
  <c r="BN1373" i="4"/>
  <c r="BN1154" i="4"/>
  <c r="BN1322" i="4"/>
  <c r="BN891" i="4"/>
  <c r="BN955" i="4"/>
  <c r="BN1206" i="4"/>
  <c r="BN985" i="4"/>
  <c r="BN1406" i="4"/>
  <c r="BN1000" i="4"/>
  <c r="BN1222" i="4"/>
  <c r="BN1391" i="4"/>
  <c r="BN1268" i="4"/>
  <c r="BN1428" i="4"/>
  <c r="BN1167" i="4"/>
  <c r="BN780" i="4"/>
  <c r="BN249" i="4"/>
  <c r="BN377" i="4"/>
  <c r="BN628" i="4"/>
  <c r="BN629" i="4"/>
  <c r="BN315" i="4"/>
  <c r="BN191" i="4"/>
  <c r="BN476" i="4"/>
  <c r="BN295" i="4"/>
  <c r="BN375" i="4"/>
  <c r="BN756" i="4"/>
  <c r="BN426" i="4"/>
  <c r="BN907" i="4"/>
  <c r="BN395" i="4"/>
  <c r="BN716" i="4"/>
  <c r="BN513" i="4"/>
  <c r="BN654" i="4"/>
  <c r="BN1418" i="4"/>
  <c r="BN405" i="4"/>
  <c r="BN566" i="4"/>
  <c r="BN350" i="4"/>
  <c r="BN552" i="4"/>
  <c r="BN712" i="4"/>
  <c r="BN817" i="4"/>
  <c r="BN818" i="4"/>
  <c r="BN925" i="4"/>
  <c r="BN920" i="4"/>
  <c r="BN1387" i="4"/>
  <c r="BN894" i="4"/>
  <c r="BN1061" i="4"/>
  <c r="BN1244" i="4"/>
  <c r="BN1399" i="4"/>
  <c r="BN1286" i="4"/>
  <c r="BN1431" i="4"/>
  <c r="BN896" i="4"/>
  <c r="BN1369" i="4"/>
  <c r="BN960" i="4"/>
  <c r="BN1211" i="4"/>
  <c r="BN1343" i="4"/>
  <c r="BN1080" i="4"/>
  <c r="BN1005" i="4"/>
  <c r="BN1273" i="4"/>
  <c r="BN927" i="4"/>
  <c r="BN431" i="4"/>
  <c r="BN16" i="4"/>
  <c r="G5" i="4" l="1"/>
</calcChain>
</file>

<file path=xl/sharedStrings.xml><?xml version="1.0" encoding="utf-8"?>
<sst xmlns="http://schemas.openxmlformats.org/spreadsheetml/2006/main" count="60" uniqueCount="47">
  <si>
    <t>집안 이동 시각화 엑셀 템플릿 (1분=1행)</t>
  </si>
  <si>
    <t>1) RawData 시트에 'Date, MinuteIdx(0~1439), LocHex, Distance_m' 4개 열만 붙여넣으세요. (B~E열)</t>
  </si>
  <si>
    <t>2) RawData의 A열(Key)과 F열(Hour)은 자동 계산 열입니다. 붙여넣기/수정하지 마세요.</t>
  </si>
  <si>
    <t>3) DailyView 시트의 B3에 날짜를 입력하면 대시보드가 자동 갱신됩니다.</t>
  </si>
  <si>
    <t>4) 방 이동 횟수/정확한 조회를 위해 RawData는 Date 오름차순, MinuteIdx 오름차순으로 정렬 권장</t>
  </si>
  <si>
    <t>LocHex 코드 예: 00(침실A), 01(침실B), 0A(거실A), 14(화장실), 1E(주방), FE(외출)</t>
  </si>
  <si>
    <t>코드 매핑</t>
  </si>
  <si>
    <t>LocHex</t>
  </si>
  <si>
    <t>LocName</t>
  </si>
  <si>
    <t>LegendColor</t>
  </si>
  <si>
    <t>00</t>
  </si>
  <si>
    <t>침실A</t>
  </si>
  <si>
    <t>01</t>
  </si>
  <si>
    <t>침실B</t>
  </si>
  <si>
    <t>0A</t>
  </si>
  <si>
    <t>거실A</t>
  </si>
  <si>
    <t>14</t>
  </si>
  <si>
    <t>화장실</t>
  </si>
  <si>
    <t>1E</t>
  </si>
  <si>
    <t>주방</t>
  </si>
  <si>
    <t>FE</t>
  </si>
  <si>
    <t>외출</t>
  </si>
  <si>
    <t>Key</t>
  </si>
  <si>
    <t>Date</t>
  </si>
  <si>
    <t>MinuteIdx</t>
  </si>
  <si>
    <t>Distance_m</t>
  </si>
  <si>
    <t>Hour</t>
  </si>
  <si>
    <t>일자별 이동 대시보드</t>
  </si>
  <si>
    <t>선택 날짜</t>
  </si>
  <si>
    <t>범례</t>
  </si>
  <si>
    <t>총 이동거리 (m)</t>
  </si>
  <si>
    <t>방 이동 횟수</t>
  </si>
  <si>
    <t>위치 타임라인 (1분 단위)</t>
  </si>
  <si>
    <t>Time</t>
  </si>
  <si>
    <t>ChangeFlag</t>
  </si>
  <si>
    <t>시간대별 이동거리(합계)</t>
  </si>
  <si>
    <t>Minutes</t>
  </si>
  <si>
    <t>외출</t>
    <phoneticPr fontId="9" type="noConversion"/>
  </si>
  <si>
    <t>침실A</t>
    <phoneticPr fontId="9" type="noConversion"/>
  </si>
  <si>
    <t>침실B</t>
    <phoneticPr fontId="9" type="noConversion"/>
  </si>
  <si>
    <t>거실A</t>
    <phoneticPr fontId="9" type="noConversion"/>
  </si>
  <si>
    <t>화장실</t>
    <phoneticPr fontId="9" type="noConversion"/>
  </si>
  <si>
    <t>주방</t>
    <phoneticPr fontId="9" type="noConversion"/>
  </si>
  <si>
    <t>활동 분(거리&gt;0)</t>
    <phoneticPr fontId="9" type="noConversion"/>
  </si>
  <si>
    <t>외출 분</t>
    <phoneticPr fontId="9" type="noConversion"/>
  </si>
  <si>
    <t>LocHex_norm</t>
  </si>
  <si>
    <t>140000000101010101010000000101010101010101010101010101011E0001010101011E0101010A000101010101010101010101010101010101010101010101010101010101010101010101010101010101010101010101000101000000000000000001141E010014140000000A01000001010101010100010101010101010101010101010001010101010101010101000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A1E141414141414141414141414141400001E00001414141414141414141414141E0000000000000000000A1E1E0A0A0A0A0A0A0A0A0A0A0A01001E1E0A0A0A0A0A0AFEFEFEFEFEFEFEFEFEFEFEFEFEFEFEFEFEFEFEFEFEFEFEFEFEFEFEFEFEFEFEFEFEFEFEFEFEFEFEFEFEFEFEFEFEFEFEFEFEFEFEFEFEFEFEFEFEFEFEFEFEFEFEFEFEFEFEFEFEFEFEFEFEFEFEFEFEFEFEFEFEFEFEFEFEFEFEFEFEFEFEFEFEFEFEFEFEFEFEFEFEFEFEFEFEFEFEFEFEFEFEFEFEFEFEFEFEFEFEFEFE140A1E1E1E1E1E1E1E0A1E1E0A0A0A1E1E0A0A0A0A0A1E0A0A1E1E0A0A0A0A0A0A0A1E1E0A0A0A0A1E1E0A0A1E1E1E1E1E1E1E1E1E1E1E1E1E1E1E1E1E1E1E1E1E1E1E1E1E1E1E1E1E1E1E1E1E1E1E1E1E1E1E1E1E1E0A1E1E1E0A0A0A0A0A1E1E1E1E1E1E1E1E141E0A0A0A0A0A0A1E1E1E1E1E1E1E1E1E1E1E1E1414141414141414141414140A14141E0A0A0A0A0A0A0A0A0A0A0A0A1E0A0A0A0A1E0000001E1E1E1E1E1E1E1E1E1E1E1E1E1E1E1E1E001E0000000000000000000000000000000000000000000000000000000000001E0000000000000000001E0A0A0A1E1E1E1E0A0A0A0A0A0A0A141E1E0A0A0AFEFEFE0AFEFEFEFEFEFEFEFEFEFEFEFEFEFEFEFEFEFEFEFEFEFEFEFFFEFEFEFEFEFEFEFEFEFEFEFEFEFEFEFEFEFEFEFEFEFEFEFEFEFEFEFEFEFEFEFEFEFEFEFEFEFEFEFEFEFEFEFEFEFEFEFEFEFEFEFE1401010101010101011E010A010101010101010101010101010101010101010101010101010101010101010101010101010101010101010101010101010101010A0A01010101010101010101010101011E010101010101010101010101010101010A010A01010A010101010A01010A0A0A0A01010A0A0A0A0A0A0A0A0A0101010101010101010101010A0A140A0A0A1E011E0101010101010A0A0A0A1E1E1E1E0A0A0A0A0A0A0A0A1E0A0A0A0A0A0A1E0A0A1E1E0A0A1E0A1E1E1E1E1E1E1E1E1E1E1E1E1E1E010101FFFF01010101010101010101010101010101010101010101010101010101010101010101010101010101010101010101010101010101010101010101010101010101010101010101010101010101010101010101010101010101010101010101010101010101010101010101010101010101011E1E0101010101010101010101010101010101140A0A1E0A0A0A0A0A0A010101010A0A0A01010101010101010A010101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</si>
</sst>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"/>
    <numFmt numFmtId="178" formatCode="hh:mm"/>
  </numFmts>
  <fonts count="17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1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9DC3E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A6A6A6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7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/>
    <xf numFmtId="176" fontId="11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3" fillId="2" borderId="1" xfId="0" applyFont="1" applyFill="1" applyBorder="1" applyAlignment="1">
      <alignment horizontal="center" vertical="center"/>
    </xf>
    <xf numFmtId="0" fontId="12" fillId="3" borderId="1" xfId="0" applyFont="1" applyFill="1" applyBorder="1"/>
    <xf numFmtId="0" fontId="12" fillId="0" borderId="1" xfId="0" applyFont="1" applyBorder="1" applyAlignment="1">
      <alignment horizontal="left" vertical="center"/>
    </xf>
    <xf numFmtId="0" fontId="12" fillId="5" borderId="1" xfId="0" applyFont="1" applyFill="1" applyBorder="1"/>
    <xf numFmtId="0" fontId="12" fillId="6" borderId="1" xfId="0" applyFont="1" applyFill="1" applyBorder="1"/>
    <xf numFmtId="0" fontId="12" fillId="11" borderId="1" xfId="0" applyFont="1" applyFill="1" applyBorder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177" fontId="14" fillId="0" borderId="7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2" fillId="12" borderId="1" xfId="0" applyFont="1" applyFill="1" applyBorder="1"/>
    <xf numFmtId="177" fontId="8" fillId="0" borderId="1" xfId="0" applyNumberFormat="1" applyFont="1" applyBorder="1" applyAlignment="1">
      <alignment horizontal="center" vertical="center"/>
    </xf>
    <xf numFmtId="0" fontId="12" fillId="13" borderId="1" xfId="0" applyFont="1" applyFill="1" applyBorder="1"/>
    <xf numFmtId="0" fontId="16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77" fontId="10" fillId="9" borderId="2" xfId="0" applyNumberFormat="1" applyFont="1" applyFill="1" applyBorder="1" applyAlignment="1">
      <alignment horizontal="center" vertical="center"/>
    </xf>
    <xf numFmtId="177" fontId="10" fillId="9" borderId="0" xfId="0" applyNumberFormat="1" applyFont="1" applyFill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</cellXfs>
  <cellStyles count="1">
    <cellStyle name="표준" xfId="0" builtinId="0"/>
  </cellStyles>
  <dxfs count="12">
    <dxf>
      <font>
        <sz val="8"/>
        <color rgb="FF000000"/>
      </font>
      <fill>
        <patternFill patternType="solid">
          <fgColor rgb="FFA6A6A6"/>
        </patternFill>
      </fill>
    </dxf>
    <dxf>
      <font>
        <sz val="8"/>
        <color rgb="FF000000"/>
      </font>
      <fill>
        <patternFill patternType="solid">
          <fgColor rgb="FFFFC000"/>
        </patternFill>
      </fill>
    </dxf>
    <dxf>
      <font>
        <sz val="8"/>
        <color rgb="FFFFFFFF"/>
      </font>
      <fill>
        <patternFill patternType="solid">
          <fgColor rgb="FFED7D31"/>
        </patternFill>
      </fill>
    </dxf>
    <dxf>
      <font>
        <sz val="8"/>
        <color rgb="FFFFFFFF"/>
      </font>
      <fill>
        <patternFill patternType="solid">
          <fgColor rgb="FF70AD47"/>
        </patternFill>
      </fill>
    </dxf>
    <dxf>
      <font>
        <sz val="8"/>
        <color rgb="FF000000"/>
      </font>
      <fill>
        <patternFill patternType="solid">
          <fgColor rgb="FF9DC3E6"/>
        </patternFill>
      </fill>
    </dxf>
    <dxf>
      <font>
        <sz val="8"/>
        <color rgb="FFFFFFFF"/>
      </font>
      <fill>
        <patternFill patternType="solid">
          <fgColor rgb="FF2F5597"/>
        </patternFill>
      </fill>
    </dxf>
    <dxf>
      <fill>
        <patternFill>
          <bgColor theme="3"/>
        </patternFill>
      </fill>
    </dxf>
    <dxf>
      <fill>
        <patternFill>
          <bgColor theme="8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이동거리</a:t>
            </a:r>
            <a:r>
              <a:rPr lang="en-US"/>
              <a:t>(1</a:t>
            </a:r>
            <a:r>
              <a:rPr lang="ko-KR"/>
              <a:t>분 단위</a:t>
            </a:r>
            <a:r>
              <a:rPr lang="en-US"/>
              <a:t>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1.7638888888888888E-2"/>
          <c:y val="5.174074074074074E-2"/>
          <c:w val="0.96472222222222226"/>
          <c:h val="0.90592592592592591"/>
        </c:manualLayout>
      </c:layout>
      <c:lineChart>
        <c:grouping val="standard"/>
        <c:varyColors val="1"/>
        <c:ser>
          <c:idx val="0"/>
          <c:order val="0"/>
          <c:tx>
            <c:strRef>
              <c:f>DailyView!$BM$10</c:f>
              <c:strCache>
                <c:ptCount val="1"/>
                <c:pt idx="0">
                  <c:v>Distance_m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FA-48B2-82DB-DB0657DE8C8F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FA-48B2-82DB-DB0657DE8C8F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FA-48B2-82DB-DB0657DE8C8F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FA-48B2-82DB-DB0657DE8C8F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EFA-48B2-82DB-DB0657DE8C8F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EFA-48B2-82DB-DB0657DE8C8F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EFA-48B2-82DB-DB0657DE8C8F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EFA-48B2-82DB-DB0657DE8C8F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EFA-48B2-82DB-DB0657DE8C8F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EFA-48B2-82DB-DB0657DE8C8F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EFA-48B2-82DB-DB0657DE8C8F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1EFA-48B2-82DB-DB0657DE8C8F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1EFA-48B2-82DB-DB0657DE8C8F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1EFA-48B2-82DB-DB0657DE8C8F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1EFA-48B2-82DB-DB0657DE8C8F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1EFA-48B2-82DB-DB0657DE8C8F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1EFA-48B2-82DB-DB0657DE8C8F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1EFA-48B2-82DB-DB0657DE8C8F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1EFA-48B2-82DB-DB0657DE8C8F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1EFA-48B2-82DB-DB0657DE8C8F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1EFA-48B2-82DB-DB0657DE8C8F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1EFA-48B2-82DB-DB0657DE8C8F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1EFA-48B2-82DB-DB0657DE8C8F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1EFA-48B2-82DB-DB0657DE8C8F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1EFA-48B2-82DB-DB0657DE8C8F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1EFA-48B2-82DB-DB0657DE8C8F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1EFA-48B2-82DB-DB0657DE8C8F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1EFA-48B2-82DB-DB0657DE8C8F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1EFA-48B2-82DB-DB0657DE8C8F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1EFA-48B2-82DB-DB0657DE8C8F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1EFA-48B2-82DB-DB0657DE8C8F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1EFA-48B2-82DB-DB0657DE8C8F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1EFA-48B2-82DB-DB0657DE8C8F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1EFA-48B2-82DB-DB0657DE8C8F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1EFA-48B2-82DB-DB0657DE8C8F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1EFA-48B2-82DB-DB0657DE8C8F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1EFA-48B2-82DB-DB0657DE8C8F}"/>
              </c:ext>
            </c:extLst>
          </c:dPt>
          <c:dPt>
            <c:idx val="3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1EFA-48B2-82DB-DB0657DE8C8F}"/>
              </c:ext>
            </c:extLst>
          </c:dPt>
          <c:dPt>
            <c:idx val="3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1EFA-48B2-82DB-DB0657DE8C8F}"/>
              </c:ext>
            </c:extLst>
          </c:dPt>
          <c:dPt>
            <c:idx val="3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1EFA-48B2-82DB-DB0657DE8C8F}"/>
              </c:ext>
            </c:extLst>
          </c:dPt>
          <c:dPt>
            <c:idx val="4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1-1EFA-48B2-82DB-DB0657DE8C8F}"/>
              </c:ext>
            </c:extLst>
          </c:dPt>
          <c:dPt>
            <c:idx val="4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1EFA-48B2-82DB-DB0657DE8C8F}"/>
              </c:ext>
            </c:extLst>
          </c:dPt>
          <c:dPt>
            <c:idx val="4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5-1EFA-48B2-82DB-DB0657DE8C8F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1EFA-48B2-82DB-DB0657DE8C8F}"/>
              </c:ext>
            </c:extLst>
          </c:dPt>
          <c:dPt>
            <c:idx val="4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9-1EFA-48B2-82DB-DB0657DE8C8F}"/>
              </c:ext>
            </c:extLst>
          </c:dPt>
          <c:dPt>
            <c:idx val="4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B-1EFA-48B2-82DB-DB0657DE8C8F}"/>
              </c:ext>
            </c:extLst>
          </c:dPt>
          <c:dPt>
            <c:idx val="4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D-1EFA-48B2-82DB-DB0657DE8C8F}"/>
              </c:ext>
            </c:extLst>
          </c:dPt>
          <c:dPt>
            <c:idx val="4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F-1EFA-48B2-82DB-DB0657DE8C8F}"/>
              </c:ext>
            </c:extLst>
          </c:dPt>
          <c:dPt>
            <c:idx val="4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1-1EFA-48B2-82DB-DB0657DE8C8F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3-1EFA-48B2-82DB-DB0657DE8C8F}"/>
              </c:ext>
            </c:extLst>
          </c:dPt>
          <c:dPt>
            <c:idx val="5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5-1EFA-48B2-82DB-DB0657DE8C8F}"/>
              </c:ext>
            </c:extLst>
          </c:dPt>
          <c:dPt>
            <c:idx val="5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7-1EFA-48B2-82DB-DB0657DE8C8F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9-1EFA-48B2-82DB-DB0657DE8C8F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B-1EFA-48B2-82DB-DB0657DE8C8F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D-1EFA-48B2-82DB-DB0657DE8C8F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F-1EFA-48B2-82DB-DB0657DE8C8F}"/>
              </c:ext>
            </c:extLst>
          </c:dPt>
          <c:dPt>
            <c:idx val="5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1-1EFA-48B2-82DB-DB0657DE8C8F}"/>
              </c:ext>
            </c:extLst>
          </c:dPt>
          <c:dPt>
            <c:idx val="57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3-1EFA-48B2-82DB-DB0657DE8C8F}"/>
              </c:ext>
            </c:extLst>
          </c:dPt>
          <c:dPt>
            <c:idx val="58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5-1EFA-48B2-82DB-DB0657DE8C8F}"/>
              </c:ext>
            </c:extLst>
          </c:dPt>
          <c:dPt>
            <c:idx val="59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7-1EFA-48B2-82DB-DB0657DE8C8F}"/>
              </c:ext>
            </c:extLst>
          </c:dPt>
          <c:dPt>
            <c:idx val="6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9-1EFA-48B2-82DB-DB0657DE8C8F}"/>
              </c:ext>
            </c:extLst>
          </c:dPt>
          <c:dPt>
            <c:idx val="6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B-1EFA-48B2-82DB-DB0657DE8C8F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D-1EFA-48B2-82DB-DB0657DE8C8F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F-1EFA-48B2-82DB-DB0657DE8C8F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1-1EFA-48B2-82DB-DB0657DE8C8F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3-1EFA-48B2-82DB-DB0657DE8C8F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5-1EFA-48B2-82DB-DB0657DE8C8F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7-1EFA-48B2-82DB-DB0657DE8C8F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9-1EFA-48B2-82DB-DB0657DE8C8F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B-1EFA-48B2-82DB-DB0657DE8C8F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D-1EFA-48B2-82DB-DB0657DE8C8F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F-1EFA-48B2-82DB-DB0657DE8C8F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1-1EFA-48B2-82DB-DB0657DE8C8F}"/>
              </c:ext>
            </c:extLst>
          </c:dPt>
          <c:dPt>
            <c:idx val="7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3-1EFA-48B2-82DB-DB0657DE8C8F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5-1EFA-48B2-82DB-DB0657DE8C8F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7-1EFA-48B2-82DB-DB0657DE8C8F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9-1EFA-48B2-82DB-DB0657DE8C8F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B-1EFA-48B2-82DB-DB0657DE8C8F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D-1EFA-48B2-82DB-DB0657DE8C8F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F-1EFA-48B2-82DB-DB0657DE8C8F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1-1EFA-48B2-82DB-DB0657DE8C8F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3-1EFA-48B2-82DB-DB0657DE8C8F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5-1EFA-48B2-82DB-DB0657DE8C8F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7-1EFA-48B2-82DB-DB0657DE8C8F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9-1EFA-48B2-82DB-DB0657DE8C8F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B-1EFA-48B2-82DB-DB0657DE8C8F}"/>
              </c:ext>
            </c:extLst>
          </c:dPt>
          <c:dPt>
            <c:idx val="8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D-1EFA-48B2-82DB-DB0657DE8C8F}"/>
              </c:ext>
            </c:extLst>
          </c:dPt>
          <c:dPt>
            <c:idx val="8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F-1EFA-48B2-82DB-DB0657DE8C8F}"/>
              </c:ext>
            </c:extLst>
          </c:dPt>
          <c:dPt>
            <c:idx val="8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1-1EFA-48B2-82DB-DB0657DE8C8F}"/>
              </c:ext>
            </c:extLst>
          </c:dPt>
          <c:dPt>
            <c:idx val="8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3-1EFA-48B2-82DB-DB0657DE8C8F}"/>
              </c:ext>
            </c:extLst>
          </c:dPt>
          <c:dPt>
            <c:idx val="9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5-1EFA-48B2-82DB-DB0657DE8C8F}"/>
              </c:ext>
            </c:extLst>
          </c:dPt>
          <c:dPt>
            <c:idx val="9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7-1EFA-48B2-82DB-DB0657DE8C8F}"/>
              </c:ext>
            </c:extLst>
          </c:dPt>
          <c:dPt>
            <c:idx val="9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9-1EFA-48B2-82DB-DB0657DE8C8F}"/>
              </c:ext>
            </c:extLst>
          </c:dPt>
          <c:dPt>
            <c:idx val="9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B-1EFA-48B2-82DB-DB0657DE8C8F}"/>
              </c:ext>
            </c:extLst>
          </c:dPt>
          <c:dPt>
            <c:idx val="9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D-1EFA-48B2-82DB-DB0657DE8C8F}"/>
              </c:ext>
            </c:extLst>
          </c:dPt>
          <c:dPt>
            <c:idx val="9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F-1EFA-48B2-82DB-DB0657DE8C8F}"/>
              </c:ext>
            </c:extLst>
          </c:dPt>
          <c:dPt>
            <c:idx val="9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1-1EFA-48B2-82DB-DB0657DE8C8F}"/>
              </c:ext>
            </c:extLst>
          </c:dPt>
          <c:dPt>
            <c:idx val="9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3-1EFA-48B2-82DB-DB0657DE8C8F}"/>
              </c:ext>
            </c:extLst>
          </c:dPt>
          <c:dPt>
            <c:idx val="9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5-1EFA-48B2-82DB-DB0657DE8C8F}"/>
              </c:ext>
            </c:extLst>
          </c:dPt>
          <c:dPt>
            <c:idx val="9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7-1EFA-48B2-82DB-DB0657DE8C8F}"/>
              </c:ext>
            </c:extLst>
          </c:dPt>
          <c:dPt>
            <c:idx val="10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9-1EFA-48B2-82DB-DB0657DE8C8F}"/>
              </c:ext>
            </c:extLst>
          </c:dPt>
          <c:dPt>
            <c:idx val="10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B-1EFA-48B2-82DB-DB0657DE8C8F}"/>
              </c:ext>
            </c:extLst>
          </c:dPt>
          <c:dPt>
            <c:idx val="10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D-1EFA-48B2-82DB-DB0657DE8C8F}"/>
              </c:ext>
            </c:extLst>
          </c:dPt>
          <c:dPt>
            <c:idx val="10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F-1EFA-48B2-82DB-DB0657DE8C8F}"/>
              </c:ext>
            </c:extLst>
          </c:dPt>
          <c:dPt>
            <c:idx val="10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1-1EFA-48B2-82DB-DB0657DE8C8F}"/>
              </c:ext>
            </c:extLst>
          </c:dPt>
          <c:dPt>
            <c:idx val="10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3-1EFA-48B2-82DB-DB0657DE8C8F}"/>
              </c:ext>
            </c:extLst>
          </c:dPt>
          <c:dPt>
            <c:idx val="10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5-1EFA-48B2-82DB-DB0657DE8C8F}"/>
              </c:ext>
            </c:extLst>
          </c:dPt>
          <c:dPt>
            <c:idx val="10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7-1EFA-48B2-82DB-DB0657DE8C8F}"/>
              </c:ext>
            </c:extLst>
          </c:dPt>
          <c:dPt>
            <c:idx val="108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9-1EFA-48B2-82DB-DB0657DE8C8F}"/>
              </c:ext>
            </c:extLst>
          </c:dPt>
          <c:dPt>
            <c:idx val="10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B-1EFA-48B2-82DB-DB0657DE8C8F}"/>
              </c:ext>
            </c:extLst>
          </c:dPt>
          <c:dPt>
            <c:idx val="11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D-1EFA-48B2-82DB-DB0657DE8C8F}"/>
              </c:ext>
            </c:extLst>
          </c:dPt>
          <c:dPt>
            <c:idx val="111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F-1EFA-48B2-82DB-DB0657DE8C8F}"/>
              </c:ext>
            </c:extLst>
          </c:dPt>
          <c:dPt>
            <c:idx val="112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1-1EFA-48B2-82DB-DB0657DE8C8F}"/>
              </c:ext>
            </c:extLst>
          </c:dPt>
          <c:dPt>
            <c:idx val="11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3-1EFA-48B2-82DB-DB0657DE8C8F}"/>
              </c:ext>
            </c:extLst>
          </c:dPt>
          <c:dPt>
            <c:idx val="11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5-1EFA-48B2-82DB-DB0657DE8C8F}"/>
              </c:ext>
            </c:extLst>
          </c:dPt>
          <c:dPt>
            <c:idx val="11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7-1EFA-48B2-82DB-DB0657DE8C8F}"/>
              </c:ext>
            </c:extLst>
          </c:dPt>
          <c:dPt>
            <c:idx val="11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9-1EFA-48B2-82DB-DB0657DE8C8F}"/>
              </c:ext>
            </c:extLst>
          </c:dPt>
          <c:dPt>
            <c:idx val="11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B-1EFA-48B2-82DB-DB0657DE8C8F}"/>
              </c:ext>
            </c:extLst>
          </c:dPt>
          <c:dPt>
            <c:idx val="11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D-1EFA-48B2-82DB-DB0657DE8C8F}"/>
              </c:ext>
            </c:extLst>
          </c:dPt>
          <c:dPt>
            <c:idx val="11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F-1EFA-48B2-82DB-DB0657DE8C8F}"/>
              </c:ext>
            </c:extLst>
          </c:dPt>
          <c:dPt>
            <c:idx val="12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1-1EFA-48B2-82DB-DB0657DE8C8F}"/>
              </c:ext>
            </c:extLst>
          </c:dPt>
          <c:dPt>
            <c:idx val="12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3-1EFA-48B2-82DB-DB0657DE8C8F}"/>
              </c:ext>
            </c:extLst>
          </c:dPt>
          <c:dPt>
            <c:idx val="12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5-1EFA-48B2-82DB-DB0657DE8C8F}"/>
              </c:ext>
            </c:extLst>
          </c:dPt>
          <c:dPt>
            <c:idx val="12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7-1EFA-48B2-82DB-DB0657DE8C8F}"/>
              </c:ext>
            </c:extLst>
          </c:dPt>
          <c:dPt>
            <c:idx val="12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9-1EFA-48B2-82DB-DB0657DE8C8F}"/>
              </c:ext>
            </c:extLst>
          </c:dPt>
          <c:dPt>
            <c:idx val="12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B-1EFA-48B2-82DB-DB0657DE8C8F}"/>
              </c:ext>
            </c:extLst>
          </c:dPt>
          <c:dPt>
            <c:idx val="12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D-1EFA-48B2-82DB-DB0657DE8C8F}"/>
              </c:ext>
            </c:extLst>
          </c:dPt>
          <c:dPt>
            <c:idx val="12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F-1EFA-48B2-82DB-DB0657DE8C8F}"/>
              </c:ext>
            </c:extLst>
          </c:dPt>
          <c:dPt>
            <c:idx val="12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1-1EFA-48B2-82DB-DB0657DE8C8F}"/>
              </c:ext>
            </c:extLst>
          </c:dPt>
          <c:dPt>
            <c:idx val="12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3-1EFA-48B2-82DB-DB0657DE8C8F}"/>
              </c:ext>
            </c:extLst>
          </c:dPt>
          <c:dPt>
            <c:idx val="13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5-1EFA-48B2-82DB-DB0657DE8C8F}"/>
              </c:ext>
            </c:extLst>
          </c:dPt>
          <c:dPt>
            <c:idx val="13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7-1EFA-48B2-82DB-DB0657DE8C8F}"/>
              </c:ext>
            </c:extLst>
          </c:dPt>
          <c:dPt>
            <c:idx val="13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9-1EFA-48B2-82DB-DB0657DE8C8F}"/>
              </c:ext>
            </c:extLst>
          </c:dPt>
          <c:dPt>
            <c:idx val="13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B-1EFA-48B2-82DB-DB0657DE8C8F}"/>
              </c:ext>
            </c:extLst>
          </c:dPt>
          <c:dPt>
            <c:idx val="13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D-1EFA-48B2-82DB-DB0657DE8C8F}"/>
              </c:ext>
            </c:extLst>
          </c:dPt>
          <c:dPt>
            <c:idx val="13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F-1EFA-48B2-82DB-DB0657DE8C8F}"/>
              </c:ext>
            </c:extLst>
          </c:dPt>
          <c:dPt>
            <c:idx val="13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1-1EFA-48B2-82DB-DB0657DE8C8F}"/>
              </c:ext>
            </c:extLst>
          </c:dPt>
          <c:dPt>
            <c:idx val="13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3-1EFA-48B2-82DB-DB0657DE8C8F}"/>
              </c:ext>
            </c:extLst>
          </c:dPt>
          <c:dPt>
            <c:idx val="13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5-1EFA-48B2-82DB-DB0657DE8C8F}"/>
              </c:ext>
            </c:extLst>
          </c:dPt>
          <c:dPt>
            <c:idx val="13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7-1EFA-48B2-82DB-DB0657DE8C8F}"/>
              </c:ext>
            </c:extLst>
          </c:dPt>
          <c:dPt>
            <c:idx val="14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9-1EFA-48B2-82DB-DB0657DE8C8F}"/>
              </c:ext>
            </c:extLst>
          </c:dPt>
          <c:dPt>
            <c:idx val="14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B-1EFA-48B2-82DB-DB0657DE8C8F}"/>
              </c:ext>
            </c:extLst>
          </c:dPt>
          <c:dPt>
            <c:idx val="14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D-1EFA-48B2-82DB-DB0657DE8C8F}"/>
              </c:ext>
            </c:extLst>
          </c:dPt>
          <c:dPt>
            <c:idx val="14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F-1EFA-48B2-82DB-DB0657DE8C8F}"/>
              </c:ext>
            </c:extLst>
          </c:dPt>
          <c:dPt>
            <c:idx val="14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1-1EFA-48B2-82DB-DB0657DE8C8F}"/>
              </c:ext>
            </c:extLst>
          </c:dPt>
          <c:dPt>
            <c:idx val="14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3-1EFA-48B2-82DB-DB0657DE8C8F}"/>
              </c:ext>
            </c:extLst>
          </c:dPt>
          <c:dPt>
            <c:idx val="14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5-1EFA-48B2-82DB-DB0657DE8C8F}"/>
              </c:ext>
            </c:extLst>
          </c:dPt>
          <c:dPt>
            <c:idx val="14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7-1EFA-48B2-82DB-DB0657DE8C8F}"/>
              </c:ext>
            </c:extLst>
          </c:dPt>
          <c:dPt>
            <c:idx val="14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9-1EFA-48B2-82DB-DB0657DE8C8F}"/>
              </c:ext>
            </c:extLst>
          </c:dPt>
          <c:dPt>
            <c:idx val="14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B-1EFA-48B2-82DB-DB0657DE8C8F}"/>
              </c:ext>
            </c:extLst>
          </c:dPt>
          <c:dPt>
            <c:idx val="15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D-1EFA-48B2-82DB-DB0657DE8C8F}"/>
              </c:ext>
            </c:extLst>
          </c:dPt>
          <c:dPt>
            <c:idx val="15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F-1EFA-48B2-82DB-DB0657DE8C8F}"/>
              </c:ext>
            </c:extLst>
          </c:dPt>
          <c:dPt>
            <c:idx val="15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1-1EFA-48B2-82DB-DB0657DE8C8F}"/>
              </c:ext>
            </c:extLst>
          </c:dPt>
          <c:dPt>
            <c:idx val="15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3-1EFA-48B2-82DB-DB0657DE8C8F}"/>
              </c:ext>
            </c:extLst>
          </c:dPt>
          <c:dPt>
            <c:idx val="15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5-1EFA-48B2-82DB-DB0657DE8C8F}"/>
              </c:ext>
            </c:extLst>
          </c:dPt>
          <c:dPt>
            <c:idx val="15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7-1EFA-48B2-82DB-DB0657DE8C8F}"/>
              </c:ext>
            </c:extLst>
          </c:dPt>
          <c:dPt>
            <c:idx val="15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9-1EFA-48B2-82DB-DB0657DE8C8F}"/>
              </c:ext>
            </c:extLst>
          </c:dPt>
          <c:dPt>
            <c:idx val="15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B-1EFA-48B2-82DB-DB0657DE8C8F}"/>
              </c:ext>
            </c:extLst>
          </c:dPt>
          <c:dPt>
            <c:idx val="15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D-1EFA-48B2-82DB-DB0657DE8C8F}"/>
              </c:ext>
            </c:extLst>
          </c:dPt>
          <c:dPt>
            <c:idx val="15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F-1EFA-48B2-82DB-DB0657DE8C8F}"/>
              </c:ext>
            </c:extLst>
          </c:dPt>
          <c:dPt>
            <c:idx val="16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1-1EFA-48B2-82DB-DB0657DE8C8F}"/>
              </c:ext>
            </c:extLst>
          </c:dPt>
          <c:dPt>
            <c:idx val="16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3-1EFA-48B2-82DB-DB0657DE8C8F}"/>
              </c:ext>
            </c:extLst>
          </c:dPt>
          <c:dPt>
            <c:idx val="16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5-1EFA-48B2-82DB-DB0657DE8C8F}"/>
              </c:ext>
            </c:extLst>
          </c:dPt>
          <c:dPt>
            <c:idx val="16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7-1EFA-48B2-82DB-DB0657DE8C8F}"/>
              </c:ext>
            </c:extLst>
          </c:dPt>
          <c:dPt>
            <c:idx val="16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9-1EFA-48B2-82DB-DB0657DE8C8F}"/>
              </c:ext>
            </c:extLst>
          </c:dPt>
          <c:dPt>
            <c:idx val="165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B-1EFA-48B2-82DB-DB0657DE8C8F}"/>
              </c:ext>
            </c:extLst>
          </c:dPt>
          <c:dPt>
            <c:idx val="166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D-1EFA-48B2-82DB-DB0657DE8C8F}"/>
              </c:ext>
            </c:extLst>
          </c:dPt>
          <c:dPt>
            <c:idx val="16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F-1EFA-48B2-82DB-DB0657DE8C8F}"/>
              </c:ext>
            </c:extLst>
          </c:dPt>
          <c:dPt>
            <c:idx val="16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1-1EFA-48B2-82DB-DB0657DE8C8F}"/>
              </c:ext>
            </c:extLst>
          </c:dPt>
          <c:dPt>
            <c:idx val="16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3-1EFA-48B2-82DB-DB0657DE8C8F}"/>
              </c:ext>
            </c:extLst>
          </c:dPt>
          <c:dPt>
            <c:idx val="17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5-1EFA-48B2-82DB-DB0657DE8C8F}"/>
              </c:ext>
            </c:extLst>
          </c:dPt>
          <c:dPt>
            <c:idx val="17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7-1EFA-48B2-82DB-DB0657DE8C8F}"/>
              </c:ext>
            </c:extLst>
          </c:dPt>
          <c:dPt>
            <c:idx val="17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9-1EFA-48B2-82DB-DB0657DE8C8F}"/>
              </c:ext>
            </c:extLst>
          </c:dPt>
          <c:dPt>
            <c:idx val="17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B-1EFA-48B2-82DB-DB0657DE8C8F}"/>
              </c:ext>
            </c:extLst>
          </c:dPt>
          <c:dPt>
            <c:idx val="17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D-1EFA-48B2-82DB-DB0657DE8C8F}"/>
              </c:ext>
            </c:extLst>
          </c:dPt>
          <c:dPt>
            <c:idx val="17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F-1EFA-48B2-82DB-DB0657DE8C8F}"/>
              </c:ext>
            </c:extLst>
          </c:dPt>
          <c:dPt>
            <c:idx val="17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1-1EFA-48B2-82DB-DB0657DE8C8F}"/>
              </c:ext>
            </c:extLst>
          </c:dPt>
          <c:dPt>
            <c:idx val="17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3-1EFA-48B2-82DB-DB0657DE8C8F}"/>
              </c:ext>
            </c:extLst>
          </c:dPt>
          <c:dPt>
            <c:idx val="17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5-1EFA-48B2-82DB-DB0657DE8C8F}"/>
              </c:ext>
            </c:extLst>
          </c:dPt>
          <c:dPt>
            <c:idx val="17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7-1EFA-48B2-82DB-DB0657DE8C8F}"/>
              </c:ext>
            </c:extLst>
          </c:dPt>
          <c:dPt>
            <c:idx val="18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9-1EFA-48B2-82DB-DB0657DE8C8F}"/>
              </c:ext>
            </c:extLst>
          </c:dPt>
          <c:dPt>
            <c:idx val="18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B-1EFA-48B2-82DB-DB0657DE8C8F}"/>
              </c:ext>
            </c:extLst>
          </c:dPt>
          <c:dPt>
            <c:idx val="18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D-1EFA-48B2-82DB-DB0657DE8C8F}"/>
              </c:ext>
            </c:extLst>
          </c:dPt>
          <c:dPt>
            <c:idx val="18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F-1EFA-48B2-82DB-DB0657DE8C8F}"/>
              </c:ext>
            </c:extLst>
          </c:dPt>
          <c:dPt>
            <c:idx val="18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1-1EFA-48B2-82DB-DB0657DE8C8F}"/>
              </c:ext>
            </c:extLst>
          </c:dPt>
          <c:dPt>
            <c:idx val="18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3-1EFA-48B2-82DB-DB0657DE8C8F}"/>
              </c:ext>
            </c:extLst>
          </c:dPt>
          <c:dPt>
            <c:idx val="18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5-1EFA-48B2-82DB-DB0657DE8C8F}"/>
              </c:ext>
            </c:extLst>
          </c:dPt>
          <c:dPt>
            <c:idx val="18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7-1EFA-48B2-82DB-DB0657DE8C8F}"/>
              </c:ext>
            </c:extLst>
          </c:dPt>
          <c:dPt>
            <c:idx val="18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9-1EFA-48B2-82DB-DB0657DE8C8F}"/>
              </c:ext>
            </c:extLst>
          </c:dPt>
          <c:dPt>
            <c:idx val="18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B-1EFA-48B2-82DB-DB0657DE8C8F}"/>
              </c:ext>
            </c:extLst>
          </c:dPt>
          <c:dPt>
            <c:idx val="19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D-1EFA-48B2-82DB-DB0657DE8C8F}"/>
              </c:ext>
            </c:extLst>
          </c:dPt>
          <c:dPt>
            <c:idx val="19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F-1EFA-48B2-82DB-DB0657DE8C8F}"/>
              </c:ext>
            </c:extLst>
          </c:dPt>
          <c:dPt>
            <c:idx val="19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1-1EFA-48B2-82DB-DB0657DE8C8F}"/>
              </c:ext>
            </c:extLst>
          </c:dPt>
          <c:dPt>
            <c:idx val="19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3-1EFA-48B2-82DB-DB0657DE8C8F}"/>
              </c:ext>
            </c:extLst>
          </c:dPt>
          <c:dPt>
            <c:idx val="19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5-1EFA-48B2-82DB-DB0657DE8C8F}"/>
              </c:ext>
            </c:extLst>
          </c:dPt>
          <c:dPt>
            <c:idx val="19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7-1EFA-48B2-82DB-DB0657DE8C8F}"/>
              </c:ext>
            </c:extLst>
          </c:dPt>
          <c:dPt>
            <c:idx val="19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9-1EFA-48B2-82DB-DB0657DE8C8F}"/>
              </c:ext>
            </c:extLst>
          </c:dPt>
          <c:dPt>
            <c:idx val="19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B-1EFA-48B2-82DB-DB0657DE8C8F}"/>
              </c:ext>
            </c:extLst>
          </c:dPt>
          <c:dPt>
            <c:idx val="19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D-1EFA-48B2-82DB-DB0657DE8C8F}"/>
              </c:ext>
            </c:extLst>
          </c:dPt>
          <c:dPt>
            <c:idx val="19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F-1EFA-48B2-82DB-DB0657DE8C8F}"/>
              </c:ext>
            </c:extLst>
          </c:dPt>
          <c:dPt>
            <c:idx val="20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1-1EFA-48B2-82DB-DB0657DE8C8F}"/>
              </c:ext>
            </c:extLst>
          </c:dPt>
          <c:dPt>
            <c:idx val="20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3-1EFA-48B2-82DB-DB0657DE8C8F}"/>
              </c:ext>
            </c:extLst>
          </c:dPt>
          <c:dPt>
            <c:idx val="20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5-1EFA-48B2-82DB-DB0657DE8C8F}"/>
              </c:ext>
            </c:extLst>
          </c:dPt>
          <c:dPt>
            <c:idx val="20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7-1EFA-48B2-82DB-DB0657DE8C8F}"/>
              </c:ext>
            </c:extLst>
          </c:dPt>
          <c:dPt>
            <c:idx val="20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9-1EFA-48B2-82DB-DB0657DE8C8F}"/>
              </c:ext>
            </c:extLst>
          </c:dPt>
          <c:dPt>
            <c:idx val="20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B-1EFA-48B2-82DB-DB0657DE8C8F}"/>
              </c:ext>
            </c:extLst>
          </c:dPt>
          <c:dPt>
            <c:idx val="20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D-1EFA-48B2-82DB-DB0657DE8C8F}"/>
              </c:ext>
            </c:extLst>
          </c:dPt>
          <c:dPt>
            <c:idx val="20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F-1EFA-48B2-82DB-DB0657DE8C8F}"/>
              </c:ext>
            </c:extLst>
          </c:dPt>
          <c:dPt>
            <c:idx val="20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1-1EFA-48B2-82DB-DB0657DE8C8F}"/>
              </c:ext>
            </c:extLst>
          </c:dPt>
          <c:dPt>
            <c:idx val="20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3-1EFA-48B2-82DB-DB0657DE8C8F}"/>
              </c:ext>
            </c:extLst>
          </c:dPt>
          <c:dPt>
            <c:idx val="21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5-1EFA-48B2-82DB-DB0657DE8C8F}"/>
              </c:ext>
            </c:extLst>
          </c:dPt>
          <c:dPt>
            <c:idx val="21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7-1EFA-48B2-82DB-DB0657DE8C8F}"/>
              </c:ext>
            </c:extLst>
          </c:dPt>
          <c:dPt>
            <c:idx val="21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9-1EFA-48B2-82DB-DB0657DE8C8F}"/>
              </c:ext>
            </c:extLst>
          </c:dPt>
          <c:dPt>
            <c:idx val="21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B-1EFA-48B2-82DB-DB0657DE8C8F}"/>
              </c:ext>
            </c:extLst>
          </c:dPt>
          <c:dPt>
            <c:idx val="21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D-1EFA-48B2-82DB-DB0657DE8C8F}"/>
              </c:ext>
            </c:extLst>
          </c:dPt>
          <c:dPt>
            <c:idx val="21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F-1EFA-48B2-82DB-DB0657DE8C8F}"/>
              </c:ext>
            </c:extLst>
          </c:dPt>
          <c:dPt>
            <c:idx val="21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1-1EFA-48B2-82DB-DB0657DE8C8F}"/>
              </c:ext>
            </c:extLst>
          </c:dPt>
          <c:dPt>
            <c:idx val="21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3-1EFA-48B2-82DB-DB0657DE8C8F}"/>
              </c:ext>
            </c:extLst>
          </c:dPt>
          <c:dPt>
            <c:idx val="218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5-1EFA-48B2-82DB-DB0657DE8C8F}"/>
              </c:ext>
            </c:extLst>
          </c:dPt>
          <c:dPt>
            <c:idx val="219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7-1EFA-48B2-82DB-DB0657DE8C8F}"/>
              </c:ext>
            </c:extLst>
          </c:dPt>
          <c:dPt>
            <c:idx val="220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9-1EFA-48B2-82DB-DB0657DE8C8F}"/>
              </c:ext>
            </c:extLst>
          </c:dPt>
          <c:dPt>
            <c:idx val="22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B-1EFA-48B2-82DB-DB0657DE8C8F}"/>
              </c:ext>
            </c:extLst>
          </c:dPt>
          <c:dPt>
            <c:idx val="22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D-1EFA-48B2-82DB-DB0657DE8C8F}"/>
              </c:ext>
            </c:extLst>
          </c:dPt>
          <c:dPt>
            <c:idx val="22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F-1EFA-48B2-82DB-DB0657DE8C8F}"/>
              </c:ext>
            </c:extLst>
          </c:dPt>
          <c:dPt>
            <c:idx val="22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1-1EFA-48B2-82DB-DB0657DE8C8F}"/>
              </c:ext>
            </c:extLst>
          </c:dPt>
          <c:dPt>
            <c:idx val="22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3-1EFA-48B2-82DB-DB0657DE8C8F}"/>
              </c:ext>
            </c:extLst>
          </c:dPt>
          <c:dPt>
            <c:idx val="22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5-1EFA-48B2-82DB-DB0657DE8C8F}"/>
              </c:ext>
            </c:extLst>
          </c:dPt>
          <c:dPt>
            <c:idx val="22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7-1EFA-48B2-82DB-DB0657DE8C8F}"/>
              </c:ext>
            </c:extLst>
          </c:dPt>
          <c:dPt>
            <c:idx val="22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9-1EFA-48B2-82DB-DB0657DE8C8F}"/>
              </c:ext>
            </c:extLst>
          </c:dPt>
          <c:dPt>
            <c:idx val="22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B-1EFA-48B2-82DB-DB0657DE8C8F}"/>
              </c:ext>
            </c:extLst>
          </c:dPt>
          <c:dPt>
            <c:idx val="23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D-1EFA-48B2-82DB-DB0657DE8C8F}"/>
              </c:ext>
            </c:extLst>
          </c:dPt>
          <c:dPt>
            <c:idx val="23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F-1EFA-48B2-82DB-DB0657DE8C8F}"/>
              </c:ext>
            </c:extLst>
          </c:dPt>
          <c:dPt>
            <c:idx val="23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1-1EFA-48B2-82DB-DB0657DE8C8F}"/>
              </c:ext>
            </c:extLst>
          </c:dPt>
          <c:dPt>
            <c:idx val="23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3-1EFA-48B2-82DB-DB0657DE8C8F}"/>
              </c:ext>
            </c:extLst>
          </c:dPt>
          <c:dPt>
            <c:idx val="23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5-1EFA-48B2-82DB-DB0657DE8C8F}"/>
              </c:ext>
            </c:extLst>
          </c:dPt>
          <c:dPt>
            <c:idx val="23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7-1EFA-48B2-82DB-DB0657DE8C8F}"/>
              </c:ext>
            </c:extLst>
          </c:dPt>
          <c:dPt>
            <c:idx val="23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9-1EFA-48B2-82DB-DB0657DE8C8F}"/>
              </c:ext>
            </c:extLst>
          </c:dPt>
          <c:dPt>
            <c:idx val="23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B-1EFA-48B2-82DB-DB0657DE8C8F}"/>
              </c:ext>
            </c:extLst>
          </c:dPt>
          <c:dPt>
            <c:idx val="23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D-1EFA-48B2-82DB-DB0657DE8C8F}"/>
              </c:ext>
            </c:extLst>
          </c:dPt>
          <c:dPt>
            <c:idx val="23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F-1EFA-48B2-82DB-DB0657DE8C8F}"/>
              </c:ext>
            </c:extLst>
          </c:dPt>
          <c:dPt>
            <c:idx val="24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1-1EFA-48B2-82DB-DB0657DE8C8F}"/>
              </c:ext>
            </c:extLst>
          </c:dPt>
          <c:dPt>
            <c:idx val="24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3-1EFA-48B2-82DB-DB0657DE8C8F}"/>
              </c:ext>
            </c:extLst>
          </c:dPt>
          <c:dPt>
            <c:idx val="24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5-1EFA-48B2-82DB-DB0657DE8C8F}"/>
              </c:ext>
            </c:extLst>
          </c:dPt>
          <c:dPt>
            <c:idx val="24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7-1EFA-48B2-82DB-DB0657DE8C8F}"/>
              </c:ext>
            </c:extLst>
          </c:dPt>
          <c:dPt>
            <c:idx val="24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9-1EFA-48B2-82DB-DB0657DE8C8F}"/>
              </c:ext>
            </c:extLst>
          </c:dPt>
          <c:dPt>
            <c:idx val="24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B-1EFA-48B2-82DB-DB0657DE8C8F}"/>
              </c:ext>
            </c:extLst>
          </c:dPt>
          <c:dPt>
            <c:idx val="24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D-1EFA-48B2-82DB-DB0657DE8C8F}"/>
              </c:ext>
            </c:extLst>
          </c:dPt>
          <c:dPt>
            <c:idx val="24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F-1EFA-48B2-82DB-DB0657DE8C8F}"/>
              </c:ext>
            </c:extLst>
          </c:dPt>
          <c:dPt>
            <c:idx val="24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1-1EFA-48B2-82DB-DB0657DE8C8F}"/>
              </c:ext>
            </c:extLst>
          </c:dPt>
          <c:dPt>
            <c:idx val="24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3-1EFA-48B2-82DB-DB0657DE8C8F}"/>
              </c:ext>
            </c:extLst>
          </c:dPt>
          <c:dPt>
            <c:idx val="25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5-1EFA-48B2-82DB-DB0657DE8C8F}"/>
              </c:ext>
            </c:extLst>
          </c:dPt>
          <c:dPt>
            <c:idx val="25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7-1EFA-48B2-82DB-DB0657DE8C8F}"/>
              </c:ext>
            </c:extLst>
          </c:dPt>
          <c:dPt>
            <c:idx val="25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9-1EFA-48B2-82DB-DB0657DE8C8F}"/>
              </c:ext>
            </c:extLst>
          </c:dPt>
          <c:dPt>
            <c:idx val="25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B-1EFA-48B2-82DB-DB0657DE8C8F}"/>
              </c:ext>
            </c:extLst>
          </c:dPt>
          <c:dPt>
            <c:idx val="25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D-1EFA-48B2-82DB-DB0657DE8C8F}"/>
              </c:ext>
            </c:extLst>
          </c:dPt>
          <c:dPt>
            <c:idx val="25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F-1EFA-48B2-82DB-DB0657DE8C8F}"/>
              </c:ext>
            </c:extLst>
          </c:dPt>
          <c:dPt>
            <c:idx val="25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1-1EFA-48B2-82DB-DB0657DE8C8F}"/>
              </c:ext>
            </c:extLst>
          </c:dPt>
          <c:dPt>
            <c:idx val="25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3-1EFA-48B2-82DB-DB0657DE8C8F}"/>
              </c:ext>
            </c:extLst>
          </c:dPt>
          <c:dPt>
            <c:idx val="25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5-1EFA-48B2-82DB-DB0657DE8C8F}"/>
              </c:ext>
            </c:extLst>
          </c:dPt>
          <c:dPt>
            <c:idx val="25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7-1EFA-48B2-82DB-DB0657DE8C8F}"/>
              </c:ext>
            </c:extLst>
          </c:dPt>
          <c:dPt>
            <c:idx val="26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9-1EFA-48B2-82DB-DB0657DE8C8F}"/>
              </c:ext>
            </c:extLst>
          </c:dPt>
          <c:dPt>
            <c:idx val="26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B-1EFA-48B2-82DB-DB0657DE8C8F}"/>
              </c:ext>
            </c:extLst>
          </c:dPt>
          <c:dPt>
            <c:idx val="26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D-1EFA-48B2-82DB-DB0657DE8C8F}"/>
              </c:ext>
            </c:extLst>
          </c:dPt>
          <c:dPt>
            <c:idx val="26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F-1EFA-48B2-82DB-DB0657DE8C8F}"/>
              </c:ext>
            </c:extLst>
          </c:dPt>
          <c:dPt>
            <c:idx val="26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1-1EFA-48B2-82DB-DB0657DE8C8F}"/>
              </c:ext>
            </c:extLst>
          </c:dPt>
          <c:dPt>
            <c:idx val="26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3-1EFA-48B2-82DB-DB0657DE8C8F}"/>
              </c:ext>
            </c:extLst>
          </c:dPt>
          <c:dPt>
            <c:idx val="26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5-1EFA-48B2-82DB-DB0657DE8C8F}"/>
              </c:ext>
            </c:extLst>
          </c:dPt>
          <c:dPt>
            <c:idx val="26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7-1EFA-48B2-82DB-DB0657DE8C8F}"/>
              </c:ext>
            </c:extLst>
          </c:dPt>
          <c:dPt>
            <c:idx val="26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9-1EFA-48B2-82DB-DB0657DE8C8F}"/>
              </c:ext>
            </c:extLst>
          </c:dPt>
          <c:dPt>
            <c:idx val="26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B-1EFA-48B2-82DB-DB0657DE8C8F}"/>
              </c:ext>
            </c:extLst>
          </c:dPt>
          <c:dPt>
            <c:idx val="27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D-1EFA-48B2-82DB-DB0657DE8C8F}"/>
              </c:ext>
            </c:extLst>
          </c:dPt>
          <c:dPt>
            <c:idx val="27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F-1EFA-48B2-82DB-DB0657DE8C8F}"/>
              </c:ext>
            </c:extLst>
          </c:dPt>
          <c:dPt>
            <c:idx val="27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1-1EFA-48B2-82DB-DB0657DE8C8F}"/>
              </c:ext>
            </c:extLst>
          </c:dPt>
          <c:dPt>
            <c:idx val="27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3-1EFA-48B2-82DB-DB0657DE8C8F}"/>
              </c:ext>
            </c:extLst>
          </c:dPt>
          <c:dPt>
            <c:idx val="27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5-1EFA-48B2-82DB-DB0657DE8C8F}"/>
              </c:ext>
            </c:extLst>
          </c:dPt>
          <c:dPt>
            <c:idx val="27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7-1EFA-48B2-82DB-DB0657DE8C8F}"/>
              </c:ext>
            </c:extLst>
          </c:dPt>
          <c:dPt>
            <c:idx val="27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9-1EFA-48B2-82DB-DB0657DE8C8F}"/>
              </c:ext>
            </c:extLst>
          </c:dPt>
          <c:dPt>
            <c:idx val="27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B-1EFA-48B2-82DB-DB0657DE8C8F}"/>
              </c:ext>
            </c:extLst>
          </c:dPt>
          <c:dPt>
            <c:idx val="27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D-1EFA-48B2-82DB-DB0657DE8C8F}"/>
              </c:ext>
            </c:extLst>
          </c:dPt>
          <c:dPt>
            <c:idx val="27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F-1EFA-48B2-82DB-DB0657DE8C8F}"/>
              </c:ext>
            </c:extLst>
          </c:dPt>
          <c:dPt>
            <c:idx val="28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1-1EFA-48B2-82DB-DB0657DE8C8F}"/>
              </c:ext>
            </c:extLst>
          </c:dPt>
          <c:dPt>
            <c:idx val="28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3-1EFA-48B2-82DB-DB0657DE8C8F}"/>
              </c:ext>
            </c:extLst>
          </c:dPt>
          <c:dPt>
            <c:idx val="28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5-1EFA-48B2-82DB-DB0657DE8C8F}"/>
              </c:ext>
            </c:extLst>
          </c:dPt>
          <c:dPt>
            <c:idx val="28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7-1EFA-48B2-82DB-DB0657DE8C8F}"/>
              </c:ext>
            </c:extLst>
          </c:dPt>
          <c:dPt>
            <c:idx val="28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9-1EFA-48B2-82DB-DB0657DE8C8F}"/>
              </c:ext>
            </c:extLst>
          </c:dPt>
          <c:dPt>
            <c:idx val="28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B-1EFA-48B2-82DB-DB0657DE8C8F}"/>
              </c:ext>
            </c:extLst>
          </c:dPt>
          <c:dPt>
            <c:idx val="28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D-1EFA-48B2-82DB-DB0657DE8C8F}"/>
              </c:ext>
            </c:extLst>
          </c:dPt>
          <c:dPt>
            <c:idx val="28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F-1EFA-48B2-82DB-DB0657DE8C8F}"/>
              </c:ext>
            </c:extLst>
          </c:dPt>
          <c:dPt>
            <c:idx val="28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1-1EFA-48B2-82DB-DB0657DE8C8F}"/>
              </c:ext>
            </c:extLst>
          </c:dPt>
          <c:dPt>
            <c:idx val="28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3-1EFA-48B2-82DB-DB0657DE8C8F}"/>
              </c:ext>
            </c:extLst>
          </c:dPt>
          <c:dPt>
            <c:idx val="29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5-1EFA-48B2-82DB-DB0657DE8C8F}"/>
              </c:ext>
            </c:extLst>
          </c:dPt>
          <c:dPt>
            <c:idx val="29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7-1EFA-48B2-82DB-DB0657DE8C8F}"/>
              </c:ext>
            </c:extLst>
          </c:dPt>
          <c:dPt>
            <c:idx val="29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9-1EFA-48B2-82DB-DB0657DE8C8F}"/>
              </c:ext>
            </c:extLst>
          </c:dPt>
          <c:dPt>
            <c:idx val="29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B-1EFA-48B2-82DB-DB0657DE8C8F}"/>
              </c:ext>
            </c:extLst>
          </c:dPt>
          <c:dPt>
            <c:idx val="29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D-1EFA-48B2-82DB-DB0657DE8C8F}"/>
              </c:ext>
            </c:extLst>
          </c:dPt>
          <c:dPt>
            <c:idx val="29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F-1EFA-48B2-82DB-DB0657DE8C8F}"/>
              </c:ext>
            </c:extLst>
          </c:dPt>
          <c:dPt>
            <c:idx val="29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1-1EFA-48B2-82DB-DB0657DE8C8F}"/>
              </c:ext>
            </c:extLst>
          </c:dPt>
          <c:dPt>
            <c:idx val="29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3-1EFA-48B2-82DB-DB0657DE8C8F}"/>
              </c:ext>
            </c:extLst>
          </c:dPt>
          <c:dPt>
            <c:idx val="29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5-1EFA-48B2-82DB-DB0657DE8C8F}"/>
              </c:ext>
            </c:extLst>
          </c:dPt>
          <c:dPt>
            <c:idx val="29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7-1EFA-48B2-82DB-DB0657DE8C8F}"/>
              </c:ext>
            </c:extLst>
          </c:dPt>
          <c:dPt>
            <c:idx val="30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9-1EFA-48B2-82DB-DB0657DE8C8F}"/>
              </c:ext>
            </c:extLst>
          </c:dPt>
          <c:dPt>
            <c:idx val="30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B-1EFA-48B2-82DB-DB0657DE8C8F}"/>
              </c:ext>
            </c:extLst>
          </c:dPt>
          <c:dPt>
            <c:idx val="30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D-1EFA-48B2-82DB-DB0657DE8C8F}"/>
              </c:ext>
            </c:extLst>
          </c:dPt>
          <c:dPt>
            <c:idx val="30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F-1EFA-48B2-82DB-DB0657DE8C8F}"/>
              </c:ext>
            </c:extLst>
          </c:dPt>
          <c:dPt>
            <c:idx val="30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1-1EFA-48B2-82DB-DB0657DE8C8F}"/>
              </c:ext>
            </c:extLst>
          </c:dPt>
          <c:dPt>
            <c:idx val="30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3-1EFA-48B2-82DB-DB0657DE8C8F}"/>
              </c:ext>
            </c:extLst>
          </c:dPt>
          <c:dPt>
            <c:idx val="30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5-1EFA-48B2-82DB-DB0657DE8C8F}"/>
              </c:ext>
            </c:extLst>
          </c:dPt>
          <c:dPt>
            <c:idx val="30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7-1EFA-48B2-82DB-DB0657DE8C8F}"/>
              </c:ext>
            </c:extLst>
          </c:dPt>
          <c:dPt>
            <c:idx val="30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9-1EFA-48B2-82DB-DB0657DE8C8F}"/>
              </c:ext>
            </c:extLst>
          </c:dPt>
          <c:dPt>
            <c:idx val="30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B-1EFA-48B2-82DB-DB0657DE8C8F}"/>
              </c:ext>
            </c:extLst>
          </c:dPt>
          <c:dPt>
            <c:idx val="31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D-1EFA-48B2-82DB-DB0657DE8C8F}"/>
              </c:ext>
            </c:extLst>
          </c:dPt>
          <c:dPt>
            <c:idx val="31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F-1EFA-48B2-82DB-DB0657DE8C8F}"/>
              </c:ext>
            </c:extLst>
          </c:dPt>
          <c:dPt>
            <c:idx val="31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1-1EFA-48B2-82DB-DB0657DE8C8F}"/>
              </c:ext>
            </c:extLst>
          </c:dPt>
          <c:dPt>
            <c:idx val="31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3-1EFA-48B2-82DB-DB0657DE8C8F}"/>
              </c:ext>
            </c:extLst>
          </c:dPt>
          <c:dPt>
            <c:idx val="31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5-1EFA-48B2-82DB-DB0657DE8C8F}"/>
              </c:ext>
            </c:extLst>
          </c:dPt>
          <c:dPt>
            <c:idx val="31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7-1EFA-48B2-82DB-DB0657DE8C8F}"/>
              </c:ext>
            </c:extLst>
          </c:dPt>
          <c:dPt>
            <c:idx val="31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9-1EFA-48B2-82DB-DB0657DE8C8F}"/>
              </c:ext>
            </c:extLst>
          </c:dPt>
          <c:dPt>
            <c:idx val="31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B-1EFA-48B2-82DB-DB0657DE8C8F}"/>
              </c:ext>
            </c:extLst>
          </c:dPt>
          <c:dPt>
            <c:idx val="31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D-1EFA-48B2-82DB-DB0657DE8C8F}"/>
              </c:ext>
            </c:extLst>
          </c:dPt>
          <c:dPt>
            <c:idx val="31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F-1EFA-48B2-82DB-DB0657DE8C8F}"/>
              </c:ext>
            </c:extLst>
          </c:dPt>
          <c:dPt>
            <c:idx val="32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1-1EFA-48B2-82DB-DB0657DE8C8F}"/>
              </c:ext>
            </c:extLst>
          </c:dPt>
          <c:dPt>
            <c:idx val="32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3-1EFA-48B2-82DB-DB0657DE8C8F}"/>
              </c:ext>
            </c:extLst>
          </c:dPt>
          <c:dPt>
            <c:idx val="32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5-1EFA-48B2-82DB-DB0657DE8C8F}"/>
              </c:ext>
            </c:extLst>
          </c:dPt>
          <c:dPt>
            <c:idx val="32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7-1EFA-48B2-82DB-DB0657DE8C8F}"/>
              </c:ext>
            </c:extLst>
          </c:dPt>
          <c:dPt>
            <c:idx val="32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9-1EFA-48B2-82DB-DB0657DE8C8F}"/>
              </c:ext>
            </c:extLst>
          </c:dPt>
          <c:dPt>
            <c:idx val="32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B-1EFA-48B2-82DB-DB0657DE8C8F}"/>
              </c:ext>
            </c:extLst>
          </c:dPt>
          <c:dPt>
            <c:idx val="32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D-1EFA-48B2-82DB-DB0657DE8C8F}"/>
              </c:ext>
            </c:extLst>
          </c:dPt>
          <c:dPt>
            <c:idx val="327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F-1EFA-48B2-82DB-DB0657DE8C8F}"/>
              </c:ext>
            </c:extLst>
          </c:dPt>
          <c:dPt>
            <c:idx val="328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1-1EFA-48B2-82DB-DB0657DE8C8F}"/>
              </c:ext>
            </c:extLst>
          </c:dPt>
          <c:dPt>
            <c:idx val="329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3-1EFA-48B2-82DB-DB0657DE8C8F}"/>
              </c:ext>
            </c:extLst>
          </c:dPt>
          <c:dPt>
            <c:idx val="33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5-1EFA-48B2-82DB-DB0657DE8C8F}"/>
              </c:ext>
            </c:extLst>
          </c:dPt>
          <c:dPt>
            <c:idx val="33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7-1EFA-48B2-82DB-DB0657DE8C8F}"/>
              </c:ext>
            </c:extLst>
          </c:dPt>
          <c:dPt>
            <c:idx val="33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9-1EFA-48B2-82DB-DB0657DE8C8F}"/>
              </c:ext>
            </c:extLst>
          </c:dPt>
          <c:dPt>
            <c:idx val="33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B-1EFA-48B2-82DB-DB0657DE8C8F}"/>
              </c:ext>
            </c:extLst>
          </c:dPt>
          <c:dPt>
            <c:idx val="33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D-1EFA-48B2-82DB-DB0657DE8C8F}"/>
              </c:ext>
            </c:extLst>
          </c:dPt>
          <c:dPt>
            <c:idx val="33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F-1EFA-48B2-82DB-DB0657DE8C8F}"/>
              </c:ext>
            </c:extLst>
          </c:dPt>
          <c:dPt>
            <c:idx val="33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1-1EFA-48B2-82DB-DB0657DE8C8F}"/>
              </c:ext>
            </c:extLst>
          </c:dPt>
          <c:dPt>
            <c:idx val="33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3-1EFA-48B2-82DB-DB0657DE8C8F}"/>
              </c:ext>
            </c:extLst>
          </c:dPt>
          <c:dPt>
            <c:idx val="33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5-1EFA-48B2-82DB-DB0657DE8C8F}"/>
              </c:ext>
            </c:extLst>
          </c:dPt>
          <c:dPt>
            <c:idx val="33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7-1EFA-48B2-82DB-DB0657DE8C8F}"/>
              </c:ext>
            </c:extLst>
          </c:dPt>
          <c:dPt>
            <c:idx val="34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9-1EFA-48B2-82DB-DB0657DE8C8F}"/>
              </c:ext>
            </c:extLst>
          </c:dPt>
          <c:dPt>
            <c:idx val="34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B-1EFA-48B2-82DB-DB0657DE8C8F}"/>
              </c:ext>
            </c:extLst>
          </c:dPt>
          <c:dPt>
            <c:idx val="34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D-1EFA-48B2-82DB-DB0657DE8C8F}"/>
              </c:ext>
            </c:extLst>
          </c:dPt>
          <c:dPt>
            <c:idx val="34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F-1EFA-48B2-82DB-DB0657DE8C8F}"/>
              </c:ext>
            </c:extLst>
          </c:dPt>
          <c:dPt>
            <c:idx val="34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1-1EFA-48B2-82DB-DB0657DE8C8F}"/>
              </c:ext>
            </c:extLst>
          </c:dPt>
          <c:dPt>
            <c:idx val="34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3-1EFA-48B2-82DB-DB0657DE8C8F}"/>
              </c:ext>
            </c:extLst>
          </c:dPt>
          <c:dPt>
            <c:idx val="34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5-1EFA-48B2-82DB-DB0657DE8C8F}"/>
              </c:ext>
            </c:extLst>
          </c:dPt>
          <c:dPt>
            <c:idx val="34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7-1EFA-48B2-82DB-DB0657DE8C8F}"/>
              </c:ext>
            </c:extLst>
          </c:dPt>
          <c:dPt>
            <c:idx val="34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9-1EFA-48B2-82DB-DB0657DE8C8F}"/>
              </c:ext>
            </c:extLst>
          </c:dPt>
          <c:dPt>
            <c:idx val="34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B-1EFA-48B2-82DB-DB0657DE8C8F}"/>
              </c:ext>
            </c:extLst>
          </c:dPt>
          <c:dPt>
            <c:idx val="35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D-1EFA-48B2-82DB-DB0657DE8C8F}"/>
              </c:ext>
            </c:extLst>
          </c:dPt>
          <c:dPt>
            <c:idx val="35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F-1EFA-48B2-82DB-DB0657DE8C8F}"/>
              </c:ext>
            </c:extLst>
          </c:dPt>
          <c:dPt>
            <c:idx val="35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1-1EFA-48B2-82DB-DB0657DE8C8F}"/>
              </c:ext>
            </c:extLst>
          </c:dPt>
          <c:dPt>
            <c:idx val="35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3-1EFA-48B2-82DB-DB0657DE8C8F}"/>
              </c:ext>
            </c:extLst>
          </c:dPt>
          <c:dPt>
            <c:idx val="35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5-1EFA-48B2-82DB-DB0657DE8C8F}"/>
              </c:ext>
            </c:extLst>
          </c:dPt>
          <c:dPt>
            <c:idx val="35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7-1EFA-48B2-82DB-DB0657DE8C8F}"/>
              </c:ext>
            </c:extLst>
          </c:dPt>
          <c:dPt>
            <c:idx val="35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9-1EFA-48B2-82DB-DB0657DE8C8F}"/>
              </c:ext>
            </c:extLst>
          </c:dPt>
          <c:dPt>
            <c:idx val="35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B-1EFA-48B2-82DB-DB0657DE8C8F}"/>
              </c:ext>
            </c:extLst>
          </c:dPt>
          <c:dPt>
            <c:idx val="35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D-1EFA-48B2-82DB-DB0657DE8C8F}"/>
              </c:ext>
            </c:extLst>
          </c:dPt>
          <c:dPt>
            <c:idx val="35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F-1EFA-48B2-82DB-DB0657DE8C8F}"/>
              </c:ext>
            </c:extLst>
          </c:dPt>
          <c:dPt>
            <c:idx val="36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1-1EFA-48B2-82DB-DB0657DE8C8F}"/>
              </c:ext>
            </c:extLst>
          </c:dPt>
          <c:dPt>
            <c:idx val="36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3-1EFA-48B2-82DB-DB0657DE8C8F}"/>
              </c:ext>
            </c:extLst>
          </c:dPt>
          <c:dPt>
            <c:idx val="36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5-1EFA-48B2-82DB-DB0657DE8C8F}"/>
              </c:ext>
            </c:extLst>
          </c:dPt>
          <c:dPt>
            <c:idx val="36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7-1EFA-48B2-82DB-DB0657DE8C8F}"/>
              </c:ext>
            </c:extLst>
          </c:dPt>
          <c:dPt>
            <c:idx val="36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9-1EFA-48B2-82DB-DB0657DE8C8F}"/>
              </c:ext>
            </c:extLst>
          </c:dPt>
          <c:dPt>
            <c:idx val="36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B-1EFA-48B2-82DB-DB0657DE8C8F}"/>
              </c:ext>
            </c:extLst>
          </c:dPt>
          <c:dPt>
            <c:idx val="36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D-1EFA-48B2-82DB-DB0657DE8C8F}"/>
              </c:ext>
            </c:extLst>
          </c:dPt>
          <c:dPt>
            <c:idx val="36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F-1EFA-48B2-82DB-DB0657DE8C8F}"/>
              </c:ext>
            </c:extLst>
          </c:dPt>
          <c:dPt>
            <c:idx val="36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1-1EFA-48B2-82DB-DB0657DE8C8F}"/>
              </c:ext>
            </c:extLst>
          </c:dPt>
          <c:dPt>
            <c:idx val="36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3-1EFA-48B2-82DB-DB0657DE8C8F}"/>
              </c:ext>
            </c:extLst>
          </c:dPt>
          <c:dPt>
            <c:idx val="37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5-1EFA-48B2-82DB-DB0657DE8C8F}"/>
              </c:ext>
            </c:extLst>
          </c:dPt>
          <c:dPt>
            <c:idx val="37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7-1EFA-48B2-82DB-DB0657DE8C8F}"/>
              </c:ext>
            </c:extLst>
          </c:dPt>
          <c:dPt>
            <c:idx val="37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9-1EFA-48B2-82DB-DB0657DE8C8F}"/>
              </c:ext>
            </c:extLst>
          </c:dPt>
          <c:dPt>
            <c:idx val="37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B-1EFA-48B2-82DB-DB0657DE8C8F}"/>
              </c:ext>
            </c:extLst>
          </c:dPt>
          <c:dPt>
            <c:idx val="37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D-1EFA-48B2-82DB-DB0657DE8C8F}"/>
              </c:ext>
            </c:extLst>
          </c:dPt>
          <c:dPt>
            <c:idx val="37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F-1EFA-48B2-82DB-DB0657DE8C8F}"/>
              </c:ext>
            </c:extLst>
          </c:dPt>
          <c:dPt>
            <c:idx val="37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1-1EFA-48B2-82DB-DB0657DE8C8F}"/>
              </c:ext>
            </c:extLst>
          </c:dPt>
          <c:dPt>
            <c:idx val="37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3-1EFA-48B2-82DB-DB0657DE8C8F}"/>
              </c:ext>
            </c:extLst>
          </c:dPt>
          <c:dPt>
            <c:idx val="378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5-1EFA-48B2-82DB-DB0657DE8C8F}"/>
              </c:ext>
            </c:extLst>
          </c:dPt>
          <c:dPt>
            <c:idx val="37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7-1EFA-48B2-82DB-DB0657DE8C8F}"/>
              </c:ext>
            </c:extLst>
          </c:dPt>
          <c:dPt>
            <c:idx val="38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9-1EFA-48B2-82DB-DB0657DE8C8F}"/>
              </c:ext>
            </c:extLst>
          </c:dPt>
          <c:dPt>
            <c:idx val="381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B-1EFA-48B2-82DB-DB0657DE8C8F}"/>
              </c:ext>
            </c:extLst>
          </c:dPt>
          <c:dPt>
            <c:idx val="382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D-1EFA-48B2-82DB-DB0657DE8C8F}"/>
              </c:ext>
            </c:extLst>
          </c:dPt>
          <c:dPt>
            <c:idx val="38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FF-1EFA-48B2-82DB-DB0657DE8C8F}"/>
              </c:ext>
            </c:extLst>
          </c:dPt>
          <c:dPt>
            <c:idx val="38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1-1EFA-48B2-82DB-DB0657DE8C8F}"/>
              </c:ext>
            </c:extLst>
          </c:dPt>
          <c:dPt>
            <c:idx val="38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3-1EFA-48B2-82DB-DB0657DE8C8F}"/>
              </c:ext>
            </c:extLst>
          </c:dPt>
          <c:dPt>
            <c:idx val="38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5-1EFA-48B2-82DB-DB0657DE8C8F}"/>
              </c:ext>
            </c:extLst>
          </c:dPt>
          <c:dPt>
            <c:idx val="38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7-1EFA-48B2-82DB-DB0657DE8C8F}"/>
              </c:ext>
            </c:extLst>
          </c:dPt>
          <c:dPt>
            <c:idx val="38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9-1EFA-48B2-82DB-DB0657DE8C8F}"/>
              </c:ext>
            </c:extLst>
          </c:dPt>
          <c:dPt>
            <c:idx val="38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B-1EFA-48B2-82DB-DB0657DE8C8F}"/>
              </c:ext>
            </c:extLst>
          </c:dPt>
          <c:dPt>
            <c:idx val="39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D-1EFA-48B2-82DB-DB0657DE8C8F}"/>
              </c:ext>
            </c:extLst>
          </c:dPt>
          <c:dPt>
            <c:idx val="39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0F-1EFA-48B2-82DB-DB0657DE8C8F}"/>
              </c:ext>
            </c:extLst>
          </c:dPt>
          <c:dPt>
            <c:idx val="39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1-1EFA-48B2-82DB-DB0657DE8C8F}"/>
              </c:ext>
            </c:extLst>
          </c:dPt>
          <c:dPt>
            <c:idx val="39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3-1EFA-48B2-82DB-DB0657DE8C8F}"/>
              </c:ext>
            </c:extLst>
          </c:dPt>
          <c:dPt>
            <c:idx val="39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5-1EFA-48B2-82DB-DB0657DE8C8F}"/>
              </c:ext>
            </c:extLst>
          </c:dPt>
          <c:dPt>
            <c:idx val="39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7-1EFA-48B2-82DB-DB0657DE8C8F}"/>
              </c:ext>
            </c:extLst>
          </c:dPt>
          <c:dPt>
            <c:idx val="39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9-1EFA-48B2-82DB-DB0657DE8C8F}"/>
              </c:ext>
            </c:extLst>
          </c:dPt>
          <c:dPt>
            <c:idx val="39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B-1EFA-48B2-82DB-DB0657DE8C8F}"/>
              </c:ext>
            </c:extLst>
          </c:dPt>
          <c:dPt>
            <c:idx val="39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D-1EFA-48B2-82DB-DB0657DE8C8F}"/>
              </c:ext>
            </c:extLst>
          </c:dPt>
          <c:dPt>
            <c:idx val="39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1F-1EFA-48B2-82DB-DB0657DE8C8F}"/>
              </c:ext>
            </c:extLst>
          </c:dPt>
          <c:dPt>
            <c:idx val="40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1-1EFA-48B2-82DB-DB0657DE8C8F}"/>
              </c:ext>
            </c:extLst>
          </c:dPt>
          <c:dPt>
            <c:idx val="40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3-1EFA-48B2-82DB-DB0657DE8C8F}"/>
              </c:ext>
            </c:extLst>
          </c:dPt>
          <c:dPt>
            <c:idx val="40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5-1EFA-48B2-82DB-DB0657DE8C8F}"/>
              </c:ext>
            </c:extLst>
          </c:dPt>
          <c:dPt>
            <c:idx val="40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7-1EFA-48B2-82DB-DB0657DE8C8F}"/>
              </c:ext>
            </c:extLst>
          </c:dPt>
          <c:dPt>
            <c:idx val="40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9-1EFA-48B2-82DB-DB0657DE8C8F}"/>
              </c:ext>
            </c:extLst>
          </c:dPt>
          <c:dPt>
            <c:idx val="40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B-1EFA-48B2-82DB-DB0657DE8C8F}"/>
              </c:ext>
            </c:extLst>
          </c:dPt>
          <c:dPt>
            <c:idx val="40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D-1EFA-48B2-82DB-DB0657DE8C8F}"/>
              </c:ext>
            </c:extLst>
          </c:dPt>
          <c:dPt>
            <c:idx val="40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2F-1EFA-48B2-82DB-DB0657DE8C8F}"/>
              </c:ext>
            </c:extLst>
          </c:dPt>
          <c:dPt>
            <c:idx val="40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1-1EFA-48B2-82DB-DB0657DE8C8F}"/>
              </c:ext>
            </c:extLst>
          </c:dPt>
          <c:dPt>
            <c:idx val="40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3-1EFA-48B2-82DB-DB0657DE8C8F}"/>
              </c:ext>
            </c:extLst>
          </c:dPt>
          <c:dPt>
            <c:idx val="41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5-1EFA-48B2-82DB-DB0657DE8C8F}"/>
              </c:ext>
            </c:extLst>
          </c:dPt>
          <c:dPt>
            <c:idx val="41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7-1EFA-48B2-82DB-DB0657DE8C8F}"/>
              </c:ext>
            </c:extLst>
          </c:dPt>
          <c:dPt>
            <c:idx val="41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9-1EFA-48B2-82DB-DB0657DE8C8F}"/>
              </c:ext>
            </c:extLst>
          </c:dPt>
          <c:dPt>
            <c:idx val="41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B-1EFA-48B2-82DB-DB0657DE8C8F}"/>
              </c:ext>
            </c:extLst>
          </c:dPt>
          <c:dPt>
            <c:idx val="41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D-1EFA-48B2-82DB-DB0657DE8C8F}"/>
              </c:ext>
            </c:extLst>
          </c:dPt>
          <c:dPt>
            <c:idx val="41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3F-1EFA-48B2-82DB-DB0657DE8C8F}"/>
              </c:ext>
            </c:extLst>
          </c:dPt>
          <c:dPt>
            <c:idx val="41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1-1EFA-48B2-82DB-DB0657DE8C8F}"/>
              </c:ext>
            </c:extLst>
          </c:dPt>
          <c:dPt>
            <c:idx val="41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3-1EFA-48B2-82DB-DB0657DE8C8F}"/>
              </c:ext>
            </c:extLst>
          </c:dPt>
          <c:dPt>
            <c:idx val="41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5-1EFA-48B2-82DB-DB0657DE8C8F}"/>
              </c:ext>
            </c:extLst>
          </c:dPt>
          <c:dPt>
            <c:idx val="41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7-1EFA-48B2-82DB-DB0657DE8C8F}"/>
              </c:ext>
            </c:extLst>
          </c:dPt>
          <c:dPt>
            <c:idx val="42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9-1EFA-48B2-82DB-DB0657DE8C8F}"/>
              </c:ext>
            </c:extLst>
          </c:dPt>
          <c:dPt>
            <c:idx val="42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B-1EFA-48B2-82DB-DB0657DE8C8F}"/>
              </c:ext>
            </c:extLst>
          </c:dPt>
          <c:dPt>
            <c:idx val="42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D-1EFA-48B2-82DB-DB0657DE8C8F}"/>
              </c:ext>
            </c:extLst>
          </c:dPt>
          <c:dPt>
            <c:idx val="42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4F-1EFA-48B2-82DB-DB0657DE8C8F}"/>
              </c:ext>
            </c:extLst>
          </c:dPt>
          <c:dPt>
            <c:idx val="42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1-1EFA-48B2-82DB-DB0657DE8C8F}"/>
              </c:ext>
            </c:extLst>
          </c:dPt>
          <c:dPt>
            <c:idx val="42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3-1EFA-48B2-82DB-DB0657DE8C8F}"/>
              </c:ext>
            </c:extLst>
          </c:dPt>
          <c:dPt>
            <c:idx val="42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5-1EFA-48B2-82DB-DB0657DE8C8F}"/>
              </c:ext>
            </c:extLst>
          </c:dPt>
          <c:dPt>
            <c:idx val="42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7-1EFA-48B2-82DB-DB0657DE8C8F}"/>
              </c:ext>
            </c:extLst>
          </c:dPt>
          <c:dPt>
            <c:idx val="42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9-1EFA-48B2-82DB-DB0657DE8C8F}"/>
              </c:ext>
            </c:extLst>
          </c:dPt>
          <c:dPt>
            <c:idx val="42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B-1EFA-48B2-82DB-DB0657DE8C8F}"/>
              </c:ext>
            </c:extLst>
          </c:dPt>
          <c:dPt>
            <c:idx val="43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D-1EFA-48B2-82DB-DB0657DE8C8F}"/>
              </c:ext>
            </c:extLst>
          </c:dPt>
          <c:dPt>
            <c:idx val="43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5F-1EFA-48B2-82DB-DB0657DE8C8F}"/>
              </c:ext>
            </c:extLst>
          </c:dPt>
          <c:dPt>
            <c:idx val="43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1-1EFA-48B2-82DB-DB0657DE8C8F}"/>
              </c:ext>
            </c:extLst>
          </c:dPt>
          <c:dPt>
            <c:idx val="43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3-1EFA-48B2-82DB-DB0657DE8C8F}"/>
              </c:ext>
            </c:extLst>
          </c:dPt>
          <c:dPt>
            <c:idx val="43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5-1EFA-48B2-82DB-DB0657DE8C8F}"/>
              </c:ext>
            </c:extLst>
          </c:dPt>
          <c:dPt>
            <c:idx val="435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7-1EFA-48B2-82DB-DB0657DE8C8F}"/>
              </c:ext>
            </c:extLst>
          </c:dPt>
          <c:dPt>
            <c:idx val="436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9-1EFA-48B2-82DB-DB0657DE8C8F}"/>
              </c:ext>
            </c:extLst>
          </c:dPt>
          <c:dPt>
            <c:idx val="43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B-1EFA-48B2-82DB-DB0657DE8C8F}"/>
              </c:ext>
            </c:extLst>
          </c:dPt>
          <c:dPt>
            <c:idx val="43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D-1EFA-48B2-82DB-DB0657DE8C8F}"/>
              </c:ext>
            </c:extLst>
          </c:dPt>
          <c:dPt>
            <c:idx val="43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6F-1EFA-48B2-82DB-DB0657DE8C8F}"/>
              </c:ext>
            </c:extLst>
          </c:dPt>
          <c:dPt>
            <c:idx val="44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1-1EFA-48B2-82DB-DB0657DE8C8F}"/>
              </c:ext>
            </c:extLst>
          </c:dPt>
          <c:dPt>
            <c:idx val="44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3-1EFA-48B2-82DB-DB0657DE8C8F}"/>
              </c:ext>
            </c:extLst>
          </c:dPt>
          <c:dPt>
            <c:idx val="44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5-1EFA-48B2-82DB-DB0657DE8C8F}"/>
              </c:ext>
            </c:extLst>
          </c:dPt>
          <c:dPt>
            <c:idx val="44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7-1EFA-48B2-82DB-DB0657DE8C8F}"/>
              </c:ext>
            </c:extLst>
          </c:dPt>
          <c:dPt>
            <c:idx val="44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9-1EFA-48B2-82DB-DB0657DE8C8F}"/>
              </c:ext>
            </c:extLst>
          </c:dPt>
          <c:dPt>
            <c:idx val="44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B-1EFA-48B2-82DB-DB0657DE8C8F}"/>
              </c:ext>
            </c:extLst>
          </c:dPt>
          <c:dPt>
            <c:idx val="44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D-1EFA-48B2-82DB-DB0657DE8C8F}"/>
              </c:ext>
            </c:extLst>
          </c:dPt>
          <c:dPt>
            <c:idx val="44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7F-1EFA-48B2-82DB-DB0657DE8C8F}"/>
              </c:ext>
            </c:extLst>
          </c:dPt>
          <c:dPt>
            <c:idx val="44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1-1EFA-48B2-82DB-DB0657DE8C8F}"/>
              </c:ext>
            </c:extLst>
          </c:dPt>
          <c:dPt>
            <c:idx val="44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3-1EFA-48B2-82DB-DB0657DE8C8F}"/>
              </c:ext>
            </c:extLst>
          </c:dPt>
          <c:dPt>
            <c:idx val="45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5-1EFA-48B2-82DB-DB0657DE8C8F}"/>
              </c:ext>
            </c:extLst>
          </c:dPt>
          <c:dPt>
            <c:idx val="45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7-1EFA-48B2-82DB-DB0657DE8C8F}"/>
              </c:ext>
            </c:extLst>
          </c:dPt>
          <c:dPt>
            <c:idx val="45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9-1EFA-48B2-82DB-DB0657DE8C8F}"/>
              </c:ext>
            </c:extLst>
          </c:dPt>
          <c:dPt>
            <c:idx val="45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B-1EFA-48B2-82DB-DB0657DE8C8F}"/>
              </c:ext>
            </c:extLst>
          </c:dPt>
          <c:dPt>
            <c:idx val="45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D-1EFA-48B2-82DB-DB0657DE8C8F}"/>
              </c:ext>
            </c:extLst>
          </c:dPt>
          <c:dPt>
            <c:idx val="45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8F-1EFA-48B2-82DB-DB0657DE8C8F}"/>
              </c:ext>
            </c:extLst>
          </c:dPt>
          <c:dPt>
            <c:idx val="45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1-1EFA-48B2-82DB-DB0657DE8C8F}"/>
              </c:ext>
            </c:extLst>
          </c:dPt>
          <c:dPt>
            <c:idx val="45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3-1EFA-48B2-82DB-DB0657DE8C8F}"/>
              </c:ext>
            </c:extLst>
          </c:dPt>
          <c:dPt>
            <c:idx val="45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5-1EFA-48B2-82DB-DB0657DE8C8F}"/>
              </c:ext>
            </c:extLst>
          </c:dPt>
          <c:dPt>
            <c:idx val="45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7-1EFA-48B2-82DB-DB0657DE8C8F}"/>
              </c:ext>
            </c:extLst>
          </c:dPt>
          <c:dPt>
            <c:idx val="46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9-1EFA-48B2-82DB-DB0657DE8C8F}"/>
              </c:ext>
            </c:extLst>
          </c:dPt>
          <c:dPt>
            <c:idx val="46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B-1EFA-48B2-82DB-DB0657DE8C8F}"/>
              </c:ext>
            </c:extLst>
          </c:dPt>
          <c:dPt>
            <c:idx val="46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D-1EFA-48B2-82DB-DB0657DE8C8F}"/>
              </c:ext>
            </c:extLst>
          </c:dPt>
          <c:dPt>
            <c:idx val="46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9F-1EFA-48B2-82DB-DB0657DE8C8F}"/>
              </c:ext>
            </c:extLst>
          </c:dPt>
          <c:dPt>
            <c:idx val="46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1-1EFA-48B2-82DB-DB0657DE8C8F}"/>
              </c:ext>
            </c:extLst>
          </c:dPt>
          <c:dPt>
            <c:idx val="46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3-1EFA-48B2-82DB-DB0657DE8C8F}"/>
              </c:ext>
            </c:extLst>
          </c:dPt>
          <c:dPt>
            <c:idx val="46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5-1EFA-48B2-82DB-DB0657DE8C8F}"/>
              </c:ext>
            </c:extLst>
          </c:dPt>
          <c:dPt>
            <c:idx val="46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7-1EFA-48B2-82DB-DB0657DE8C8F}"/>
              </c:ext>
            </c:extLst>
          </c:dPt>
          <c:dPt>
            <c:idx val="46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9-1EFA-48B2-82DB-DB0657DE8C8F}"/>
              </c:ext>
            </c:extLst>
          </c:dPt>
          <c:dPt>
            <c:idx val="46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B-1EFA-48B2-82DB-DB0657DE8C8F}"/>
              </c:ext>
            </c:extLst>
          </c:dPt>
          <c:dPt>
            <c:idx val="47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D-1EFA-48B2-82DB-DB0657DE8C8F}"/>
              </c:ext>
            </c:extLst>
          </c:dPt>
          <c:dPt>
            <c:idx val="47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AF-1EFA-48B2-82DB-DB0657DE8C8F}"/>
              </c:ext>
            </c:extLst>
          </c:dPt>
          <c:dPt>
            <c:idx val="47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1-1EFA-48B2-82DB-DB0657DE8C8F}"/>
              </c:ext>
            </c:extLst>
          </c:dPt>
          <c:dPt>
            <c:idx val="47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3-1EFA-48B2-82DB-DB0657DE8C8F}"/>
              </c:ext>
            </c:extLst>
          </c:dPt>
          <c:dPt>
            <c:idx val="47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5-1EFA-48B2-82DB-DB0657DE8C8F}"/>
              </c:ext>
            </c:extLst>
          </c:dPt>
          <c:dPt>
            <c:idx val="47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7-1EFA-48B2-82DB-DB0657DE8C8F}"/>
              </c:ext>
            </c:extLst>
          </c:dPt>
          <c:dPt>
            <c:idx val="47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9-1EFA-48B2-82DB-DB0657DE8C8F}"/>
              </c:ext>
            </c:extLst>
          </c:dPt>
          <c:dPt>
            <c:idx val="47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B-1EFA-48B2-82DB-DB0657DE8C8F}"/>
              </c:ext>
            </c:extLst>
          </c:dPt>
          <c:dPt>
            <c:idx val="47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D-1EFA-48B2-82DB-DB0657DE8C8F}"/>
              </c:ext>
            </c:extLst>
          </c:dPt>
          <c:dPt>
            <c:idx val="47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BF-1EFA-48B2-82DB-DB0657DE8C8F}"/>
              </c:ext>
            </c:extLst>
          </c:dPt>
          <c:dPt>
            <c:idx val="48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1-1EFA-48B2-82DB-DB0657DE8C8F}"/>
              </c:ext>
            </c:extLst>
          </c:dPt>
          <c:dPt>
            <c:idx val="48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3-1EFA-48B2-82DB-DB0657DE8C8F}"/>
              </c:ext>
            </c:extLst>
          </c:dPt>
          <c:dPt>
            <c:idx val="48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5-1EFA-48B2-82DB-DB0657DE8C8F}"/>
              </c:ext>
            </c:extLst>
          </c:dPt>
          <c:dPt>
            <c:idx val="48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7-1EFA-48B2-82DB-DB0657DE8C8F}"/>
              </c:ext>
            </c:extLst>
          </c:dPt>
          <c:dPt>
            <c:idx val="48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9-1EFA-48B2-82DB-DB0657DE8C8F}"/>
              </c:ext>
            </c:extLst>
          </c:dPt>
          <c:dPt>
            <c:idx val="48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B-1EFA-48B2-82DB-DB0657DE8C8F}"/>
              </c:ext>
            </c:extLst>
          </c:dPt>
          <c:dPt>
            <c:idx val="48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D-1EFA-48B2-82DB-DB0657DE8C8F}"/>
              </c:ext>
            </c:extLst>
          </c:dPt>
          <c:dPt>
            <c:idx val="48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CF-1EFA-48B2-82DB-DB0657DE8C8F}"/>
              </c:ext>
            </c:extLst>
          </c:dPt>
          <c:dPt>
            <c:idx val="488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1-1EFA-48B2-82DB-DB0657DE8C8F}"/>
              </c:ext>
            </c:extLst>
          </c:dPt>
          <c:dPt>
            <c:idx val="489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3-1EFA-48B2-82DB-DB0657DE8C8F}"/>
              </c:ext>
            </c:extLst>
          </c:dPt>
          <c:dPt>
            <c:idx val="490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5-1EFA-48B2-82DB-DB0657DE8C8F}"/>
              </c:ext>
            </c:extLst>
          </c:dPt>
          <c:dPt>
            <c:idx val="49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7-1EFA-48B2-82DB-DB0657DE8C8F}"/>
              </c:ext>
            </c:extLst>
          </c:dPt>
          <c:dPt>
            <c:idx val="49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9-1EFA-48B2-82DB-DB0657DE8C8F}"/>
              </c:ext>
            </c:extLst>
          </c:dPt>
          <c:dPt>
            <c:idx val="49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B-1EFA-48B2-82DB-DB0657DE8C8F}"/>
              </c:ext>
            </c:extLst>
          </c:dPt>
          <c:dPt>
            <c:idx val="49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D-1EFA-48B2-82DB-DB0657DE8C8F}"/>
              </c:ext>
            </c:extLst>
          </c:dPt>
          <c:dPt>
            <c:idx val="49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DF-1EFA-48B2-82DB-DB0657DE8C8F}"/>
              </c:ext>
            </c:extLst>
          </c:dPt>
          <c:dPt>
            <c:idx val="49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1-1EFA-48B2-82DB-DB0657DE8C8F}"/>
              </c:ext>
            </c:extLst>
          </c:dPt>
          <c:dPt>
            <c:idx val="49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3-1EFA-48B2-82DB-DB0657DE8C8F}"/>
              </c:ext>
            </c:extLst>
          </c:dPt>
          <c:dPt>
            <c:idx val="49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5-1EFA-48B2-82DB-DB0657DE8C8F}"/>
              </c:ext>
            </c:extLst>
          </c:dPt>
          <c:dPt>
            <c:idx val="49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7-1EFA-48B2-82DB-DB0657DE8C8F}"/>
              </c:ext>
            </c:extLst>
          </c:dPt>
          <c:dPt>
            <c:idx val="50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9-1EFA-48B2-82DB-DB0657DE8C8F}"/>
              </c:ext>
            </c:extLst>
          </c:dPt>
          <c:dPt>
            <c:idx val="50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B-1EFA-48B2-82DB-DB0657DE8C8F}"/>
              </c:ext>
            </c:extLst>
          </c:dPt>
          <c:dPt>
            <c:idx val="50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D-1EFA-48B2-82DB-DB0657DE8C8F}"/>
              </c:ext>
            </c:extLst>
          </c:dPt>
          <c:dPt>
            <c:idx val="50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EF-1EFA-48B2-82DB-DB0657DE8C8F}"/>
              </c:ext>
            </c:extLst>
          </c:dPt>
          <c:dPt>
            <c:idx val="50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1-1EFA-48B2-82DB-DB0657DE8C8F}"/>
              </c:ext>
            </c:extLst>
          </c:dPt>
          <c:dPt>
            <c:idx val="50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3-1EFA-48B2-82DB-DB0657DE8C8F}"/>
              </c:ext>
            </c:extLst>
          </c:dPt>
          <c:dPt>
            <c:idx val="50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5-1EFA-48B2-82DB-DB0657DE8C8F}"/>
              </c:ext>
            </c:extLst>
          </c:dPt>
          <c:dPt>
            <c:idx val="50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7-1EFA-48B2-82DB-DB0657DE8C8F}"/>
              </c:ext>
            </c:extLst>
          </c:dPt>
          <c:dPt>
            <c:idx val="50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9-1EFA-48B2-82DB-DB0657DE8C8F}"/>
              </c:ext>
            </c:extLst>
          </c:dPt>
          <c:dPt>
            <c:idx val="50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B-1EFA-48B2-82DB-DB0657DE8C8F}"/>
              </c:ext>
            </c:extLst>
          </c:dPt>
          <c:dPt>
            <c:idx val="51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D-1EFA-48B2-82DB-DB0657DE8C8F}"/>
              </c:ext>
            </c:extLst>
          </c:dPt>
          <c:dPt>
            <c:idx val="51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3FF-1EFA-48B2-82DB-DB0657DE8C8F}"/>
              </c:ext>
            </c:extLst>
          </c:dPt>
          <c:dPt>
            <c:idx val="51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1-1EFA-48B2-82DB-DB0657DE8C8F}"/>
              </c:ext>
            </c:extLst>
          </c:dPt>
          <c:dPt>
            <c:idx val="51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3-1EFA-48B2-82DB-DB0657DE8C8F}"/>
              </c:ext>
            </c:extLst>
          </c:dPt>
          <c:dPt>
            <c:idx val="51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5-1EFA-48B2-82DB-DB0657DE8C8F}"/>
              </c:ext>
            </c:extLst>
          </c:dPt>
          <c:dPt>
            <c:idx val="51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7-1EFA-48B2-82DB-DB0657DE8C8F}"/>
              </c:ext>
            </c:extLst>
          </c:dPt>
          <c:dPt>
            <c:idx val="51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9-1EFA-48B2-82DB-DB0657DE8C8F}"/>
              </c:ext>
            </c:extLst>
          </c:dPt>
          <c:dPt>
            <c:idx val="51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B-1EFA-48B2-82DB-DB0657DE8C8F}"/>
              </c:ext>
            </c:extLst>
          </c:dPt>
          <c:dPt>
            <c:idx val="51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D-1EFA-48B2-82DB-DB0657DE8C8F}"/>
              </c:ext>
            </c:extLst>
          </c:dPt>
          <c:dPt>
            <c:idx val="51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0F-1EFA-48B2-82DB-DB0657DE8C8F}"/>
              </c:ext>
            </c:extLst>
          </c:dPt>
          <c:dPt>
            <c:idx val="52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1-1EFA-48B2-82DB-DB0657DE8C8F}"/>
              </c:ext>
            </c:extLst>
          </c:dPt>
          <c:dPt>
            <c:idx val="52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3-1EFA-48B2-82DB-DB0657DE8C8F}"/>
              </c:ext>
            </c:extLst>
          </c:dPt>
          <c:dPt>
            <c:idx val="52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5-1EFA-48B2-82DB-DB0657DE8C8F}"/>
              </c:ext>
            </c:extLst>
          </c:dPt>
          <c:dPt>
            <c:idx val="52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7-1EFA-48B2-82DB-DB0657DE8C8F}"/>
              </c:ext>
            </c:extLst>
          </c:dPt>
          <c:dPt>
            <c:idx val="52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9-1EFA-48B2-82DB-DB0657DE8C8F}"/>
              </c:ext>
            </c:extLst>
          </c:dPt>
          <c:dPt>
            <c:idx val="52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B-1EFA-48B2-82DB-DB0657DE8C8F}"/>
              </c:ext>
            </c:extLst>
          </c:dPt>
          <c:dPt>
            <c:idx val="52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D-1EFA-48B2-82DB-DB0657DE8C8F}"/>
              </c:ext>
            </c:extLst>
          </c:dPt>
          <c:dPt>
            <c:idx val="52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1F-1EFA-48B2-82DB-DB0657DE8C8F}"/>
              </c:ext>
            </c:extLst>
          </c:dPt>
          <c:dPt>
            <c:idx val="52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1-1EFA-48B2-82DB-DB0657DE8C8F}"/>
              </c:ext>
            </c:extLst>
          </c:dPt>
          <c:dPt>
            <c:idx val="52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3-1EFA-48B2-82DB-DB0657DE8C8F}"/>
              </c:ext>
            </c:extLst>
          </c:dPt>
          <c:dPt>
            <c:idx val="53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5-1EFA-48B2-82DB-DB0657DE8C8F}"/>
              </c:ext>
            </c:extLst>
          </c:dPt>
          <c:dPt>
            <c:idx val="53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7-1EFA-48B2-82DB-DB0657DE8C8F}"/>
              </c:ext>
            </c:extLst>
          </c:dPt>
          <c:dPt>
            <c:idx val="53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9-1EFA-48B2-82DB-DB0657DE8C8F}"/>
              </c:ext>
            </c:extLst>
          </c:dPt>
          <c:dPt>
            <c:idx val="53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B-1EFA-48B2-82DB-DB0657DE8C8F}"/>
              </c:ext>
            </c:extLst>
          </c:dPt>
          <c:dPt>
            <c:idx val="53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D-1EFA-48B2-82DB-DB0657DE8C8F}"/>
              </c:ext>
            </c:extLst>
          </c:dPt>
          <c:dPt>
            <c:idx val="53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2F-1EFA-48B2-82DB-DB0657DE8C8F}"/>
              </c:ext>
            </c:extLst>
          </c:dPt>
          <c:dPt>
            <c:idx val="53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1-1EFA-48B2-82DB-DB0657DE8C8F}"/>
              </c:ext>
            </c:extLst>
          </c:dPt>
          <c:dPt>
            <c:idx val="53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3-1EFA-48B2-82DB-DB0657DE8C8F}"/>
              </c:ext>
            </c:extLst>
          </c:dPt>
          <c:dPt>
            <c:idx val="53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5-1EFA-48B2-82DB-DB0657DE8C8F}"/>
              </c:ext>
            </c:extLst>
          </c:dPt>
          <c:dPt>
            <c:idx val="53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7-1EFA-48B2-82DB-DB0657DE8C8F}"/>
              </c:ext>
            </c:extLst>
          </c:dPt>
          <c:dPt>
            <c:idx val="54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9-1EFA-48B2-82DB-DB0657DE8C8F}"/>
              </c:ext>
            </c:extLst>
          </c:dPt>
          <c:dPt>
            <c:idx val="54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B-1EFA-48B2-82DB-DB0657DE8C8F}"/>
              </c:ext>
            </c:extLst>
          </c:dPt>
          <c:dPt>
            <c:idx val="54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D-1EFA-48B2-82DB-DB0657DE8C8F}"/>
              </c:ext>
            </c:extLst>
          </c:dPt>
          <c:dPt>
            <c:idx val="54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3F-1EFA-48B2-82DB-DB0657DE8C8F}"/>
              </c:ext>
            </c:extLst>
          </c:dPt>
          <c:dPt>
            <c:idx val="54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1-1EFA-48B2-82DB-DB0657DE8C8F}"/>
              </c:ext>
            </c:extLst>
          </c:dPt>
          <c:dPt>
            <c:idx val="54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3-1EFA-48B2-82DB-DB0657DE8C8F}"/>
              </c:ext>
            </c:extLst>
          </c:dPt>
          <c:dPt>
            <c:idx val="54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5-1EFA-48B2-82DB-DB0657DE8C8F}"/>
              </c:ext>
            </c:extLst>
          </c:dPt>
          <c:dPt>
            <c:idx val="54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7-1EFA-48B2-82DB-DB0657DE8C8F}"/>
              </c:ext>
            </c:extLst>
          </c:dPt>
          <c:dPt>
            <c:idx val="54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9-1EFA-48B2-82DB-DB0657DE8C8F}"/>
              </c:ext>
            </c:extLst>
          </c:dPt>
          <c:dPt>
            <c:idx val="54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B-1EFA-48B2-82DB-DB0657DE8C8F}"/>
              </c:ext>
            </c:extLst>
          </c:dPt>
          <c:dPt>
            <c:idx val="55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D-1EFA-48B2-82DB-DB0657DE8C8F}"/>
              </c:ext>
            </c:extLst>
          </c:dPt>
          <c:dPt>
            <c:idx val="55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4F-1EFA-48B2-82DB-DB0657DE8C8F}"/>
              </c:ext>
            </c:extLst>
          </c:dPt>
          <c:dPt>
            <c:idx val="55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1-1EFA-48B2-82DB-DB0657DE8C8F}"/>
              </c:ext>
            </c:extLst>
          </c:dPt>
          <c:dPt>
            <c:idx val="55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3-1EFA-48B2-82DB-DB0657DE8C8F}"/>
              </c:ext>
            </c:extLst>
          </c:dPt>
          <c:dPt>
            <c:idx val="55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5-1EFA-48B2-82DB-DB0657DE8C8F}"/>
              </c:ext>
            </c:extLst>
          </c:dPt>
          <c:dPt>
            <c:idx val="55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7-1EFA-48B2-82DB-DB0657DE8C8F}"/>
              </c:ext>
            </c:extLst>
          </c:dPt>
          <c:dPt>
            <c:idx val="55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9-1EFA-48B2-82DB-DB0657DE8C8F}"/>
              </c:ext>
            </c:extLst>
          </c:dPt>
          <c:dPt>
            <c:idx val="55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B-1EFA-48B2-82DB-DB0657DE8C8F}"/>
              </c:ext>
            </c:extLst>
          </c:dPt>
          <c:dPt>
            <c:idx val="55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D-1EFA-48B2-82DB-DB0657DE8C8F}"/>
              </c:ext>
            </c:extLst>
          </c:dPt>
          <c:dPt>
            <c:idx val="55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5F-1EFA-48B2-82DB-DB0657DE8C8F}"/>
              </c:ext>
            </c:extLst>
          </c:dPt>
          <c:dPt>
            <c:idx val="56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1-1EFA-48B2-82DB-DB0657DE8C8F}"/>
              </c:ext>
            </c:extLst>
          </c:dPt>
          <c:dPt>
            <c:idx val="56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3-1EFA-48B2-82DB-DB0657DE8C8F}"/>
              </c:ext>
            </c:extLst>
          </c:dPt>
          <c:dPt>
            <c:idx val="56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5-1EFA-48B2-82DB-DB0657DE8C8F}"/>
              </c:ext>
            </c:extLst>
          </c:dPt>
          <c:dPt>
            <c:idx val="56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7-1EFA-48B2-82DB-DB0657DE8C8F}"/>
              </c:ext>
            </c:extLst>
          </c:dPt>
          <c:dPt>
            <c:idx val="56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9-1EFA-48B2-82DB-DB0657DE8C8F}"/>
              </c:ext>
            </c:extLst>
          </c:dPt>
          <c:dPt>
            <c:idx val="56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B-1EFA-48B2-82DB-DB0657DE8C8F}"/>
              </c:ext>
            </c:extLst>
          </c:dPt>
          <c:dPt>
            <c:idx val="56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D-1EFA-48B2-82DB-DB0657DE8C8F}"/>
              </c:ext>
            </c:extLst>
          </c:dPt>
          <c:dPt>
            <c:idx val="56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6F-1EFA-48B2-82DB-DB0657DE8C8F}"/>
              </c:ext>
            </c:extLst>
          </c:dPt>
          <c:dPt>
            <c:idx val="56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1-1EFA-48B2-82DB-DB0657DE8C8F}"/>
              </c:ext>
            </c:extLst>
          </c:dPt>
          <c:dPt>
            <c:idx val="56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3-1EFA-48B2-82DB-DB0657DE8C8F}"/>
              </c:ext>
            </c:extLst>
          </c:dPt>
          <c:dPt>
            <c:idx val="57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5-1EFA-48B2-82DB-DB0657DE8C8F}"/>
              </c:ext>
            </c:extLst>
          </c:dPt>
          <c:dPt>
            <c:idx val="57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7-1EFA-48B2-82DB-DB0657DE8C8F}"/>
              </c:ext>
            </c:extLst>
          </c:dPt>
          <c:dPt>
            <c:idx val="57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9-1EFA-48B2-82DB-DB0657DE8C8F}"/>
              </c:ext>
            </c:extLst>
          </c:dPt>
          <c:dPt>
            <c:idx val="57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B-1EFA-48B2-82DB-DB0657DE8C8F}"/>
              </c:ext>
            </c:extLst>
          </c:dPt>
          <c:dPt>
            <c:idx val="57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D-1EFA-48B2-82DB-DB0657DE8C8F}"/>
              </c:ext>
            </c:extLst>
          </c:dPt>
          <c:dPt>
            <c:idx val="57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7F-1EFA-48B2-82DB-DB0657DE8C8F}"/>
              </c:ext>
            </c:extLst>
          </c:dPt>
          <c:dPt>
            <c:idx val="57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1-1EFA-48B2-82DB-DB0657DE8C8F}"/>
              </c:ext>
            </c:extLst>
          </c:dPt>
          <c:dPt>
            <c:idx val="57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3-1EFA-48B2-82DB-DB0657DE8C8F}"/>
              </c:ext>
            </c:extLst>
          </c:dPt>
          <c:dPt>
            <c:idx val="57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5-1EFA-48B2-82DB-DB0657DE8C8F}"/>
              </c:ext>
            </c:extLst>
          </c:dPt>
          <c:dPt>
            <c:idx val="57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7-1EFA-48B2-82DB-DB0657DE8C8F}"/>
              </c:ext>
            </c:extLst>
          </c:dPt>
          <c:dPt>
            <c:idx val="58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9-1EFA-48B2-82DB-DB0657DE8C8F}"/>
              </c:ext>
            </c:extLst>
          </c:dPt>
          <c:dPt>
            <c:idx val="58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B-1EFA-48B2-82DB-DB0657DE8C8F}"/>
              </c:ext>
            </c:extLst>
          </c:dPt>
          <c:dPt>
            <c:idx val="58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D-1EFA-48B2-82DB-DB0657DE8C8F}"/>
              </c:ext>
            </c:extLst>
          </c:dPt>
          <c:dPt>
            <c:idx val="58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8F-1EFA-48B2-82DB-DB0657DE8C8F}"/>
              </c:ext>
            </c:extLst>
          </c:dPt>
          <c:dPt>
            <c:idx val="58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1-1EFA-48B2-82DB-DB0657DE8C8F}"/>
              </c:ext>
            </c:extLst>
          </c:dPt>
          <c:dPt>
            <c:idx val="58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3-1EFA-48B2-82DB-DB0657DE8C8F}"/>
              </c:ext>
            </c:extLst>
          </c:dPt>
          <c:dPt>
            <c:idx val="58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5-1EFA-48B2-82DB-DB0657DE8C8F}"/>
              </c:ext>
            </c:extLst>
          </c:dPt>
          <c:dPt>
            <c:idx val="58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7-1EFA-48B2-82DB-DB0657DE8C8F}"/>
              </c:ext>
            </c:extLst>
          </c:dPt>
          <c:dPt>
            <c:idx val="58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9-1EFA-48B2-82DB-DB0657DE8C8F}"/>
              </c:ext>
            </c:extLst>
          </c:dPt>
          <c:dPt>
            <c:idx val="58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B-1EFA-48B2-82DB-DB0657DE8C8F}"/>
              </c:ext>
            </c:extLst>
          </c:dPt>
          <c:dPt>
            <c:idx val="59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D-1EFA-48B2-82DB-DB0657DE8C8F}"/>
              </c:ext>
            </c:extLst>
          </c:dPt>
          <c:dPt>
            <c:idx val="59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9F-1EFA-48B2-82DB-DB0657DE8C8F}"/>
              </c:ext>
            </c:extLst>
          </c:dPt>
          <c:dPt>
            <c:idx val="59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1-1EFA-48B2-82DB-DB0657DE8C8F}"/>
              </c:ext>
            </c:extLst>
          </c:dPt>
          <c:dPt>
            <c:idx val="59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3-1EFA-48B2-82DB-DB0657DE8C8F}"/>
              </c:ext>
            </c:extLst>
          </c:dPt>
          <c:dPt>
            <c:idx val="59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5-1EFA-48B2-82DB-DB0657DE8C8F}"/>
              </c:ext>
            </c:extLst>
          </c:dPt>
          <c:dPt>
            <c:idx val="59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7-1EFA-48B2-82DB-DB0657DE8C8F}"/>
              </c:ext>
            </c:extLst>
          </c:dPt>
          <c:dPt>
            <c:idx val="59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9-1EFA-48B2-82DB-DB0657DE8C8F}"/>
              </c:ext>
            </c:extLst>
          </c:dPt>
          <c:dPt>
            <c:idx val="597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B-1EFA-48B2-82DB-DB0657DE8C8F}"/>
              </c:ext>
            </c:extLst>
          </c:dPt>
          <c:dPt>
            <c:idx val="598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D-1EFA-48B2-82DB-DB0657DE8C8F}"/>
              </c:ext>
            </c:extLst>
          </c:dPt>
          <c:dPt>
            <c:idx val="599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AF-1EFA-48B2-82DB-DB0657DE8C8F}"/>
              </c:ext>
            </c:extLst>
          </c:dPt>
          <c:dPt>
            <c:idx val="60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1-1EFA-48B2-82DB-DB0657DE8C8F}"/>
              </c:ext>
            </c:extLst>
          </c:dPt>
          <c:dPt>
            <c:idx val="60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3-1EFA-48B2-82DB-DB0657DE8C8F}"/>
              </c:ext>
            </c:extLst>
          </c:dPt>
          <c:dPt>
            <c:idx val="60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5-1EFA-48B2-82DB-DB0657DE8C8F}"/>
              </c:ext>
            </c:extLst>
          </c:dPt>
          <c:dPt>
            <c:idx val="60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7-1EFA-48B2-82DB-DB0657DE8C8F}"/>
              </c:ext>
            </c:extLst>
          </c:dPt>
          <c:dPt>
            <c:idx val="60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9-1EFA-48B2-82DB-DB0657DE8C8F}"/>
              </c:ext>
            </c:extLst>
          </c:dPt>
          <c:dPt>
            <c:idx val="60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B-1EFA-48B2-82DB-DB0657DE8C8F}"/>
              </c:ext>
            </c:extLst>
          </c:dPt>
          <c:dPt>
            <c:idx val="60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D-1EFA-48B2-82DB-DB0657DE8C8F}"/>
              </c:ext>
            </c:extLst>
          </c:dPt>
          <c:dPt>
            <c:idx val="60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BF-1EFA-48B2-82DB-DB0657DE8C8F}"/>
              </c:ext>
            </c:extLst>
          </c:dPt>
          <c:dPt>
            <c:idx val="60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1-1EFA-48B2-82DB-DB0657DE8C8F}"/>
              </c:ext>
            </c:extLst>
          </c:dPt>
          <c:dPt>
            <c:idx val="60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3-1EFA-48B2-82DB-DB0657DE8C8F}"/>
              </c:ext>
            </c:extLst>
          </c:dPt>
          <c:dPt>
            <c:idx val="61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5-1EFA-48B2-82DB-DB0657DE8C8F}"/>
              </c:ext>
            </c:extLst>
          </c:dPt>
          <c:dPt>
            <c:idx val="61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7-1EFA-48B2-82DB-DB0657DE8C8F}"/>
              </c:ext>
            </c:extLst>
          </c:dPt>
          <c:dPt>
            <c:idx val="61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9-1EFA-48B2-82DB-DB0657DE8C8F}"/>
              </c:ext>
            </c:extLst>
          </c:dPt>
          <c:dPt>
            <c:idx val="61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B-1EFA-48B2-82DB-DB0657DE8C8F}"/>
              </c:ext>
            </c:extLst>
          </c:dPt>
          <c:dPt>
            <c:idx val="61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D-1EFA-48B2-82DB-DB0657DE8C8F}"/>
              </c:ext>
            </c:extLst>
          </c:dPt>
          <c:dPt>
            <c:idx val="61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CF-1EFA-48B2-82DB-DB0657DE8C8F}"/>
              </c:ext>
            </c:extLst>
          </c:dPt>
          <c:dPt>
            <c:idx val="61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1-1EFA-48B2-82DB-DB0657DE8C8F}"/>
              </c:ext>
            </c:extLst>
          </c:dPt>
          <c:dPt>
            <c:idx val="61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3-1EFA-48B2-82DB-DB0657DE8C8F}"/>
              </c:ext>
            </c:extLst>
          </c:dPt>
          <c:dPt>
            <c:idx val="61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5-1EFA-48B2-82DB-DB0657DE8C8F}"/>
              </c:ext>
            </c:extLst>
          </c:dPt>
          <c:dPt>
            <c:idx val="61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7-1EFA-48B2-82DB-DB0657DE8C8F}"/>
              </c:ext>
            </c:extLst>
          </c:dPt>
          <c:dPt>
            <c:idx val="62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9-1EFA-48B2-82DB-DB0657DE8C8F}"/>
              </c:ext>
            </c:extLst>
          </c:dPt>
          <c:dPt>
            <c:idx val="62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B-1EFA-48B2-82DB-DB0657DE8C8F}"/>
              </c:ext>
            </c:extLst>
          </c:dPt>
          <c:dPt>
            <c:idx val="62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D-1EFA-48B2-82DB-DB0657DE8C8F}"/>
              </c:ext>
            </c:extLst>
          </c:dPt>
          <c:dPt>
            <c:idx val="62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DF-1EFA-48B2-82DB-DB0657DE8C8F}"/>
              </c:ext>
            </c:extLst>
          </c:dPt>
          <c:dPt>
            <c:idx val="62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1-1EFA-48B2-82DB-DB0657DE8C8F}"/>
              </c:ext>
            </c:extLst>
          </c:dPt>
          <c:dPt>
            <c:idx val="62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3-1EFA-48B2-82DB-DB0657DE8C8F}"/>
              </c:ext>
            </c:extLst>
          </c:dPt>
          <c:dPt>
            <c:idx val="62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5-1EFA-48B2-82DB-DB0657DE8C8F}"/>
              </c:ext>
            </c:extLst>
          </c:dPt>
          <c:dPt>
            <c:idx val="62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7-1EFA-48B2-82DB-DB0657DE8C8F}"/>
              </c:ext>
            </c:extLst>
          </c:dPt>
          <c:dPt>
            <c:idx val="62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9-1EFA-48B2-82DB-DB0657DE8C8F}"/>
              </c:ext>
            </c:extLst>
          </c:dPt>
          <c:dPt>
            <c:idx val="62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B-1EFA-48B2-82DB-DB0657DE8C8F}"/>
              </c:ext>
            </c:extLst>
          </c:dPt>
          <c:dPt>
            <c:idx val="63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D-1EFA-48B2-82DB-DB0657DE8C8F}"/>
              </c:ext>
            </c:extLst>
          </c:dPt>
          <c:dPt>
            <c:idx val="63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EF-1EFA-48B2-82DB-DB0657DE8C8F}"/>
              </c:ext>
            </c:extLst>
          </c:dPt>
          <c:dPt>
            <c:idx val="63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1-1EFA-48B2-82DB-DB0657DE8C8F}"/>
              </c:ext>
            </c:extLst>
          </c:dPt>
          <c:dPt>
            <c:idx val="63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3-1EFA-48B2-82DB-DB0657DE8C8F}"/>
              </c:ext>
            </c:extLst>
          </c:dPt>
          <c:dPt>
            <c:idx val="63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5-1EFA-48B2-82DB-DB0657DE8C8F}"/>
              </c:ext>
            </c:extLst>
          </c:dPt>
          <c:dPt>
            <c:idx val="63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7-1EFA-48B2-82DB-DB0657DE8C8F}"/>
              </c:ext>
            </c:extLst>
          </c:dPt>
          <c:dPt>
            <c:idx val="63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9-1EFA-48B2-82DB-DB0657DE8C8F}"/>
              </c:ext>
            </c:extLst>
          </c:dPt>
          <c:dPt>
            <c:idx val="63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B-1EFA-48B2-82DB-DB0657DE8C8F}"/>
              </c:ext>
            </c:extLst>
          </c:dPt>
          <c:dPt>
            <c:idx val="63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D-1EFA-48B2-82DB-DB0657DE8C8F}"/>
              </c:ext>
            </c:extLst>
          </c:dPt>
          <c:dPt>
            <c:idx val="63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4FF-1EFA-48B2-82DB-DB0657DE8C8F}"/>
              </c:ext>
            </c:extLst>
          </c:dPt>
          <c:dPt>
            <c:idx val="64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1-1EFA-48B2-82DB-DB0657DE8C8F}"/>
              </c:ext>
            </c:extLst>
          </c:dPt>
          <c:dPt>
            <c:idx val="64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3-1EFA-48B2-82DB-DB0657DE8C8F}"/>
              </c:ext>
            </c:extLst>
          </c:dPt>
          <c:dPt>
            <c:idx val="64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5-1EFA-48B2-82DB-DB0657DE8C8F}"/>
              </c:ext>
            </c:extLst>
          </c:dPt>
          <c:dPt>
            <c:idx val="64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7-1EFA-48B2-82DB-DB0657DE8C8F}"/>
              </c:ext>
            </c:extLst>
          </c:dPt>
          <c:dPt>
            <c:idx val="64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9-1EFA-48B2-82DB-DB0657DE8C8F}"/>
              </c:ext>
            </c:extLst>
          </c:dPt>
          <c:dPt>
            <c:idx val="64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B-1EFA-48B2-82DB-DB0657DE8C8F}"/>
              </c:ext>
            </c:extLst>
          </c:dPt>
          <c:dPt>
            <c:idx val="64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D-1EFA-48B2-82DB-DB0657DE8C8F}"/>
              </c:ext>
            </c:extLst>
          </c:dPt>
          <c:dPt>
            <c:idx val="64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0F-1EFA-48B2-82DB-DB0657DE8C8F}"/>
              </c:ext>
            </c:extLst>
          </c:dPt>
          <c:dPt>
            <c:idx val="648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1-1EFA-48B2-82DB-DB0657DE8C8F}"/>
              </c:ext>
            </c:extLst>
          </c:dPt>
          <c:dPt>
            <c:idx val="64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3-1EFA-48B2-82DB-DB0657DE8C8F}"/>
              </c:ext>
            </c:extLst>
          </c:dPt>
          <c:dPt>
            <c:idx val="65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5-1EFA-48B2-82DB-DB0657DE8C8F}"/>
              </c:ext>
            </c:extLst>
          </c:dPt>
          <c:dPt>
            <c:idx val="651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7-1EFA-48B2-82DB-DB0657DE8C8F}"/>
              </c:ext>
            </c:extLst>
          </c:dPt>
          <c:dPt>
            <c:idx val="652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9-1EFA-48B2-82DB-DB0657DE8C8F}"/>
              </c:ext>
            </c:extLst>
          </c:dPt>
          <c:dPt>
            <c:idx val="65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B-1EFA-48B2-82DB-DB0657DE8C8F}"/>
              </c:ext>
            </c:extLst>
          </c:dPt>
          <c:dPt>
            <c:idx val="65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D-1EFA-48B2-82DB-DB0657DE8C8F}"/>
              </c:ext>
            </c:extLst>
          </c:dPt>
          <c:dPt>
            <c:idx val="65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1F-1EFA-48B2-82DB-DB0657DE8C8F}"/>
              </c:ext>
            </c:extLst>
          </c:dPt>
          <c:dPt>
            <c:idx val="65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1-1EFA-48B2-82DB-DB0657DE8C8F}"/>
              </c:ext>
            </c:extLst>
          </c:dPt>
          <c:dPt>
            <c:idx val="65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3-1EFA-48B2-82DB-DB0657DE8C8F}"/>
              </c:ext>
            </c:extLst>
          </c:dPt>
          <c:dPt>
            <c:idx val="65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5-1EFA-48B2-82DB-DB0657DE8C8F}"/>
              </c:ext>
            </c:extLst>
          </c:dPt>
          <c:dPt>
            <c:idx val="65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7-1EFA-48B2-82DB-DB0657DE8C8F}"/>
              </c:ext>
            </c:extLst>
          </c:dPt>
          <c:dPt>
            <c:idx val="66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9-1EFA-48B2-82DB-DB0657DE8C8F}"/>
              </c:ext>
            </c:extLst>
          </c:dPt>
          <c:dPt>
            <c:idx val="66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B-1EFA-48B2-82DB-DB0657DE8C8F}"/>
              </c:ext>
            </c:extLst>
          </c:dPt>
          <c:dPt>
            <c:idx val="66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D-1EFA-48B2-82DB-DB0657DE8C8F}"/>
              </c:ext>
            </c:extLst>
          </c:dPt>
          <c:dPt>
            <c:idx val="66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2F-1EFA-48B2-82DB-DB0657DE8C8F}"/>
              </c:ext>
            </c:extLst>
          </c:dPt>
          <c:dPt>
            <c:idx val="66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1-1EFA-48B2-82DB-DB0657DE8C8F}"/>
              </c:ext>
            </c:extLst>
          </c:dPt>
          <c:dPt>
            <c:idx val="66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3-1EFA-48B2-82DB-DB0657DE8C8F}"/>
              </c:ext>
            </c:extLst>
          </c:dPt>
          <c:dPt>
            <c:idx val="66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5-1EFA-48B2-82DB-DB0657DE8C8F}"/>
              </c:ext>
            </c:extLst>
          </c:dPt>
          <c:dPt>
            <c:idx val="66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7-1EFA-48B2-82DB-DB0657DE8C8F}"/>
              </c:ext>
            </c:extLst>
          </c:dPt>
          <c:dPt>
            <c:idx val="66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9-1EFA-48B2-82DB-DB0657DE8C8F}"/>
              </c:ext>
            </c:extLst>
          </c:dPt>
          <c:dPt>
            <c:idx val="66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B-1EFA-48B2-82DB-DB0657DE8C8F}"/>
              </c:ext>
            </c:extLst>
          </c:dPt>
          <c:dPt>
            <c:idx val="67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D-1EFA-48B2-82DB-DB0657DE8C8F}"/>
              </c:ext>
            </c:extLst>
          </c:dPt>
          <c:dPt>
            <c:idx val="67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3F-1EFA-48B2-82DB-DB0657DE8C8F}"/>
              </c:ext>
            </c:extLst>
          </c:dPt>
          <c:dPt>
            <c:idx val="67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1-1EFA-48B2-82DB-DB0657DE8C8F}"/>
              </c:ext>
            </c:extLst>
          </c:dPt>
          <c:dPt>
            <c:idx val="67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3-1EFA-48B2-82DB-DB0657DE8C8F}"/>
              </c:ext>
            </c:extLst>
          </c:dPt>
          <c:dPt>
            <c:idx val="67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5-1EFA-48B2-82DB-DB0657DE8C8F}"/>
              </c:ext>
            </c:extLst>
          </c:dPt>
          <c:dPt>
            <c:idx val="67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7-1EFA-48B2-82DB-DB0657DE8C8F}"/>
              </c:ext>
            </c:extLst>
          </c:dPt>
          <c:dPt>
            <c:idx val="67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9-1EFA-48B2-82DB-DB0657DE8C8F}"/>
              </c:ext>
            </c:extLst>
          </c:dPt>
          <c:dPt>
            <c:idx val="67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B-1EFA-48B2-82DB-DB0657DE8C8F}"/>
              </c:ext>
            </c:extLst>
          </c:dPt>
          <c:dPt>
            <c:idx val="67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D-1EFA-48B2-82DB-DB0657DE8C8F}"/>
              </c:ext>
            </c:extLst>
          </c:dPt>
          <c:dPt>
            <c:idx val="67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4F-1EFA-48B2-82DB-DB0657DE8C8F}"/>
              </c:ext>
            </c:extLst>
          </c:dPt>
          <c:dPt>
            <c:idx val="68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1-1EFA-48B2-82DB-DB0657DE8C8F}"/>
              </c:ext>
            </c:extLst>
          </c:dPt>
          <c:dPt>
            <c:idx val="68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3-1EFA-48B2-82DB-DB0657DE8C8F}"/>
              </c:ext>
            </c:extLst>
          </c:dPt>
          <c:dPt>
            <c:idx val="68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5-1EFA-48B2-82DB-DB0657DE8C8F}"/>
              </c:ext>
            </c:extLst>
          </c:dPt>
          <c:dPt>
            <c:idx val="68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7-1EFA-48B2-82DB-DB0657DE8C8F}"/>
              </c:ext>
            </c:extLst>
          </c:dPt>
          <c:dPt>
            <c:idx val="68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9-1EFA-48B2-82DB-DB0657DE8C8F}"/>
              </c:ext>
            </c:extLst>
          </c:dPt>
          <c:dPt>
            <c:idx val="68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B-1EFA-48B2-82DB-DB0657DE8C8F}"/>
              </c:ext>
            </c:extLst>
          </c:dPt>
          <c:dPt>
            <c:idx val="68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D-1EFA-48B2-82DB-DB0657DE8C8F}"/>
              </c:ext>
            </c:extLst>
          </c:dPt>
          <c:dPt>
            <c:idx val="68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5F-1EFA-48B2-82DB-DB0657DE8C8F}"/>
              </c:ext>
            </c:extLst>
          </c:dPt>
          <c:dPt>
            <c:idx val="68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1-1EFA-48B2-82DB-DB0657DE8C8F}"/>
              </c:ext>
            </c:extLst>
          </c:dPt>
          <c:dPt>
            <c:idx val="68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3-1EFA-48B2-82DB-DB0657DE8C8F}"/>
              </c:ext>
            </c:extLst>
          </c:dPt>
          <c:dPt>
            <c:idx val="69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5-1EFA-48B2-82DB-DB0657DE8C8F}"/>
              </c:ext>
            </c:extLst>
          </c:dPt>
          <c:dPt>
            <c:idx val="69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7-1EFA-48B2-82DB-DB0657DE8C8F}"/>
              </c:ext>
            </c:extLst>
          </c:dPt>
          <c:dPt>
            <c:idx val="69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9-1EFA-48B2-82DB-DB0657DE8C8F}"/>
              </c:ext>
            </c:extLst>
          </c:dPt>
          <c:dPt>
            <c:idx val="69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B-1EFA-48B2-82DB-DB0657DE8C8F}"/>
              </c:ext>
            </c:extLst>
          </c:dPt>
          <c:dPt>
            <c:idx val="69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D-1EFA-48B2-82DB-DB0657DE8C8F}"/>
              </c:ext>
            </c:extLst>
          </c:dPt>
          <c:dPt>
            <c:idx val="69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6F-1EFA-48B2-82DB-DB0657DE8C8F}"/>
              </c:ext>
            </c:extLst>
          </c:dPt>
          <c:dPt>
            <c:idx val="69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1-1EFA-48B2-82DB-DB0657DE8C8F}"/>
              </c:ext>
            </c:extLst>
          </c:dPt>
          <c:dPt>
            <c:idx val="69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3-1EFA-48B2-82DB-DB0657DE8C8F}"/>
              </c:ext>
            </c:extLst>
          </c:dPt>
          <c:dPt>
            <c:idx val="69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5-1EFA-48B2-82DB-DB0657DE8C8F}"/>
              </c:ext>
            </c:extLst>
          </c:dPt>
          <c:dPt>
            <c:idx val="69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7-1EFA-48B2-82DB-DB0657DE8C8F}"/>
              </c:ext>
            </c:extLst>
          </c:dPt>
          <c:dPt>
            <c:idx val="70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9-1EFA-48B2-82DB-DB0657DE8C8F}"/>
              </c:ext>
            </c:extLst>
          </c:dPt>
          <c:dPt>
            <c:idx val="70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B-1EFA-48B2-82DB-DB0657DE8C8F}"/>
              </c:ext>
            </c:extLst>
          </c:dPt>
          <c:dPt>
            <c:idx val="70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D-1EFA-48B2-82DB-DB0657DE8C8F}"/>
              </c:ext>
            </c:extLst>
          </c:dPt>
          <c:dPt>
            <c:idx val="70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7F-1EFA-48B2-82DB-DB0657DE8C8F}"/>
              </c:ext>
            </c:extLst>
          </c:dPt>
          <c:dPt>
            <c:idx val="70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1-1EFA-48B2-82DB-DB0657DE8C8F}"/>
              </c:ext>
            </c:extLst>
          </c:dPt>
          <c:dPt>
            <c:idx val="705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3-1EFA-48B2-82DB-DB0657DE8C8F}"/>
              </c:ext>
            </c:extLst>
          </c:dPt>
          <c:dPt>
            <c:idx val="706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5-1EFA-48B2-82DB-DB0657DE8C8F}"/>
              </c:ext>
            </c:extLst>
          </c:dPt>
          <c:dPt>
            <c:idx val="70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7-1EFA-48B2-82DB-DB0657DE8C8F}"/>
              </c:ext>
            </c:extLst>
          </c:dPt>
          <c:dPt>
            <c:idx val="70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9-1EFA-48B2-82DB-DB0657DE8C8F}"/>
              </c:ext>
            </c:extLst>
          </c:dPt>
          <c:dPt>
            <c:idx val="70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B-1EFA-48B2-82DB-DB0657DE8C8F}"/>
              </c:ext>
            </c:extLst>
          </c:dPt>
          <c:dPt>
            <c:idx val="71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D-1EFA-48B2-82DB-DB0657DE8C8F}"/>
              </c:ext>
            </c:extLst>
          </c:dPt>
          <c:dPt>
            <c:idx val="71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8F-1EFA-48B2-82DB-DB0657DE8C8F}"/>
              </c:ext>
            </c:extLst>
          </c:dPt>
          <c:dPt>
            <c:idx val="71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1-1EFA-48B2-82DB-DB0657DE8C8F}"/>
              </c:ext>
            </c:extLst>
          </c:dPt>
          <c:dPt>
            <c:idx val="71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3-1EFA-48B2-82DB-DB0657DE8C8F}"/>
              </c:ext>
            </c:extLst>
          </c:dPt>
          <c:dPt>
            <c:idx val="71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5-1EFA-48B2-82DB-DB0657DE8C8F}"/>
              </c:ext>
            </c:extLst>
          </c:dPt>
          <c:dPt>
            <c:idx val="71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7-1EFA-48B2-82DB-DB0657DE8C8F}"/>
              </c:ext>
            </c:extLst>
          </c:dPt>
          <c:dPt>
            <c:idx val="71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9-1EFA-48B2-82DB-DB0657DE8C8F}"/>
              </c:ext>
            </c:extLst>
          </c:dPt>
          <c:dPt>
            <c:idx val="71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B-1EFA-48B2-82DB-DB0657DE8C8F}"/>
              </c:ext>
            </c:extLst>
          </c:dPt>
          <c:dPt>
            <c:idx val="71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D-1EFA-48B2-82DB-DB0657DE8C8F}"/>
              </c:ext>
            </c:extLst>
          </c:dPt>
          <c:dPt>
            <c:idx val="71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9F-1EFA-48B2-82DB-DB0657DE8C8F}"/>
              </c:ext>
            </c:extLst>
          </c:dPt>
          <c:dPt>
            <c:idx val="72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1-1EFA-48B2-82DB-DB0657DE8C8F}"/>
              </c:ext>
            </c:extLst>
          </c:dPt>
          <c:dPt>
            <c:idx val="72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3-1EFA-48B2-82DB-DB0657DE8C8F}"/>
              </c:ext>
            </c:extLst>
          </c:dPt>
          <c:dPt>
            <c:idx val="72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5-1EFA-48B2-82DB-DB0657DE8C8F}"/>
              </c:ext>
            </c:extLst>
          </c:dPt>
          <c:dPt>
            <c:idx val="72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7-1EFA-48B2-82DB-DB0657DE8C8F}"/>
              </c:ext>
            </c:extLst>
          </c:dPt>
          <c:dPt>
            <c:idx val="72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9-1EFA-48B2-82DB-DB0657DE8C8F}"/>
              </c:ext>
            </c:extLst>
          </c:dPt>
          <c:dPt>
            <c:idx val="72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B-1EFA-48B2-82DB-DB0657DE8C8F}"/>
              </c:ext>
            </c:extLst>
          </c:dPt>
          <c:dPt>
            <c:idx val="72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D-1EFA-48B2-82DB-DB0657DE8C8F}"/>
              </c:ext>
            </c:extLst>
          </c:dPt>
          <c:dPt>
            <c:idx val="72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AF-1EFA-48B2-82DB-DB0657DE8C8F}"/>
              </c:ext>
            </c:extLst>
          </c:dPt>
          <c:dPt>
            <c:idx val="72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1-1EFA-48B2-82DB-DB0657DE8C8F}"/>
              </c:ext>
            </c:extLst>
          </c:dPt>
          <c:dPt>
            <c:idx val="72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3-1EFA-48B2-82DB-DB0657DE8C8F}"/>
              </c:ext>
            </c:extLst>
          </c:dPt>
          <c:dPt>
            <c:idx val="73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5-1EFA-48B2-82DB-DB0657DE8C8F}"/>
              </c:ext>
            </c:extLst>
          </c:dPt>
          <c:dPt>
            <c:idx val="73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7-1EFA-48B2-82DB-DB0657DE8C8F}"/>
              </c:ext>
            </c:extLst>
          </c:dPt>
          <c:dPt>
            <c:idx val="73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9-1EFA-48B2-82DB-DB0657DE8C8F}"/>
              </c:ext>
            </c:extLst>
          </c:dPt>
          <c:dPt>
            <c:idx val="73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B-1EFA-48B2-82DB-DB0657DE8C8F}"/>
              </c:ext>
            </c:extLst>
          </c:dPt>
          <c:dPt>
            <c:idx val="73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D-1EFA-48B2-82DB-DB0657DE8C8F}"/>
              </c:ext>
            </c:extLst>
          </c:dPt>
          <c:dPt>
            <c:idx val="73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BF-1EFA-48B2-82DB-DB0657DE8C8F}"/>
              </c:ext>
            </c:extLst>
          </c:dPt>
          <c:dPt>
            <c:idx val="73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1-1EFA-48B2-82DB-DB0657DE8C8F}"/>
              </c:ext>
            </c:extLst>
          </c:dPt>
          <c:dPt>
            <c:idx val="73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3-1EFA-48B2-82DB-DB0657DE8C8F}"/>
              </c:ext>
            </c:extLst>
          </c:dPt>
          <c:dPt>
            <c:idx val="73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5-1EFA-48B2-82DB-DB0657DE8C8F}"/>
              </c:ext>
            </c:extLst>
          </c:dPt>
          <c:dPt>
            <c:idx val="73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7-1EFA-48B2-82DB-DB0657DE8C8F}"/>
              </c:ext>
            </c:extLst>
          </c:dPt>
          <c:dPt>
            <c:idx val="74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9-1EFA-48B2-82DB-DB0657DE8C8F}"/>
              </c:ext>
            </c:extLst>
          </c:dPt>
          <c:dPt>
            <c:idx val="74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B-1EFA-48B2-82DB-DB0657DE8C8F}"/>
              </c:ext>
            </c:extLst>
          </c:dPt>
          <c:dPt>
            <c:idx val="74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D-1EFA-48B2-82DB-DB0657DE8C8F}"/>
              </c:ext>
            </c:extLst>
          </c:dPt>
          <c:dPt>
            <c:idx val="74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CF-1EFA-48B2-82DB-DB0657DE8C8F}"/>
              </c:ext>
            </c:extLst>
          </c:dPt>
          <c:dPt>
            <c:idx val="74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1-1EFA-48B2-82DB-DB0657DE8C8F}"/>
              </c:ext>
            </c:extLst>
          </c:dPt>
          <c:dPt>
            <c:idx val="74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3-1EFA-48B2-82DB-DB0657DE8C8F}"/>
              </c:ext>
            </c:extLst>
          </c:dPt>
          <c:dPt>
            <c:idx val="74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5-1EFA-48B2-82DB-DB0657DE8C8F}"/>
              </c:ext>
            </c:extLst>
          </c:dPt>
          <c:dPt>
            <c:idx val="74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7-1EFA-48B2-82DB-DB0657DE8C8F}"/>
              </c:ext>
            </c:extLst>
          </c:dPt>
          <c:dPt>
            <c:idx val="74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9-1EFA-48B2-82DB-DB0657DE8C8F}"/>
              </c:ext>
            </c:extLst>
          </c:dPt>
          <c:dPt>
            <c:idx val="74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B-1EFA-48B2-82DB-DB0657DE8C8F}"/>
              </c:ext>
            </c:extLst>
          </c:dPt>
          <c:dPt>
            <c:idx val="75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D-1EFA-48B2-82DB-DB0657DE8C8F}"/>
              </c:ext>
            </c:extLst>
          </c:dPt>
          <c:dPt>
            <c:idx val="75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DF-1EFA-48B2-82DB-DB0657DE8C8F}"/>
              </c:ext>
            </c:extLst>
          </c:dPt>
          <c:dPt>
            <c:idx val="75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1-1EFA-48B2-82DB-DB0657DE8C8F}"/>
              </c:ext>
            </c:extLst>
          </c:dPt>
          <c:dPt>
            <c:idx val="75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3-1EFA-48B2-82DB-DB0657DE8C8F}"/>
              </c:ext>
            </c:extLst>
          </c:dPt>
          <c:dPt>
            <c:idx val="75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5-1EFA-48B2-82DB-DB0657DE8C8F}"/>
              </c:ext>
            </c:extLst>
          </c:dPt>
          <c:dPt>
            <c:idx val="75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7-1EFA-48B2-82DB-DB0657DE8C8F}"/>
              </c:ext>
            </c:extLst>
          </c:dPt>
          <c:dPt>
            <c:idx val="75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9-1EFA-48B2-82DB-DB0657DE8C8F}"/>
              </c:ext>
            </c:extLst>
          </c:dPt>
          <c:dPt>
            <c:idx val="75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B-1EFA-48B2-82DB-DB0657DE8C8F}"/>
              </c:ext>
            </c:extLst>
          </c:dPt>
          <c:dPt>
            <c:idx val="758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D-1EFA-48B2-82DB-DB0657DE8C8F}"/>
              </c:ext>
            </c:extLst>
          </c:dPt>
          <c:dPt>
            <c:idx val="759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EF-1EFA-48B2-82DB-DB0657DE8C8F}"/>
              </c:ext>
            </c:extLst>
          </c:dPt>
          <c:dPt>
            <c:idx val="760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1-1EFA-48B2-82DB-DB0657DE8C8F}"/>
              </c:ext>
            </c:extLst>
          </c:dPt>
          <c:dPt>
            <c:idx val="76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3-1EFA-48B2-82DB-DB0657DE8C8F}"/>
              </c:ext>
            </c:extLst>
          </c:dPt>
          <c:dPt>
            <c:idx val="76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5-1EFA-48B2-82DB-DB0657DE8C8F}"/>
              </c:ext>
            </c:extLst>
          </c:dPt>
          <c:dPt>
            <c:idx val="76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7-1EFA-48B2-82DB-DB0657DE8C8F}"/>
              </c:ext>
            </c:extLst>
          </c:dPt>
          <c:dPt>
            <c:idx val="76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9-1EFA-48B2-82DB-DB0657DE8C8F}"/>
              </c:ext>
            </c:extLst>
          </c:dPt>
          <c:dPt>
            <c:idx val="76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B-1EFA-48B2-82DB-DB0657DE8C8F}"/>
              </c:ext>
            </c:extLst>
          </c:dPt>
          <c:dPt>
            <c:idx val="76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D-1EFA-48B2-82DB-DB0657DE8C8F}"/>
              </c:ext>
            </c:extLst>
          </c:dPt>
          <c:dPt>
            <c:idx val="76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5FF-1EFA-48B2-82DB-DB0657DE8C8F}"/>
              </c:ext>
            </c:extLst>
          </c:dPt>
          <c:dPt>
            <c:idx val="76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1-1EFA-48B2-82DB-DB0657DE8C8F}"/>
              </c:ext>
            </c:extLst>
          </c:dPt>
          <c:dPt>
            <c:idx val="76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3-1EFA-48B2-82DB-DB0657DE8C8F}"/>
              </c:ext>
            </c:extLst>
          </c:dPt>
          <c:dPt>
            <c:idx val="77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5-1EFA-48B2-82DB-DB0657DE8C8F}"/>
              </c:ext>
            </c:extLst>
          </c:dPt>
          <c:dPt>
            <c:idx val="77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7-1EFA-48B2-82DB-DB0657DE8C8F}"/>
              </c:ext>
            </c:extLst>
          </c:dPt>
          <c:dPt>
            <c:idx val="77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9-1EFA-48B2-82DB-DB0657DE8C8F}"/>
              </c:ext>
            </c:extLst>
          </c:dPt>
          <c:dPt>
            <c:idx val="77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B-1EFA-48B2-82DB-DB0657DE8C8F}"/>
              </c:ext>
            </c:extLst>
          </c:dPt>
          <c:dPt>
            <c:idx val="77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D-1EFA-48B2-82DB-DB0657DE8C8F}"/>
              </c:ext>
            </c:extLst>
          </c:dPt>
          <c:dPt>
            <c:idx val="77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0F-1EFA-48B2-82DB-DB0657DE8C8F}"/>
              </c:ext>
            </c:extLst>
          </c:dPt>
          <c:dPt>
            <c:idx val="77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1-1EFA-48B2-82DB-DB0657DE8C8F}"/>
              </c:ext>
            </c:extLst>
          </c:dPt>
          <c:dPt>
            <c:idx val="77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3-1EFA-48B2-82DB-DB0657DE8C8F}"/>
              </c:ext>
            </c:extLst>
          </c:dPt>
          <c:dPt>
            <c:idx val="77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5-1EFA-48B2-82DB-DB0657DE8C8F}"/>
              </c:ext>
            </c:extLst>
          </c:dPt>
          <c:dPt>
            <c:idx val="77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7-1EFA-48B2-82DB-DB0657DE8C8F}"/>
              </c:ext>
            </c:extLst>
          </c:dPt>
          <c:dPt>
            <c:idx val="78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9-1EFA-48B2-82DB-DB0657DE8C8F}"/>
              </c:ext>
            </c:extLst>
          </c:dPt>
          <c:dPt>
            <c:idx val="78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B-1EFA-48B2-82DB-DB0657DE8C8F}"/>
              </c:ext>
            </c:extLst>
          </c:dPt>
          <c:dPt>
            <c:idx val="78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D-1EFA-48B2-82DB-DB0657DE8C8F}"/>
              </c:ext>
            </c:extLst>
          </c:dPt>
          <c:dPt>
            <c:idx val="78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1F-1EFA-48B2-82DB-DB0657DE8C8F}"/>
              </c:ext>
            </c:extLst>
          </c:dPt>
          <c:dPt>
            <c:idx val="78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1-1EFA-48B2-82DB-DB0657DE8C8F}"/>
              </c:ext>
            </c:extLst>
          </c:dPt>
          <c:dPt>
            <c:idx val="78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3-1EFA-48B2-82DB-DB0657DE8C8F}"/>
              </c:ext>
            </c:extLst>
          </c:dPt>
          <c:dPt>
            <c:idx val="78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5-1EFA-48B2-82DB-DB0657DE8C8F}"/>
              </c:ext>
            </c:extLst>
          </c:dPt>
          <c:dPt>
            <c:idx val="78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7-1EFA-48B2-82DB-DB0657DE8C8F}"/>
              </c:ext>
            </c:extLst>
          </c:dPt>
          <c:dPt>
            <c:idx val="78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9-1EFA-48B2-82DB-DB0657DE8C8F}"/>
              </c:ext>
            </c:extLst>
          </c:dPt>
          <c:dPt>
            <c:idx val="78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B-1EFA-48B2-82DB-DB0657DE8C8F}"/>
              </c:ext>
            </c:extLst>
          </c:dPt>
          <c:dPt>
            <c:idx val="79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D-1EFA-48B2-82DB-DB0657DE8C8F}"/>
              </c:ext>
            </c:extLst>
          </c:dPt>
          <c:dPt>
            <c:idx val="79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2F-1EFA-48B2-82DB-DB0657DE8C8F}"/>
              </c:ext>
            </c:extLst>
          </c:dPt>
          <c:dPt>
            <c:idx val="79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1-1EFA-48B2-82DB-DB0657DE8C8F}"/>
              </c:ext>
            </c:extLst>
          </c:dPt>
          <c:dPt>
            <c:idx val="79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3-1EFA-48B2-82DB-DB0657DE8C8F}"/>
              </c:ext>
            </c:extLst>
          </c:dPt>
          <c:dPt>
            <c:idx val="79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5-1EFA-48B2-82DB-DB0657DE8C8F}"/>
              </c:ext>
            </c:extLst>
          </c:dPt>
          <c:dPt>
            <c:idx val="79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7-1EFA-48B2-82DB-DB0657DE8C8F}"/>
              </c:ext>
            </c:extLst>
          </c:dPt>
          <c:dPt>
            <c:idx val="79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9-1EFA-48B2-82DB-DB0657DE8C8F}"/>
              </c:ext>
            </c:extLst>
          </c:dPt>
          <c:dPt>
            <c:idx val="79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B-1EFA-48B2-82DB-DB0657DE8C8F}"/>
              </c:ext>
            </c:extLst>
          </c:dPt>
          <c:dPt>
            <c:idx val="79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D-1EFA-48B2-82DB-DB0657DE8C8F}"/>
              </c:ext>
            </c:extLst>
          </c:dPt>
          <c:dPt>
            <c:idx val="79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3F-1EFA-48B2-82DB-DB0657DE8C8F}"/>
              </c:ext>
            </c:extLst>
          </c:dPt>
          <c:dPt>
            <c:idx val="80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1-1EFA-48B2-82DB-DB0657DE8C8F}"/>
              </c:ext>
            </c:extLst>
          </c:dPt>
          <c:dPt>
            <c:idx val="80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3-1EFA-48B2-82DB-DB0657DE8C8F}"/>
              </c:ext>
            </c:extLst>
          </c:dPt>
          <c:dPt>
            <c:idx val="80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5-1EFA-48B2-82DB-DB0657DE8C8F}"/>
              </c:ext>
            </c:extLst>
          </c:dPt>
          <c:dPt>
            <c:idx val="80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7-1EFA-48B2-82DB-DB0657DE8C8F}"/>
              </c:ext>
            </c:extLst>
          </c:dPt>
          <c:dPt>
            <c:idx val="80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9-1EFA-48B2-82DB-DB0657DE8C8F}"/>
              </c:ext>
            </c:extLst>
          </c:dPt>
          <c:dPt>
            <c:idx val="80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B-1EFA-48B2-82DB-DB0657DE8C8F}"/>
              </c:ext>
            </c:extLst>
          </c:dPt>
          <c:dPt>
            <c:idx val="80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D-1EFA-48B2-82DB-DB0657DE8C8F}"/>
              </c:ext>
            </c:extLst>
          </c:dPt>
          <c:dPt>
            <c:idx val="80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4F-1EFA-48B2-82DB-DB0657DE8C8F}"/>
              </c:ext>
            </c:extLst>
          </c:dPt>
          <c:dPt>
            <c:idx val="80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1-1EFA-48B2-82DB-DB0657DE8C8F}"/>
              </c:ext>
            </c:extLst>
          </c:dPt>
          <c:dPt>
            <c:idx val="80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3-1EFA-48B2-82DB-DB0657DE8C8F}"/>
              </c:ext>
            </c:extLst>
          </c:dPt>
          <c:dPt>
            <c:idx val="81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5-1EFA-48B2-82DB-DB0657DE8C8F}"/>
              </c:ext>
            </c:extLst>
          </c:dPt>
          <c:dPt>
            <c:idx val="81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7-1EFA-48B2-82DB-DB0657DE8C8F}"/>
              </c:ext>
            </c:extLst>
          </c:dPt>
          <c:dPt>
            <c:idx val="81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9-1EFA-48B2-82DB-DB0657DE8C8F}"/>
              </c:ext>
            </c:extLst>
          </c:dPt>
          <c:dPt>
            <c:idx val="81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B-1EFA-48B2-82DB-DB0657DE8C8F}"/>
              </c:ext>
            </c:extLst>
          </c:dPt>
          <c:dPt>
            <c:idx val="81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D-1EFA-48B2-82DB-DB0657DE8C8F}"/>
              </c:ext>
            </c:extLst>
          </c:dPt>
          <c:dPt>
            <c:idx val="81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5F-1EFA-48B2-82DB-DB0657DE8C8F}"/>
              </c:ext>
            </c:extLst>
          </c:dPt>
          <c:dPt>
            <c:idx val="81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1-1EFA-48B2-82DB-DB0657DE8C8F}"/>
              </c:ext>
            </c:extLst>
          </c:dPt>
          <c:dPt>
            <c:idx val="81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3-1EFA-48B2-82DB-DB0657DE8C8F}"/>
              </c:ext>
            </c:extLst>
          </c:dPt>
          <c:dPt>
            <c:idx val="81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5-1EFA-48B2-82DB-DB0657DE8C8F}"/>
              </c:ext>
            </c:extLst>
          </c:dPt>
          <c:dPt>
            <c:idx val="81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7-1EFA-48B2-82DB-DB0657DE8C8F}"/>
              </c:ext>
            </c:extLst>
          </c:dPt>
          <c:dPt>
            <c:idx val="82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9-1EFA-48B2-82DB-DB0657DE8C8F}"/>
              </c:ext>
            </c:extLst>
          </c:dPt>
          <c:dPt>
            <c:idx val="82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B-1EFA-48B2-82DB-DB0657DE8C8F}"/>
              </c:ext>
            </c:extLst>
          </c:dPt>
          <c:dPt>
            <c:idx val="82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D-1EFA-48B2-82DB-DB0657DE8C8F}"/>
              </c:ext>
            </c:extLst>
          </c:dPt>
          <c:dPt>
            <c:idx val="82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6F-1EFA-48B2-82DB-DB0657DE8C8F}"/>
              </c:ext>
            </c:extLst>
          </c:dPt>
          <c:dPt>
            <c:idx val="82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1-1EFA-48B2-82DB-DB0657DE8C8F}"/>
              </c:ext>
            </c:extLst>
          </c:dPt>
          <c:dPt>
            <c:idx val="82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3-1EFA-48B2-82DB-DB0657DE8C8F}"/>
              </c:ext>
            </c:extLst>
          </c:dPt>
          <c:dPt>
            <c:idx val="82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5-1EFA-48B2-82DB-DB0657DE8C8F}"/>
              </c:ext>
            </c:extLst>
          </c:dPt>
          <c:dPt>
            <c:idx val="82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7-1EFA-48B2-82DB-DB0657DE8C8F}"/>
              </c:ext>
            </c:extLst>
          </c:dPt>
          <c:dPt>
            <c:idx val="82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9-1EFA-48B2-82DB-DB0657DE8C8F}"/>
              </c:ext>
            </c:extLst>
          </c:dPt>
          <c:dPt>
            <c:idx val="82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B-1EFA-48B2-82DB-DB0657DE8C8F}"/>
              </c:ext>
            </c:extLst>
          </c:dPt>
          <c:dPt>
            <c:idx val="83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D-1EFA-48B2-82DB-DB0657DE8C8F}"/>
              </c:ext>
            </c:extLst>
          </c:dPt>
          <c:dPt>
            <c:idx val="83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7F-1EFA-48B2-82DB-DB0657DE8C8F}"/>
              </c:ext>
            </c:extLst>
          </c:dPt>
          <c:dPt>
            <c:idx val="83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1-1EFA-48B2-82DB-DB0657DE8C8F}"/>
              </c:ext>
            </c:extLst>
          </c:dPt>
          <c:dPt>
            <c:idx val="83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3-1EFA-48B2-82DB-DB0657DE8C8F}"/>
              </c:ext>
            </c:extLst>
          </c:dPt>
          <c:dPt>
            <c:idx val="83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5-1EFA-48B2-82DB-DB0657DE8C8F}"/>
              </c:ext>
            </c:extLst>
          </c:dPt>
          <c:dPt>
            <c:idx val="83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7-1EFA-48B2-82DB-DB0657DE8C8F}"/>
              </c:ext>
            </c:extLst>
          </c:dPt>
          <c:dPt>
            <c:idx val="83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9-1EFA-48B2-82DB-DB0657DE8C8F}"/>
              </c:ext>
            </c:extLst>
          </c:dPt>
          <c:dPt>
            <c:idx val="83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B-1EFA-48B2-82DB-DB0657DE8C8F}"/>
              </c:ext>
            </c:extLst>
          </c:dPt>
          <c:dPt>
            <c:idx val="83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D-1EFA-48B2-82DB-DB0657DE8C8F}"/>
              </c:ext>
            </c:extLst>
          </c:dPt>
          <c:dPt>
            <c:idx val="83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8F-1EFA-48B2-82DB-DB0657DE8C8F}"/>
              </c:ext>
            </c:extLst>
          </c:dPt>
          <c:dPt>
            <c:idx val="84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1-1EFA-48B2-82DB-DB0657DE8C8F}"/>
              </c:ext>
            </c:extLst>
          </c:dPt>
          <c:dPt>
            <c:idx val="84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3-1EFA-48B2-82DB-DB0657DE8C8F}"/>
              </c:ext>
            </c:extLst>
          </c:dPt>
          <c:dPt>
            <c:idx val="84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5-1EFA-48B2-82DB-DB0657DE8C8F}"/>
              </c:ext>
            </c:extLst>
          </c:dPt>
          <c:dPt>
            <c:idx val="84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7-1EFA-48B2-82DB-DB0657DE8C8F}"/>
              </c:ext>
            </c:extLst>
          </c:dPt>
          <c:dPt>
            <c:idx val="84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9-1EFA-48B2-82DB-DB0657DE8C8F}"/>
              </c:ext>
            </c:extLst>
          </c:dPt>
          <c:dPt>
            <c:idx val="84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B-1EFA-48B2-82DB-DB0657DE8C8F}"/>
              </c:ext>
            </c:extLst>
          </c:dPt>
          <c:dPt>
            <c:idx val="84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D-1EFA-48B2-82DB-DB0657DE8C8F}"/>
              </c:ext>
            </c:extLst>
          </c:dPt>
          <c:dPt>
            <c:idx val="84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9F-1EFA-48B2-82DB-DB0657DE8C8F}"/>
              </c:ext>
            </c:extLst>
          </c:dPt>
          <c:dPt>
            <c:idx val="84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1-1EFA-48B2-82DB-DB0657DE8C8F}"/>
              </c:ext>
            </c:extLst>
          </c:dPt>
          <c:dPt>
            <c:idx val="84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3-1EFA-48B2-82DB-DB0657DE8C8F}"/>
              </c:ext>
            </c:extLst>
          </c:dPt>
          <c:dPt>
            <c:idx val="85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5-1EFA-48B2-82DB-DB0657DE8C8F}"/>
              </c:ext>
            </c:extLst>
          </c:dPt>
          <c:dPt>
            <c:idx val="85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7-1EFA-48B2-82DB-DB0657DE8C8F}"/>
              </c:ext>
            </c:extLst>
          </c:dPt>
          <c:dPt>
            <c:idx val="85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9-1EFA-48B2-82DB-DB0657DE8C8F}"/>
              </c:ext>
            </c:extLst>
          </c:dPt>
          <c:dPt>
            <c:idx val="85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B-1EFA-48B2-82DB-DB0657DE8C8F}"/>
              </c:ext>
            </c:extLst>
          </c:dPt>
          <c:dPt>
            <c:idx val="85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D-1EFA-48B2-82DB-DB0657DE8C8F}"/>
              </c:ext>
            </c:extLst>
          </c:dPt>
          <c:dPt>
            <c:idx val="85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AF-1EFA-48B2-82DB-DB0657DE8C8F}"/>
              </c:ext>
            </c:extLst>
          </c:dPt>
          <c:dPt>
            <c:idx val="85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1-1EFA-48B2-82DB-DB0657DE8C8F}"/>
              </c:ext>
            </c:extLst>
          </c:dPt>
          <c:dPt>
            <c:idx val="85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3-1EFA-48B2-82DB-DB0657DE8C8F}"/>
              </c:ext>
            </c:extLst>
          </c:dPt>
          <c:dPt>
            <c:idx val="85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5-1EFA-48B2-82DB-DB0657DE8C8F}"/>
              </c:ext>
            </c:extLst>
          </c:dPt>
          <c:dPt>
            <c:idx val="85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7-1EFA-48B2-82DB-DB0657DE8C8F}"/>
              </c:ext>
            </c:extLst>
          </c:dPt>
          <c:dPt>
            <c:idx val="86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9-1EFA-48B2-82DB-DB0657DE8C8F}"/>
              </c:ext>
            </c:extLst>
          </c:dPt>
          <c:dPt>
            <c:idx val="86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B-1EFA-48B2-82DB-DB0657DE8C8F}"/>
              </c:ext>
            </c:extLst>
          </c:dPt>
          <c:dPt>
            <c:idx val="86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D-1EFA-48B2-82DB-DB0657DE8C8F}"/>
              </c:ext>
            </c:extLst>
          </c:dPt>
          <c:dPt>
            <c:idx val="86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BF-1EFA-48B2-82DB-DB0657DE8C8F}"/>
              </c:ext>
            </c:extLst>
          </c:dPt>
          <c:dPt>
            <c:idx val="86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1-1EFA-48B2-82DB-DB0657DE8C8F}"/>
              </c:ext>
            </c:extLst>
          </c:dPt>
          <c:dPt>
            <c:idx val="86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3-1EFA-48B2-82DB-DB0657DE8C8F}"/>
              </c:ext>
            </c:extLst>
          </c:dPt>
          <c:dPt>
            <c:idx val="86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5-1EFA-48B2-82DB-DB0657DE8C8F}"/>
              </c:ext>
            </c:extLst>
          </c:dPt>
          <c:dPt>
            <c:idx val="867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7-1EFA-48B2-82DB-DB0657DE8C8F}"/>
              </c:ext>
            </c:extLst>
          </c:dPt>
          <c:dPt>
            <c:idx val="868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9-1EFA-48B2-82DB-DB0657DE8C8F}"/>
              </c:ext>
            </c:extLst>
          </c:dPt>
          <c:dPt>
            <c:idx val="869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B-1EFA-48B2-82DB-DB0657DE8C8F}"/>
              </c:ext>
            </c:extLst>
          </c:dPt>
          <c:dPt>
            <c:idx val="87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D-1EFA-48B2-82DB-DB0657DE8C8F}"/>
              </c:ext>
            </c:extLst>
          </c:dPt>
          <c:dPt>
            <c:idx val="87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CF-1EFA-48B2-82DB-DB0657DE8C8F}"/>
              </c:ext>
            </c:extLst>
          </c:dPt>
          <c:dPt>
            <c:idx val="87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1-1EFA-48B2-82DB-DB0657DE8C8F}"/>
              </c:ext>
            </c:extLst>
          </c:dPt>
          <c:dPt>
            <c:idx val="87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3-1EFA-48B2-82DB-DB0657DE8C8F}"/>
              </c:ext>
            </c:extLst>
          </c:dPt>
          <c:dPt>
            <c:idx val="87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5-1EFA-48B2-82DB-DB0657DE8C8F}"/>
              </c:ext>
            </c:extLst>
          </c:dPt>
          <c:dPt>
            <c:idx val="87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7-1EFA-48B2-82DB-DB0657DE8C8F}"/>
              </c:ext>
            </c:extLst>
          </c:dPt>
          <c:dPt>
            <c:idx val="87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9-1EFA-48B2-82DB-DB0657DE8C8F}"/>
              </c:ext>
            </c:extLst>
          </c:dPt>
          <c:dPt>
            <c:idx val="87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B-1EFA-48B2-82DB-DB0657DE8C8F}"/>
              </c:ext>
            </c:extLst>
          </c:dPt>
          <c:dPt>
            <c:idx val="87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D-1EFA-48B2-82DB-DB0657DE8C8F}"/>
              </c:ext>
            </c:extLst>
          </c:dPt>
          <c:dPt>
            <c:idx val="87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DF-1EFA-48B2-82DB-DB0657DE8C8F}"/>
              </c:ext>
            </c:extLst>
          </c:dPt>
          <c:dPt>
            <c:idx val="88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1-1EFA-48B2-82DB-DB0657DE8C8F}"/>
              </c:ext>
            </c:extLst>
          </c:dPt>
          <c:dPt>
            <c:idx val="88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3-1EFA-48B2-82DB-DB0657DE8C8F}"/>
              </c:ext>
            </c:extLst>
          </c:dPt>
          <c:dPt>
            <c:idx val="88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5-1EFA-48B2-82DB-DB0657DE8C8F}"/>
              </c:ext>
            </c:extLst>
          </c:dPt>
          <c:dPt>
            <c:idx val="88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7-1EFA-48B2-82DB-DB0657DE8C8F}"/>
              </c:ext>
            </c:extLst>
          </c:dPt>
          <c:dPt>
            <c:idx val="88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9-1EFA-48B2-82DB-DB0657DE8C8F}"/>
              </c:ext>
            </c:extLst>
          </c:dPt>
          <c:dPt>
            <c:idx val="88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B-1EFA-48B2-82DB-DB0657DE8C8F}"/>
              </c:ext>
            </c:extLst>
          </c:dPt>
          <c:dPt>
            <c:idx val="88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D-1EFA-48B2-82DB-DB0657DE8C8F}"/>
              </c:ext>
            </c:extLst>
          </c:dPt>
          <c:dPt>
            <c:idx val="88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EF-1EFA-48B2-82DB-DB0657DE8C8F}"/>
              </c:ext>
            </c:extLst>
          </c:dPt>
          <c:dPt>
            <c:idx val="88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1-1EFA-48B2-82DB-DB0657DE8C8F}"/>
              </c:ext>
            </c:extLst>
          </c:dPt>
          <c:dPt>
            <c:idx val="88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3-1EFA-48B2-82DB-DB0657DE8C8F}"/>
              </c:ext>
            </c:extLst>
          </c:dPt>
          <c:dPt>
            <c:idx val="89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5-1EFA-48B2-82DB-DB0657DE8C8F}"/>
              </c:ext>
            </c:extLst>
          </c:dPt>
          <c:dPt>
            <c:idx val="89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7-1EFA-48B2-82DB-DB0657DE8C8F}"/>
              </c:ext>
            </c:extLst>
          </c:dPt>
          <c:dPt>
            <c:idx val="89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9-1EFA-48B2-82DB-DB0657DE8C8F}"/>
              </c:ext>
            </c:extLst>
          </c:dPt>
          <c:dPt>
            <c:idx val="89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B-1EFA-48B2-82DB-DB0657DE8C8F}"/>
              </c:ext>
            </c:extLst>
          </c:dPt>
          <c:dPt>
            <c:idx val="89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D-1EFA-48B2-82DB-DB0657DE8C8F}"/>
              </c:ext>
            </c:extLst>
          </c:dPt>
          <c:dPt>
            <c:idx val="89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6FF-1EFA-48B2-82DB-DB0657DE8C8F}"/>
              </c:ext>
            </c:extLst>
          </c:dPt>
          <c:dPt>
            <c:idx val="89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1-1EFA-48B2-82DB-DB0657DE8C8F}"/>
              </c:ext>
            </c:extLst>
          </c:dPt>
          <c:dPt>
            <c:idx val="89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3-1EFA-48B2-82DB-DB0657DE8C8F}"/>
              </c:ext>
            </c:extLst>
          </c:dPt>
          <c:dPt>
            <c:idx val="89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5-1EFA-48B2-82DB-DB0657DE8C8F}"/>
              </c:ext>
            </c:extLst>
          </c:dPt>
          <c:dPt>
            <c:idx val="89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7-1EFA-48B2-82DB-DB0657DE8C8F}"/>
              </c:ext>
            </c:extLst>
          </c:dPt>
          <c:dPt>
            <c:idx val="90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9-1EFA-48B2-82DB-DB0657DE8C8F}"/>
              </c:ext>
            </c:extLst>
          </c:dPt>
          <c:dPt>
            <c:idx val="90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B-1EFA-48B2-82DB-DB0657DE8C8F}"/>
              </c:ext>
            </c:extLst>
          </c:dPt>
          <c:dPt>
            <c:idx val="90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D-1EFA-48B2-82DB-DB0657DE8C8F}"/>
              </c:ext>
            </c:extLst>
          </c:dPt>
          <c:dPt>
            <c:idx val="90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0F-1EFA-48B2-82DB-DB0657DE8C8F}"/>
              </c:ext>
            </c:extLst>
          </c:dPt>
          <c:dPt>
            <c:idx val="90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1-1EFA-48B2-82DB-DB0657DE8C8F}"/>
              </c:ext>
            </c:extLst>
          </c:dPt>
          <c:dPt>
            <c:idx val="90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3-1EFA-48B2-82DB-DB0657DE8C8F}"/>
              </c:ext>
            </c:extLst>
          </c:dPt>
          <c:dPt>
            <c:idx val="90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5-1EFA-48B2-82DB-DB0657DE8C8F}"/>
              </c:ext>
            </c:extLst>
          </c:dPt>
          <c:dPt>
            <c:idx val="90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7-1EFA-48B2-82DB-DB0657DE8C8F}"/>
              </c:ext>
            </c:extLst>
          </c:dPt>
          <c:dPt>
            <c:idx val="90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9-1EFA-48B2-82DB-DB0657DE8C8F}"/>
              </c:ext>
            </c:extLst>
          </c:dPt>
          <c:dPt>
            <c:idx val="90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B-1EFA-48B2-82DB-DB0657DE8C8F}"/>
              </c:ext>
            </c:extLst>
          </c:dPt>
          <c:dPt>
            <c:idx val="91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D-1EFA-48B2-82DB-DB0657DE8C8F}"/>
              </c:ext>
            </c:extLst>
          </c:dPt>
          <c:dPt>
            <c:idx val="91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1F-1EFA-48B2-82DB-DB0657DE8C8F}"/>
              </c:ext>
            </c:extLst>
          </c:dPt>
          <c:dPt>
            <c:idx val="91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1-1EFA-48B2-82DB-DB0657DE8C8F}"/>
              </c:ext>
            </c:extLst>
          </c:dPt>
          <c:dPt>
            <c:idx val="91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3-1EFA-48B2-82DB-DB0657DE8C8F}"/>
              </c:ext>
            </c:extLst>
          </c:dPt>
          <c:dPt>
            <c:idx val="91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5-1EFA-48B2-82DB-DB0657DE8C8F}"/>
              </c:ext>
            </c:extLst>
          </c:dPt>
          <c:dPt>
            <c:idx val="91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7-1EFA-48B2-82DB-DB0657DE8C8F}"/>
              </c:ext>
            </c:extLst>
          </c:dPt>
          <c:dPt>
            <c:idx val="91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9-1EFA-48B2-82DB-DB0657DE8C8F}"/>
              </c:ext>
            </c:extLst>
          </c:dPt>
          <c:dPt>
            <c:idx val="91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B-1EFA-48B2-82DB-DB0657DE8C8F}"/>
              </c:ext>
            </c:extLst>
          </c:dPt>
          <c:dPt>
            <c:idx val="918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D-1EFA-48B2-82DB-DB0657DE8C8F}"/>
              </c:ext>
            </c:extLst>
          </c:dPt>
          <c:dPt>
            <c:idx val="91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2F-1EFA-48B2-82DB-DB0657DE8C8F}"/>
              </c:ext>
            </c:extLst>
          </c:dPt>
          <c:dPt>
            <c:idx val="92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1-1EFA-48B2-82DB-DB0657DE8C8F}"/>
              </c:ext>
            </c:extLst>
          </c:dPt>
          <c:dPt>
            <c:idx val="921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3-1EFA-48B2-82DB-DB0657DE8C8F}"/>
              </c:ext>
            </c:extLst>
          </c:dPt>
          <c:dPt>
            <c:idx val="922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5-1EFA-48B2-82DB-DB0657DE8C8F}"/>
              </c:ext>
            </c:extLst>
          </c:dPt>
          <c:dPt>
            <c:idx val="92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7-1EFA-48B2-82DB-DB0657DE8C8F}"/>
              </c:ext>
            </c:extLst>
          </c:dPt>
          <c:dPt>
            <c:idx val="92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9-1EFA-48B2-82DB-DB0657DE8C8F}"/>
              </c:ext>
            </c:extLst>
          </c:dPt>
          <c:dPt>
            <c:idx val="92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B-1EFA-48B2-82DB-DB0657DE8C8F}"/>
              </c:ext>
            </c:extLst>
          </c:dPt>
          <c:dPt>
            <c:idx val="92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D-1EFA-48B2-82DB-DB0657DE8C8F}"/>
              </c:ext>
            </c:extLst>
          </c:dPt>
          <c:dPt>
            <c:idx val="92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3F-1EFA-48B2-82DB-DB0657DE8C8F}"/>
              </c:ext>
            </c:extLst>
          </c:dPt>
          <c:dPt>
            <c:idx val="92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1-1EFA-48B2-82DB-DB0657DE8C8F}"/>
              </c:ext>
            </c:extLst>
          </c:dPt>
          <c:dPt>
            <c:idx val="92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3-1EFA-48B2-82DB-DB0657DE8C8F}"/>
              </c:ext>
            </c:extLst>
          </c:dPt>
          <c:dPt>
            <c:idx val="93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5-1EFA-48B2-82DB-DB0657DE8C8F}"/>
              </c:ext>
            </c:extLst>
          </c:dPt>
          <c:dPt>
            <c:idx val="93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7-1EFA-48B2-82DB-DB0657DE8C8F}"/>
              </c:ext>
            </c:extLst>
          </c:dPt>
          <c:dPt>
            <c:idx val="93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9-1EFA-48B2-82DB-DB0657DE8C8F}"/>
              </c:ext>
            </c:extLst>
          </c:dPt>
          <c:dPt>
            <c:idx val="93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B-1EFA-48B2-82DB-DB0657DE8C8F}"/>
              </c:ext>
            </c:extLst>
          </c:dPt>
          <c:dPt>
            <c:idx val="93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D-1EFA-48B2-82DB-DB0657DE8C8F}"/>
              </c:ext>
            </c:extLst>
          </c:dPt>
          <c:dPt>
            <c:idx val="93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4F-1EFA-48B2-82DB-DB0657DE8C8F}"/>
              </c:ext>
            </c:extLst>
          </c:dPt>
          <c:dPt>
            <c:idx val="93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1-1EFA-48B2-82DB-DB0657DE8C8F}"/>
              </c:ext>
            </c:extLst>
          </c:dPt>
          <c:dPt>
            <c:idx val="93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3-1EFA-48B2-82DB-DB0657DE8C8F}"/>
              </c:ext>
            </c:extLst>
          </c:dPt>
          <c:dPt>
            <c:idx val="93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5-1EFA-48B2-82DB-DB0657DE8C8F}"/>
              </c:ext>
            </c:extLst>
          </c:dPt>
          <c:dPt>
            <c:idx val="93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7-1EFA-48B2-82DB-DB0657DE8C8F}"/>
              </c:ext>
            </c:extLst>
          </c:dPt>
          <c:dPt>
            <c:idx val="94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9-1EFA-48B2-82DB-DB0657DE8C8F}"/>
              </c:ext>
            </c:extLst>
          </c:dPt>
          <c:dPt>
            <c:idx val="94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B-1EFA-48B2-82DB-DB0657DE8C8F}"/>
              </c:ext>
            </c:extLst>
          </c:dPt>
          <c:dPt>
            <c:idx val="94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D-1EFA-48B2-82DB-DB0657DE8C8F}"/>
              </c:ext>
            </c:extLst>
          </c:dPt>
          <c:dPt>
            <c:idx val="94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5F-1EFA-48B2-82DB-DB0657DE8C8F}"/>
              </c:ext>
            </c:extLst>
          </c:dPt>
          <c:dPt>
            <c:idx val="94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1-1EFA-48B2-82DB-DB0657DE8C8F}"/>
              </c:ext>
            </c:extLst>
          </c:dPt>
          <c:dPt>
            <c:idx val="94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3-1EFA-48B2-82DB-DB0657DE8C8F}"/>
              </c:ext>
            </c:extLst>
          </c:dPt>
          <c:dPt>
            <c:idx val="94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5-1EFA-48B2-82DB-DB0657DE8C8F}"/>
              </c:ext>
            </c:extLst>
          </c:dPt>
          <c:dPt>
            <c:idx val="94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7-1EFA-48B2-82DB-DB0657DE8C8F}"/>
              </c:ext>
            </c:extLst>
          </c:dPt>
          <c:dPt>
            <c:idx val="94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9-1EFA-48B2-82DB-DB0657DE8C8F}"/>
              </c:ext>
            </c:extLst>
          </c:dPt>
          <c:dPt>
            <c:idx val="94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B-1EFA-48B2-82DB-DB0657DE8C8F}"/>
              </c:ext>
            </c:extLst>
          </c:dPt>
          <c:dPt>
            <c:idx val="95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D-1EFA-48B2-82DB-DB0657DE8C8F}"/>
              </c:ext>
            </c:extLst>
          </c:dPt>
          <c:dPt>
            <c:idx val="95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6F-1EFA-48B2-82DB-DB0657DE8C8F}"/>
              </c:ext>
            </c:extLst>
          </c:dPt>
          <c:dPt>
            <c:idx val="95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1-1EFA-48B2-82DB-DB0657DE8C8F}"/>
              </c:ext>
            </c:extLst>
          </c:dPt>
          <c:dPt>
            <c:idx val="95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3-1EFA-48B2-82DB-DB0657DE8C8F}"/>
              </c:ext>
            </c:extLst>
          </c:dPt>
          <c:dPt>
            <c:idx val="95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5-1EFA-48B2-82DB-DB0657DE8C8F}"/>
              </c:ext>
            </c:extLst>
          </c:dPt>
          <c:dPt>
            <c:idx val="95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7-1EFA-48B2-82DB-DB0657DE8C8F}"/>
              </c:ext>
            </c:extLst>
          </c:dPt>
          <c:dPt>
            <c:idx val="95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9-1EFA-48B2-82DB-DB0657DE8C8F}"/>
              </c:ext>
            </c:extLst>
          </c:dPt>
          <c:dPt>
            <c:idx val="95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B-1EFA-48B2-82DB-DB0657DE8C8F}"/>
              </c:ext>
            </c:extLst>
          </c:dPt>
          <c:dPt>
            <c:idx val="95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D-1EFA-48B2-82DB-DB0657DE8C8F}"/>
              </c:ext>
            </c:extLst>
          </c:dPt>
          <c:dPt>
            <c:idx val="95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7F-1EFA-48B2-82DB-DB0657DE8C8F}"/>
              </c:ext>
            </c:extLst>
          </c:dPt>
          <c:dPt>
            <c:idx val="96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1-1EFA-48B2-82DB-DB0657DE8C8F}"/>
              </c:ext>
            </c:extLst>
          </c:dPt>
          <c:dPt>
            <c:idx val="96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3-1EFA-48B2-82DB-DB0657DE8C8F}"/>
              </c:ext>
            </c:extLst>
          </c:dPt>
          <c:dPt>
            <c:idx val="96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5-1EFA-48B2-82DB-DB0657DE8C8F}"/>
              </c:ext>
            </c:extLst>
          </c:dPt>
          <c:dPt>
            <c:idx val="96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7-1EFA-48B2-82DB-DB0657DE8C8F}"/>
              </c:ext>
            </c:extLst>
          </c:dPt>
          <c:dPt>
            <c:idx val="96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9-1EFA-48B2-82DB-DB0657DE8C8F}"/>
              </c:ext>
            </c:extLst>
          </c:dPt>
          <c:dPt>
            <c:idx val="96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B-1EFA-48B2-82DB-DB0657DE8C8F}"/>
              </c:ext>
            </c:extLst>
          </c:dPt>
          <c:dPt>
            <c:idx val="96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D-1EFA-48B2-82DB-DB0657DE8C8F}"/>
              </c:ext>
            </c:extLst>
          </c:dPt>
          <c:dPt>
            <c:idx val="96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8F-1EFA-48B2-82DB-DB0657DE8C8F}"/>
              </c:ext>
            </c:extLst>
          </c:dPt>
          <c:dPt>
            <c:idx val="96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1-1EFA-48B2-82DB-DB0657DE8C8F}"/>
              </c:ext>
            </c:extLst>
          </c:dPt>
          <c:dPt>
            <c:idx val="96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3-1EFA-48B2-82DB-DB0657DE8C8F}"/>
              </c:ext>
            </c:extLst>
          </c:dPt>
          <c:dPt>
            <c:idx val="97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5-1EFA-48B2-82DB-DB0657DE8C8F}"/>
              </c:ext>
            </c:extLst>
          </c:dPt>
          <c:dPt>
            <c:idx val="97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7-1EFA-48B2-82DB-DB0657DE8C8F}"/>
              </c:ext>
            </c:extLst>
          </c:dPt>
          <c:dPt>
            <c:idx val="97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9-1EFA-48B2-82DB-DB0657DE8C8F}"/>
              </c:ext>
            </c:extLst>
          </c:dPt>
          <c:dPt>
            <c:idx val="97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B-1EFA-48B2-82DB-DB0657DE8C8F}"/>
              </c:ext>
            </c:extLst>
          </c:dPt>
          <c:dPt>
            <c:idx val="97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D-1EFA-48B2-82DB-DB0657DE8C8F}"/>
              </c:ext>
            </c:extLst>
          </c:dPt>
          <c:dPt>
            <c:idx val="975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9F-1EFA-48B2-82DB-DB0657DE8C8F}"/>
              </c:ext>
            </c:extLst>
          </c:dPt>
          <c:dPt>
            <c:idx val="976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1-1EFA-48B2-82DB-DB0657DE8C8F}"/>
              </c:ext>
            </c:extLst>
          </c:dPt>
          <c:dPt>
            <c:idx val="97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3-1EFA-48B2-82DB-DB0657DE8C8F}"/>
              </c:ext>
            </c:extLst>
          </c:dPt>
          <c:dPt>
            <c:idx val="97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5-1EFA-48B2-82DB-DB0657DE8C8F}"/>
              </c:ext>
            </c:extLst>
          </c:dPt>
          <c:dPt>
            <c:idx val="97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7-1EFA-48B2-82DB-DB0657DE8C8F}"/>
              </c:ext>
            </c:extLst>
          </c:dPt>
          <c:dPt>
            <c:idx val="98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9-1EFA-48B2-82DB-DB0657DE8C8F}"/>
              </c:ext>
            </c:extLst>
          </c:dPt>
          <c:dPt>
            <c:idx val="98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B-1EFA-48B2-82DB-DB0657DE8C8F}"/>
              </c:ext>
            </c:extLst>
          </c:dPt>
          <c:dPt>
            <c:idx val="98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D-1EFA-48B2-82DB-DB0657DE8C8F}"/>
              </c:ext>
            </c:extLst>
          </c:dPt>
          <c:dPt>
            <c:idx val="98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AF-1EFA-48B2-82DB-DB0657DE8C8F}"/>
              </c:ext>
            </c:extLst>
          </c:dPt>
          <c:dPt>
            <c:idx val="98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1-1EFA-48B2-82DB-DB0657DE8C8F}"/>
              </c:ext>
            </c:extLst>
          </c:dPt>
          <c:dPt>
            <c:idx val="98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3-1EFA-48B2-82DB-DB0657DE8C8F}"/>
              </c:ext>
            </c:extLst>
          </c:dPt>
          <c:dPt>
            <c:idx val="98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5-1EFA-48B2-82DB-DB0657DE8C8F}"/>
              </c:ext>
            </c:extLst>
          </c:dPt>
          <c:dPt>
            <c:idx val="98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7-1EFA-48B2-82DB-DB0657DE8C8F}"/>
              </c:ext>
            </c:extLst>
          </c:dPt>
          <c:dPt>
            <c:idx val="98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9-1EFA-48B2-82DB-DB0657DE8C8F}"/>
              </c:ext>
            </c:extLst>
          </c:dPt>
          <c:dPt>
            <c:idx val="98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B-1EFA-48B2-82DB-DB0657DE8C8F}"/>
              </c:ext>
            </c:extLst>
          </c:dPt>
          <c:dPt>
            <c:idx val="99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D-1EFA-48B2-82DB-DB0657DE8C8F}"/>
              </c:ext>
            </c:extLst>
          </c:dPt>
          <c:dPt>
            <c:idx val="99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BF-1EFA-48B2-82DB-DB0657DE8C8F}"/>
              </c:ext>
            </c:extLst>
          </c:dPt>
          <c:dPt>
            <c:idx val="99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1-1EFA-48B2-82DB-DB0657DE8C8F}"/>
              </c:ext>
            </c:extLst>
          </c:dPt>
          <c:dPt>
            <c:idx val="99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3-1EFA-48B2-82DB-DB0657DE8C8F}"/>
              </c:ext>
            </c:extLst>
          </c:dPt>
          <c:dPt>
            <c:idx val="99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5-1EFA-48B2-82DB-DB0657DE8C8F}"/>
              </c:ext>
            </c:extLst>
          </c:dPt>
          <c:dPt>
            <c:idx val="99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7-1EFA-48B2-82DB-DB0657DE8C8F}"/>
              </c:ext>
            </c:extLst>
          </c:dPt>
          <c:dPt>
            <c:idx val="99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9-1EFA-48B2-82DB-DB0657DE8C8F}"/>
              </c:ext>
            </c:extLst>
          </c:dPt>
          <c:dPt>
            <c:idx val="99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B-1EFA-48B2-82DB-DB0657DE8C8F}"/>
              </c:ext>
            </c:extLst>
          </c:dPt>
          <c:dPt>
            <c:idx val="99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D-1EFA-48B2-82DB-DB0657DE8C8F}"/>
              </c:ext>
            </c:extLst>
          </c:dPt>
          <c:dPt>
            <c:idx val="99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CF-1EFA-48B2-82DB-DB0657DE8C8F}"/>
              </c:ext>
            </c:extLst>
          </c:dPt>
          <c:dPt>
            <c:idx val="100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1-1EFA-48B2-82DB-DB0657DE8C8F}"/>
              </c:ext>
            </c:extLst>
          </c:dPt>
          <c:dPt>
            <c:idx val="100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3-1EFA-48B2-82DB-DB0657DE8C8F}"/>
              </c:ext>
            </c:extLst>
          </c:dPt>
          <c:dPt>
            <c:idx val="100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5-1EFA-48B2-82DB-DB0657DE8C8F}"/>
              </c:ext>
            </c:extLst>
          </c:dPt>
          <c:dPt>
            <c:idx val="100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7-1EFA-48B2-82DB-DB0657DE8C8F}"/>
              </c:ext>
            </c:extLst>
          </c:dPt>
          <c:dPt>
            <c:idx val="100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9-1EFA-48B2-82DB-DB0657DE8C8F}"/>
              </c:ext>
            </c:extLst>
          </c:dPt>
          <c:dPt>
            <c:idx val="100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B-1EFA-48B2-82DB-DB0657DE8C8F}"/>
              </c:ext>
            </c:extLst>
          </c:dPt>
          <c:dPt>
            <c:idx val="100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D-1EFA-48B2-82DB-DB0657DE8C8F}"/>
              </c:ext>
            </c:extLst>
          </c:dPt>
          <c:dPt>
            <c:idx val="100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DF-1EFA-48B2-82DB-DB0657DE8C8F}"/>
              </c:ext>
            </c:extLst>
          </c:dPt>
          <c:dPt>
            <c:idx val="100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1-1EFA-48B2-82DB-DB0657DE8C8F}"/>
              </c:ext>
            </c:extLst>
          </c:dPt>
          <c:dPt>
            <c:idx val="100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3-1EFA-48B2-82DB-DB0657DE8C8F}"/>
              </c:ext>
            </c:extLst>
          </c:dPt>
          <c:dPt>
            <c:idx val="101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5-1EFA-48B2-82DB-DB0657DE8C8F}"/>
              </c:ext>
            </c:extLst>
          </c:dPt>
          <c:dPt>
            <c:idx val="101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7-1EFA-48B2-82DB-DB0657DE8C8F}"/>
              </c:ext>
            </c:extLst>
          </c:dPt>
          <c:dPt>
            <c:idx val="101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9-1EFA-48B2-82DB-DB0657DE8C8F}"/>
              </c:ext>
            </c:extLst>
          </c:dPt>
          <c:dPt>
            <c:idx val="101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B-1EFA-48B2-82DB-DB0657DE8C8F}"/>
              </c:ext>
            </c:extLst>
          </c:dPt>
          <c:dPt>
            <c:idx val="101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D-1EFA-48B2-82DB-DB0657DE8C8F}"/>
              </c:ext>
            </c:extLst>
          </c:dPt>
          <c:dPt>
            <c:idx val="101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EF-1EFA-48B2-82DB-DB0657DE8C8F}"/>
              </c:ext>
            </c:extLst>
          </c:dPt>
          <c:dPt>
            <c:idx val="101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1-1EFA-48B2-82DB-DB0657DE8C8F}"/>
              </c:ext>
            </c:extLst>
          </c:dPt>
          <c:dPt>
            <c:idx val="101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3-1EFA-48B2-82DB-DB0657DE8C8F}"/>
              </c:ext>
            </c:extLst>
          </c:dPt>
          <c:dPt>
            <c:idx val="101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5-1EFA-48B2-82DB-DB0657DE8C8F}"/>
              </c:ext>
            </c:extLst>
          </c:dPt>
          <c:dPt>
            <c:idx val="101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7-1EFA-48B2-82DB-DB0657DE8C8F}"/>
              </c:ext>
            </c:extLst>
          </c:dPt>
          <c:dPt>
            <c:idx val="102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9-1EFA-48B2-82DB-DB0657DE8C8F}"/>
              </c:ext>
            </c:extLst>
          </c:dPt>
          <c:dPt>
            <c:idx val="102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B-1EFA-48B2-82DB-DB0657DE8C8F}"/>
              </c:ext>
            </c:extLst>
          </c:dPt>
          <c:dPt>
            <c:idx val="102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D-1EFA-48B2-82DB-DB0657DE8C8F}"/>
              </c:ext>
            </c:extLst>
          </c:dPt>
          <c:dPt>
            <c:idx val="102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7FF-1EFA-48B2-82DB-DB0657DE8C8F}"/>
              </c:ext>
            </c:extLst>
          </c:dPt>
          <c:dPt>
            <c:idx val="102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1-1EFA-48B2-82DB-DB0657DE8C8F}"/>
              </c:ext>
            </c:extLst>
          </c:dPt>
          <c:dPt>
            <c:idx val="102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3-1EFA-48B2-82DB-DB0657DE8C8F}"/>
              </c:ext>
            </c:extLst>
          </c:dPt>
          <c:dPt>
            <c:idx val="102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5-1EFA-48B2-82DB-DB0657DE8C8F}"/>
              </c:ext>
            </c:extLst>
          </c:dPt>
          <c:dPt>
            <c:idx val="102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7-1EFA-48B2-82DB-DB0657DE8C8F}"/>
              </c:ext>
            </c:extLst>
          </c:dPt>
          <c:dPt>
            <c:idx val="1028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9-1EFA-48B2-82DB-DB0657DE8C8F}"/>
              </c:ext>
            </c:extLst>
          </c:dPt>
          <c:dPt>
            <c:idx val="1029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B-1EFA-48B2-82DB-DB0657DE8C8F}"/>
              </c:ext>
            </c:extLst>
          </c:dPt>
          <c:dPt>
            <c:idx val="1030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D-1EFA-48B2-82DB-DB0657DE8C8F}"/>
              </c:ext>
            </c:extLst>
          </c:dPt>
          <c:dPt>
            <c:idx val="103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0F-1EFA-48B2-82DB-DB0657DE8C8F}"/>
              </c:ext>
            </c:extLst>
          </c:dPt>
          <c:dPt>
            <c:idx val="103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1-1EFA-48B2-82DB-DB0657DE8C8F}"/>
              </c:ext>
            </c:extLst>
          </c:dPt>
          <c:dPt>
            <c:idx val="103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3-1EFA-48B2-82DB-DB0657DE8C8F}"/>
              </c:ext>
            </c:extLst>
          </c:dPt>
          <c:dPt>
            <c:idx val="103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5-1EFA-48B2-82DB-DB0657DE8C8F}"/>
              </c:ext>
            </c:extLst>
          </c:dPt>
          <c:dPt>
            <c:idx val="103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7-1EFA-48B2-82DB-DB0657DE8C8F}"/>
              </c:ext>
            </c:extLst>
          </c:dPt>
          <c:dPt>
            <c:idx val="103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9-1EFA-48B2-82DB-DB0657DE8C8F}"/>
              </c:ext>
            </c:extLst>
          </c:dPt>
          <c:dPt>
            <c:idx val="103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B-1EFA-48B2-82DB-DB0657DE8C8F}"/>
              </c:ext>
            </c:extLst>
          </c:dPt>
          <c:dPt>
            <c:idx val="103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D-1EFA-48B2-82DB-DB0657DE8C8F}"/>
              </c:ext>
            </c:extLst>
          </c:dPt>
          <c:dPt>
            <c:idx val="103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1F-1EFA-48B2-82DB-DB0657DE8C8F}"/>
              </c:ext>
            </c:extLst>
          </c:dPt>
          <c:dPt>
            <c:idx val="104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1-1EFA-48B2-82DB-DB0657DE8C8F}"/>
              </c:ext>
            </c:extLst>
          </c:dPt>
          <c:dPt>
            <c:idx val="104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3-1EFA-48B2-82DB-DB0657DE8C8F}"/>
              </c:ext>
            </c:extLst>
          </c:dPt>
          <c:dPt>
            <c:idx val="104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5-1EFA-48B2-82DB-DB0657DE8C8F}"/>
              </c:ext>
            </c:extLst>
          </c:dPt>
          <c:dPt>
            <c:idx val="104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7-1EFA-48B2-82DB-DB0657DE8C8F}"/>
              </c:ext>
            </c:extLst>
          </c:dPt>
          <c:dPt>
            <c:idx val="104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9-1EFA-48B2-82DB-DB0657DE8C8F}"/>
              </c:ext>
            </c:extLst>
          </c:dPt>
          <c:dPt>
            <c:idx val="104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B-1EFA-48B2-82DB-DB0657DE8C8F}"/>
              </c:ext>
            </c:extLst>
          </c:dPt>
          <c:dPt>
            <c:idx val="104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D-1EFA-48B2-82DB-DB0657DE8C8F}"/>
              </c:ext>
            </c:extLst>
          </c:dPt>
          <c:dPt>
            <c:idx val="104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2F-1EFA-48B2-82DB-DB0657DE8C8F}"/>
              </c:ext>
            </c:extLst>
          </c:dPt>
          <c:dPt>
            <c:idx val="104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1-1EFA-48B2-82DB-DB0657DE8C8F}"/>
              </c:ext>
            </c:extLst>
          </c:dPt>
          <c:dPt>
            <c:idx val="104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3-1EFA-48B2-82DB-DB0657DE8C8F}"/>
              </c:ext>
            </c:extLst>
          </c:dPt>
          <c:dPt>
            <c:idx val="105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5-1EFA-48B2-82DB-DB0657DE8C8F}"/>
              </c:ext>
            </c:extLst>
          </c:dPt>
          <c:dPt>
            <c:idx val="105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7-1EFA-48B2-82DB-DB0657DE8C8F}"/>
              </c:ext>
            </c:extLst>
          </c:dPt>
          <c:dPt>
            <c:idx val="105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9-1EFA-48B2-82DB-DB0657DE8C8F}"/>
              </c:ext>
            </c:extLst>
          </c:dPt>
          <c:dPt>
            <c:idx val="105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B-1EFA-48B2-82DB-DB0657DE8C8F}"/>
              </c:ext>
            </c:extLst>
          </c:dPt>
          <c:dPt>
            <c:idx val="105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D-1EFA-48B2-82DB-DB0657DE8C8F}"/>
              </c:ext>
            </c:extLst>
          </c:dPt>
          <c:dPt>
            <c:idx val="105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3F-1EFA-48B2-82DB-DB0657DE8C8F}"/>
              </c:ext>
            </c:extLst>
          </c:dPt>
          <c:dPt>
            <c:idx val="105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1-1EFA-48B2-82DB-DB0657DE8C8F}"/>
              </c:ext>
            </c:extLst>
          </c:dPt>
          <c:dPt>
            <c:idx val="105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3-1EFA-48B2-82DB-DB0657DE8C8F}"/>
              </c:ext>
            </c:extLst>
          </c:dPt>
          <c:dPt>
            <c:idx val="105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5-1EFA-48B2-82DB-DB0657DE8C8F}"/>
              </c:ext>
            </c:extLst>
          </c:dPt>
          <c:dPt>
            <c:idx val="105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7-1EFA-48B2-82DB-DB0657DE8C8F}"/>
              </c:ext>
            </c:extLst>
          </c:dPt>
          <c:dPt>
            <c:idx val="106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9-1EFA-48B2-82DB-DB0657DE8C8F}"/>
              </c:ext>
            </c:extLst>
          </c:dPt>
          <c:dPt>
            <c:idx val="106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B-1EFA-48B2-82DB-DB0657DE8C8F}"/>
              </c:ext>
            </c:extLst>
          </c:dPt>
          <c:dPt>
            <c:idx val="106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D-1EFA-48B2-82DB-DB0657DE8C8F}"/>
              </c:ext>
            </c:extLst>
          </c:dPt>
          <c:dPt>
            <c:idx val="106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4F-1EFA-48B2-82DB-DB0657DE8C8F}"/>
              </c:ext>
            </c:extLst>
          </c:dPt>
          <c:dPt>
            <c:idx val="106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1-1EFA-48B2-82DB-DB0657DE8C8F}"/>
              </c:ext>
            </c:extLst>
          </c:dPt>
          <c:dPt>
            <c:idx val="106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3-1EFA-48B2-82DB-DB0657DE8C8F}"/>
              </c:ext>
            </c:extLst>
          </c:dPt>
          <c:dPt>
            <c:idx val="106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5-1EFA-48B2-82DB-DB0657DE8C8F}"/>
              </c:ext>
            </c:extLst>
          </c:dPt>
          <c:dPt>
            <c:idx val="106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7-1EFA-48B2-82DB-DB0657DE8C8F}"/>
              </c:ext>
            </c:extLst>
          </c:dPt>
          <c:dPt>
            <c:idx val="106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9-1EFA-48B2-82DB-DB0657DE8C8F}"/>
              </c:ext>
            </c:extLst>
          </c:dPt>
          <c:dPt>
            <c:idx val="106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B-1EFA-48B2-82DB-DB0657DE8C8F}"/>
              </c:ext>
            </c:extLst>
          </c:dPt>
          <c:dPt>
            <c:idx val="107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D-1EFA-48B2-82DB-DB0657DE8C8F}"/>
              </c:ext>
            </c:extLst>
          </c:dPt>
          <c:dPt>
            <c:idx val="107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5F-1EFA-48B2-82DB-DB0657DE8C8F}"/>
              </c:ext>
            </c:extLst>
          </c:dPt>
          <c:dPt>
            <c:idx val="107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1-1EFA-48B2-82DB-DB0657DE8C8F}"/>
              </c:ext>
            </c:extLst>
          </c:dPt>
          <c:dPt>
            <c:idx val="107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3-1EFA-48B2-82DB-DB0657DE8C8F}"/>
              </c:ext>
            </c:extLst>
          </c:dPt>
          <c:dPt>
            <c:idx val="107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5-1EFA-48B2-82DB-DB0657DE8C8F}"/>
              </c:ext>
            </c:extLst>
          </c:dPt>
          <c:dPt>
            <c:idx val="107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7-1EFA-48B2-82DB-DB0657DE8C8F}"/>
              </c:ext>
            </c:extLst>
          </c:dPt>
          <c:dPt>
            <c:idx val="107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9-1EFA-48B2-82DB-DB0657DE8C8F}"/>
              </c:ext>
            </c:extLst>
          </c:dPt>
          <c:dPt>
            <c:idx val="107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B-1EFA-48B2-82DB-DB0657DE8C8F}"/>
              </c:ext>
            </c:extLst>
          </c:dPt>
          <c:dPt>
            <c:idx val="107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D-1EFA-48B2-82DB-DB0657DE8C8F}"/>
              </c:ext>
            </c:extLst>
          </c:dPt>
          <c:dPt>
            <c:idx val="107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6F-1EFA-48B2-82DB-DB0657DE8C8F}"/>
              </c:ext>
            </c:extLst>
          </c:dPt>
          <c:dPt>
            <c:idx val="108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1-1EFA-48B2-82DB-DB0657DE8C8F}"/>
              </c:ext>
            </c:extLst>
          </c:dPt>
          <c:dPt>
            <c:idx val="108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3-1EFA-48B2-82DB-DB0657DE8C8F}"/>
              </c:ext>
            </c:extLst>
          </c:dPt>
          <c:dPt>
            <c:idx val="108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5-1EFA-48B2-82DB-DB0657DE8C8F}"/>
              </c:ext>
            </c:extLst>
          </c:dPt>
          <c:dPt>
            <c:idx val="108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7-1EFA-48B2-82DB-DB0657DE8C8F}"/>
              </c:ext>
            </c:extLst>
          </c:dPt>
          <c:dPt>
            <c:idx val="108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9-1EFA-48B2-82DB-DB0657DE8C8F}"/>
              </c:ext>
            </c:extLst>
          </c:dPt>
          <c:dPt>
            <c:idx val="108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B-1EFA-48B2-82DB-DB0657DE8C8F}"/>
              </c:ext>
            </c:extLst>
          </c:dPt>
          <c:dPt>
            <c:idx val="108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D-1EFA-48B2-82DB-DB0657DE8C8F}"/>
              </c:ext>
            </c:extLst>
          </c:dPt>
          <c:dPt>
            <c:idx val="108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7F-1EFA-48B2-82DB-DB0657DE8C8F}"/>
              </c:ext>
            </c:extLst>
          </c:dPt>
          <c:dPt>
            <c:idx val="108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1-1EFA-48B2-82DB-DB0657DE8C8F}"/>
              </c:ext>
            </c:extLst>
          </c:dPt>
          <c:dPt>
            <c:idx val="108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3-1EFA-48B2-82DB-DB0657DE8C8F}"/>
              </c:ext>
            </c:extLst>
          </c:dPt>
          <c:dPt>
            <c:idx val="109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5-1EFA-48B2-82DB-DB0657DE8C8F}"/>
              </c:ext>
            </c:extLst>
          </c:dPt>
          <c:dPt>
            <c:idx val="109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7-1EFA-48B2-82DB-DB0657DE8C8F}"/>
              </c:ext>
            </c:extLst>
          </c:dPt>
          <c:dPt>
            <c:idx val="109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9-1EFA-48B2-82DB-DB0657DE8C8F}"/>
              </c:ext>
            </c:extLst>
          </c:dPt>
          <c:dPt>
            <c:idx val="109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B-1EFA-48B2-82DB-DB0657DE8C8F}"/>
              </c:ext>
            </c:extLst>
          </c:dPt>
          <c:dPt>
            <c:idx val="109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D-1EFA-48B2-82DB-DB0657DE8C8F}"/>
              </c:ext>
            </c:extLst>
          </c:dPt>
          <c:dPt>
            <c:idx val="109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8F-1EFA-48B2-82DB-DB0657DE8C8F}"/>
              </c:ext>
            </c:extLst>
          </c:dPt>
          <c:dPt>
            <c:idx val="109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1-1EFA-48B2-82DB-DB0657DE8C8F}"/>
              </c:ext>
            </c:extLst>
          </c:dPt>
          <c:dPt>
            <c:idx val="109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3-1EFA-48B2-82DB-DB0657DE8C8F}"/>
              </c:ext>
            </c:extLst>
          </c:dPt>
          <c:dPt>
            <c:idx val="109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5-1EFA-48B2-82DB-DB0657DE8C8F}"/>
              </c:ext>
            </c:extLst>
          </c:dPt>
          <c:dPt>
            <c:idx val="109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7-1EFA-48B2-82DB-DB0657DE8C8F}"/>
              </c:ext>
            </c:extLst>
          </c:dPt>
          <c:dPt>
            <c:idx val="110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9-1EFA-48B2-82DB-DB0657DE8C8F}"/>
              </c:ext>
            </c:extLst>
          </c:dPt>
          <c:dPt>
            <c:idx val="110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B-1EFA-48B2-82DB-DB0657DE8C8F}"/>
              </c:ext>
            </c:extLst>
          </c:dPt>
          <c:dPt>
            <c:idx val="110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D-1EFA-48B2-82DB-DB0657DE8C8F}"/>
              </c:ext>
            </c:extLst>
          </c:dPt>
          <c:dPt>
            <c:idx val="110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9F-1EFA-48B2-82DB-DB0657DE8C8F}"/>
              </c:ext>
            </c:extLst>
          </c:dPt>
          <c:dPt>
            <c:idx val="110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1-1EFA-48B2-82DB-DB0657DE8C8F}"/>
              </c:ext>
            </c:extLst>
          </c:dPt>
          <c:dPt>
            <c:idx val="110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3-1EFA-48B2-82DB-DB0657DE8C8F}"/>
              </c:ext>
            </c:extLst>
          </c:dPt>
          <c:dPt>
            <c:idx val="110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5-1EFA-48B2-82DB-DB0657DE8C8F}"/>
              </c:ext>
            </c:extLst>
          </c:dPt>
          <c:dPt>
            <c:idx val="110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7-1EFA-48B2-82DB-DB0657DE8C8F}"/>
              </c:ext>
            </c:extLst>
          </c:dPt>
          <c:dPt>
            <c:idx val="110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9-1EFA-48B2-82DB-DB0657DE8C8F}"/>
              </c:ext>
            </c:extLst>
          </c:dPt>
          <c:dPt>
            <c:idx val="110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B-1EFA-48B2-82DB-DB0657DE8C8F}"/>
              </c:ext>
            </c:extLst>
          </c:dPt>
          <c:dPt>
            <c:idx val="111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D-1EFA-48B2-82DB-DB0657DE8C8F}"/>
              </c:ext>
            </c:extLst>
          </c:dPt>
          <c:dPt>
            <c:idx val="111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AF-1EFA-48B2-82DB-DB0657DE8C8F}"/>
              </c:ext>
            </c:extLst>
          </c:dPt>
          <c:dPt>
            <c:idx val="111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1-1EFA-48B2-82DB-DB0657DE8C8F}"/>
              </c:ext>
            </c:extLst>
          </c:dPt>
          <c:dPt>
            <c:idx val="111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3-1EFA-48B2-82DB-DB0657DE8C8F}"/>
              </c:ext>
            </c:extLst>
          </c:dPt>
          <c:dPt>
            <c:idx val="111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5-1EFA-48B2-82DB-DB0657DE8C8F}"/>
              </c:ext>
            </c:extLst>
          </c:dPt>
          <c:dPt>
            <c:idx val="111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7-1EFA-48B2-82DB-DB0657DE8C8F}"/>
              </c:ext>
            </c:extLst>
          </c:dPt>
          <c:dPt>
            <c:idx val="111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9-1EFA-48B2-82DB-DB0657DE8C8F}"/>
              </c:ext>
            </c:extLst>
          </c:dPt>
          <c:dPt>
            <c:idx val="111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B-1EFA-48B2-82DB-DB0657DE8C8F}"/>
              </c:ext>
            </c:extLst>
          </c:dPt>
          <c:dPt>
            <c:idx val="111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D-1EFA-48B2-82DB-DB0657DE8C8F}"/>
              </c:ext>
            </c:extLst>
          </c:dPt>
          <c:dPt>
            <c:idx val="111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BF-1EFA-48B2-82DB-DB0657DE8C8F}"/>
              </c:ext>
            </c:extLst>
          </c:dPt>
          <c:dPt>
            <c:idx val="112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1-1EFA-48B2-82DB-DB0657DE8C8F}"/>
              </c:ext>
            </c:extLst>
          </c:dPt>
          <c:dPt>
            <c:idx val="112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3-1EFA-48B2-82DB-DB0657DE8C8F}"/>
              </c:ext>
            </c:extLst>
          </c:dPt>
          <c:dPt>
            <c:idx val="112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5-1EFA-48B2-82DB-DB0657DE8C8F}"/>
              </c:ext>
            </c:extLst>
          </c:dPt>
          <c:dPt>
            <c:idx val="112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7-1EFA-48B2-82DB-DB0657DE8C8F}"/>
              </c:ext>
            </c:extLst>
          </c:dPt>
          <c:dPt>
            <c:idx val="112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9-1EFA-48B2-82DB-DB0657DE8C8F}"/>
              </c:ext>
            </c:extLst>
          </c:dPt>
          <c:dPt>
            <c:idx val="112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B-1EFA-48B2-82DB-DB0657DE8C8F}"/>
              </c:ext>
            </c:extLst>
          </c:dPt>
          <c:dPt>
            <c:idx val="112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D-1EFA-48B2-82DB-DB0657DE8C8F}"/>
              </c:ext>
            </c:extLst>
          </c:dPt>
          <c:dPt>
            <c:idx val="112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CF-1EFA-48B2-82DB-DB0657DE8C8F}"/>
              </c:ext>
            </c:extLst>
          </c:dPt>
          <c:dPt>
            <c:idx val="112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1-1EFA-48B2-82DB-DB0657DE8C8F}"/>
              </c:ext>
            </c:extLst>
          </c:dPt>
          <c:dPt>
            <c:idx val="112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3-1EFA-48B2-82DB-DB0657DE8C8F}"/>
              </c:ext>
            </c:extLst>
          </c:dPt>
          <c:dPt>
            <c:idx val="113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5-1EFA-48B2-82DB-DB0657DE8C8F}"/>
              </c:ext>
            </c:extLst>
          </c:dPt>
          <c:dPt>
            <c:idx val="113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7-1EFA-48B2-82DB-DB0657DE8C8F}"/>
              </c:ext>
            </c:extLst>
          </c:dPt>
          <c:dPt>
            <c:idx val="113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9-1EFA-48B2-82DB-DB0657DE8C8F}"/>
              </c:ext>
            </c:extLst>
          </c:dPt>
          <c:dPt>
            <c:idx val="113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B-1EFA-48B2-82DB-DB0657DE8C8F}"/>
              </c:ext>
            </c:extLst>
          </c:dPt>
          <c:dPt>
            <c:idx val="113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D-1EFA-48B2-82DB-DB0657DE8C8F}"/>
              </c:ext>
            </c:extLst>
          </c:dPt>
          <c:dPt>
            <c:idx val="113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DF-1EFA-48B2-82DB-DB0657DE8C8F}"/>
              </c:ext>
            </c:extLst>
          </c:dPt>
          <c:dPt>
            <c:idx val="113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1-1EFA-48B2-82DB-DB0657DE8C8F}"/>
              </c:ext>
            </c:extLst>
          </c:dPt>
          <c:dPt>
            <c:idx val="1137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3-1EFA-48B2-82DB-DB0657DE8C8F}"/>
              </c:ext>
            </c:extLst>
          </c:dPt>
          <c:dPt>
            <c:idx val="1138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5-1EFA-48B2-82DB-DB0657DE8C8F}"/>
              </c:ext>
            </c:extLst>
          </c:dPt>
          <c:dPt>
            <c:idx val="1139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7-1EFA-48B2-82DB-DB0657DE8C8F}"/>
              </c:ext>
            </c:extLst>
          </c:dPt>
          <c:dPt>
            <c:idx val="114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9-1EFA-48B2-82DB-DB0657DE8C8F}"/>
              </c:ext>
            </c:extLst>
          </c:dPt>
          <c:dPt>
            <c:idx val="114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B-1EFA-48B2-82DB-DB0657DE8C8F}"/>
              </c:ext>
            </c:extLst>
          </c:dPt>
          <c:dPt>
            <c:idx val="114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D-1EFA-48B2-82DB-DB0657DE8C8F}"/>
              </c:ext>
            </c:extLst>
          </c:dPt>
          <c:dPt>
            <c:idx val="114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EF-1EFA-48B2-82DB-DB0657DE8C8F}"/>
              </c:ext>
            </c:extLst>
          </c:dPt>
          <c:dPt>
            <c:idx val="114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1-1EFA-48B2-82DB-DB0657DE8C8F}"/>
              </c:ext>
            </c:extLst>
          </c:dPt>
          <c:dPt>
            <c:idx val="114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3-1EFA-48B2-82DB-DB0657DE8C8F}"/>
              </c:ext>
            </c:extLst>
          </c:dPt>
          <c:dPt>
            <c:idx val="114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5-1EFA-48B2-82DB-DB0657DE8C8F}"/>
              </c:ext>
            </c:extLst>
          </c:dPt>
          <c:dPt>
            <c:idx val="114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7-1EFA-48B2-82DB-DB0657DE8C8F}"/>
              </c:ext>
            </c:extLst>
          </c:dPt>
          <c:dPt>
            <c:idx val="114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9-1EFA-48B2-82DB-DB0657DE8C8F}"/>
              </c:ext>
            </c:extLst>
          </c:dPt>
          <c:dPt>
            <c:idx val="114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B-1EFA-48B2-82DB-DB0657DE8C8F}"/>
              </c:ext>
            </c:extLst>
          </c:dPt>
          <c:dPt>
            <c:idx val="115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D-1EFA-48B2-82DB-DB0657DE8C8F}"/>
              </c:ext>
            </c:extLst>
          </c:dPt>
          <c:dPt>
            <c:idx val="115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8FF-1EFA-48B2-82DB-DB0657DE8C8F}"/>
              </c:ext>
            </c:extLst>
          </c:dPt>
          <c:dPt>
            <c:idx val="115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1-1EFA-48B2-82DB-DB0657DE8C8F}"/>
              </c:ext>
            </c:extLst>
          </c:dPt>
          <c:dPt>
            <c:idx val="115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3-1EFA-48B2-82DB-DB0657DE8C8F}"/>
              </c:ext>
            </c:extLst>
          </c:dPt>
          <c:dPt>
            <c:idx val="115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5-1EFA-48B2-82DB-DB0657DE8C8F}"/>
              </c:ext>
            </c:extLst>
          </c:dPt>
          <c:dPt>
            <c:idx val="115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7-1EFA-48B2-82DB-DB0657DE8C8F}"/>
              </c:ext>
            </c:extLst>
          </c:dPt>
          <c:dPt>
            <c:idx val="115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9-1EFA-48B2-82DB-DB0657DE8C8F}"/>
              </c:ext>
            </c:extLst>
          </c:dPt>
          <c:dPt>
            <c:idx val="115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B-1EFA-48B2-82DB-DB0657DE8C8F}"/>
              </c:ext>
            </c:extLst>
          </c:dPt>
          <c:dPt>
            <c:idx val="115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D-1EFA-48B2-82DB-DB0657DE8C8F}"/>
              </c:ext>
            </c:extLst>
          </c:dPt>
          <c:dPt>
            <c:idx val="115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0F-1EFA-48B2-82DB-DB0657DE8C8F}"/>
              </c:ext>
            </c:extLst>
          </c:dPt>
          <c:dPt>
            <c:idx val="116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1-1EFA-48B2-82DB-DB0657DE8C8F}"/>
              </c:ext>
            </c:extLst>
          </c:dPt>
          <c:dPt>
            <c:idx val="116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3-1EFA-48B2-82DB-DB0657DE8C8F}"/>
              </c:ext>
            </c:extLst>
          </c:dPt>
          <c:dPt>
            <c:idx val="116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5-1EFA-48B2-82DB-DB0657DE8C8F}"/>
              </c:ext>
            </c:extLst>
          </c:dPt>
          <c:dPt>
            <c:idx val="116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7-1EFA-48B2-82DB-DB0657DE8C8F}"/>
              </c:ext>
            </c:extLst>
          </c:dPt>
          <c:dPt>
            <c:idx val="116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9-1EFA-48B2-82DB-DB0657DE8C8F}"/>
              </c:ext>
            </c:extLst>
          </c:dPt>
          <c:dPt>
            <c:idx val="116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B-1EFA-48B2-82DB-DB0657DE8C8F}"/>
              </c:ext>
            </c:extLst>
          </c:dPt>
          <c:dPt>
            <c:idx val="116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D-1EFA-48B2-82DB-DB0657DE8C8F}"/>
              </c:ext>
            </c:extLst>
          </c:dPt>
          <c:dPt>
            <c:idx val="116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1F-1EFA-48B2-82DB-DB0657DE8C8F}"/>
              </c:ext>
            </c:extLst>
          </c:dPt>
          <c:dPt>
            <c:idx val="116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1-1EFA-48B2-82DB-DB0657DE8C8F}"/>
              </c:ext>
            </c:extLst>
          </c:dPt>
          <c:dPt>
            <c:idx val="116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3-1EFA-48B2-82DB-DB0657DE8C8F}"/>
              </c:ext>
            </c:extLst>
          </c:dPt>
          <c:dPt>
            <c:idx val="117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5-1EFA-48B2-82DB-DB0657DE8C8F}"/>
              </c:ext>
            </c:extLst>
          </c:dPt>
          <c:dPt>
            <c:idx val="117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7-1EFA-48B2-82DB-DB0657DE8C8F}"/>
              </c:ext>
            </c:extLst>
          </c:dPt>
          <c:dPt>
            <c:idx val="117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9-1EFA-48B2-82DB-DB0657DE8C8F}"/>
              </c:ext>
            </c:extLst>
          </c:dPt>
          <c:dPt>
            <c:idx val="117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B-1EFA-48B2-82DB-DB0657DE8C8F}"/>
              </c:ext>
            </c:extLst>
          </c:dPt>
          <c:dPt>
            <c:idx val="117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D-1EFA-48B2-82DB-DB0657DE8C8F}"/>
              </c:ext>
            </c:extLst>
          </c:dPt>
          <c:dPt>
            <c:idx val="117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2F-1EFA-48B2-82DB-DB0657DE8C8F}"/>
              </c:ext>
            </c:extLst>
          </c:dPt>
          <c:dPt>
            <c:idx val="117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1-1EFA-48B2-82DB-DB0657DE8C8F}"/>
              </c:ext>
            </c:extLst>
          </c:dPt>
          <c:dPt>
            <c:idx val="117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3-1EFA-48B2-82DB-DB0657DE8C8F}"/>
              </c:ext>
            </c:extLst>
          </c:dPt>
          <c:dPt>
            <c:idx val="117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5-1EFA-48B2-82DB-DB0657DE8C8F}"/>
              </c:ext>
            </c:extLst>
          </c:dPt>
          <c:dPt>
            <c:idx val="117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7-1EFA-48B2-82DB-DB0657DE8C8F}"/>
              </c:ext>
            </c:extLst>
          </c:dPt>
          <c:dPt>
            <c:idx val="118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9-1EFA-48B2-82DB-DB0657DE8C8F}"/>
              </c:ext>
            </c:extLst>
          </c:dPt>
          <c:dPt>
            <c:idx val="118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B-1EFA-48B2-82DB-DB0657DE8C8F}"/>
              </c:ext>
            </c:extLst>
          </c:dPt>
          <c:dPt>
            <c:idx val="118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D-1EFA-48B2-82DB-DB0657DE8C8F}"/>
              </c:ext>
            </c:extLst>
          </c:dPt>
          <c:dPt>
            <c:idx val="118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3F-1EFA-48B2-82DB-DB0657DE8C8F}"/>
              </c:ext>
            </c:extLst>
          </c:dPt>
          <c:dPt>
            <c:idx val="118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1-1EFA-48B2-82DB-DB0657DE8C8F}"/>
              </c:ext>
            </c:extLst>
          </c:dPt>
          <c:dPt>
            <c:idx val="118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3-1EFA-48B2-82DB-DB0657DE8C8F}"/>
              </c:ext>
            </c:extLst>
          </c:dPt>
          <c:dPt>
            <c:idx val="118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5-1EFA-48B2-82DB-DB0657DE8C8F}"/>
              </c:ext>
            </c:extLst>
          </c:dPt>
          <c:dPt>
            <c:idx val="118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7-1EFA-48B2-82DB-DB0657DE8C8F}"/>
              </c:ext>
            </c:extLst>
          </c:dPt>
          <c:dPt>
            <c:idx val="1188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9-1EFA-48B2-82DB-DB0657DE8C8F}"/>
              </c:ext>
            </c:extLst>
          </c:dPt>
          <c:dPt>
            <c:idx val="118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B-1EFA-48B2-82DB-DB0657DE8C8F}"/>
              </c:ext>
            </c:extLst>
          </c:dPt>
          <c:dPt>
            <c:idx val="119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D-1EFA-48B2-82DB-DB0657DE8C8F}"/>
              </c:ext>
            </c:extLst>
          </c:dPt>
          <c:dPt>
            <c:idx val="1191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4F-1EFA-48B2-82DB-DB0657DE8C8F}"/>
              </c:ext>
            </c:extLst>
          </c:dPt>
          <c:dPt>
            <c:idx val="1192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1-1EFA-48B2-82DB-DB0657DE8C8F}"/>
              </c:ext>
            </c:extLst>
          </c:dPt>
          <c:dPt>
            <c:idx val="1193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3-1EFA-48B2-82DB-DB0657DE8C8F}"/>
              </c:ext>
            </c:extLst>
          </c:dPt>
          <c:dPt>
            <c:idx val="119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5-1EFA-48B2-82DB-DB0657DE8C8F}"/>
              </c:ext>
            </c:extLst>
          </c:dPt>
          <c:dPt>
            <c:idx val="119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7-1EFA-48B2-82DB-DB0657DE8C8F}"/>
              </c:ext>
            </c:extLst>
          </c:dPt>
          <c:dPt>
            <c:idx val="119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9-1EFA-48B2-82DB-DB0657DE8C8F}"/>
              </c:ext>
            </c:extLst>
          </c:dPt>
          <c:dPt>
            <c:idx val="119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B-1EFA-48B2-82DB-DB0657DE8C8F}"/>
              </c:ext>
            </c:extLst>
          </c:dPt>
          <c:dPt>
            <c:idx val="119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D-1EFA-48B2-82DB-DB0657DE8C8F}"/>
              </c:ext>
            </c:extLst>
          </c:dPt>
          <c:dPt>
            <c:idx val="119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5F-1EFA-48B2-82DB-DB0657DE8C8F}"/>
              </c:ext>
            </c:extLst>
          </c:dPt>
          <c:dPt>
            <c:idx val="120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1-1EFA-48B2-82DB-DB0657DE8C8F}"/>
              </c:ext>
            </c:extLst>
          </c:dPt>
          <c:dPt>
            <c:idx val="120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3-1EFA-48B2-82DB-DB0657DE8C8F}"/>
              </c:ext>
            </c:extLst>
          </c:dPt>
          <c:dPt>
            <c:idx val="120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5-1EFA-48B2-82DB-DB0657DE8C8F}"/>
              </c:ext>
            </c:extLst>
          </c:dPt>
          <c:dPt>
            <c:idx val="120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7-1EFA-48B2-82DB-DB0657DE8C8F}"/>
              </c:ext>
            </c:extLst>
          </c:dPt>
          <c:dPt>
            <c:idx val="120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9-1EFA-48B2-82DB-DB0657DE8C8F}"/>
              </c:ext>
            </c:extLst>
          </c:dPt>
          <c:dPt>
            <c:idx val="120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B-1EFA-48B2-82DB-DB0657DE8C8F}"/>
              </c:ext>
            </c:extLst>
          </c:dPt>
          <c:dPt>
            <c:idx val="120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D-1EFA-48B2-82DB-DB0657DE8C8F}"/>
              </c:ext>
            </c:extLst>
          </c:dPt>
          <c:dPt>
            <c:idx val="120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6F-1EFA-48B2-82DB-DB0657DE8C8F}"/>
              </c:ext>
            </c:extLst>
          </c:dPt>
          <c:dPt>
            <c:idx val="120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1-1EFA-48B2-82DB-DB0657DE8C8F}"/>
              </c:ext>
            </c:extLst>
          </c:dPt>
          <c:dPt>
            <c:idx val="120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3-1EFA-48B2-82DB-DB0657DE8C8F}"/>
              </c:ext>
            </c:extLst>
          </c:dPt>
          <c:dPt>
            <c:idx val="121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5-1EFA-48B2-82DB-DB0657DE8C8F}"/>
              </c:ext>
            </c:extLst>
          </c:dPt>
          <c:dPt>
            <c:idx val="121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7-1EFA-48B2-82DB-DB0657DE8C8F}"/>
              </c:ext>
            </c:extLst>
          </c:dPt>
          <c:dPt>
            <c:idx val="121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9-1EFA-48B2-82DB-DB0657DE8C8F}"/>
              </c:ext>
            </c:extLst>
          </c:dPt>
          <c:dPt>
            <c:idx val="121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B-1EFA-48B2-82DB-DB0657DE8C8F}"/>
              </c:ext>
            </c:extLst>
          </c:dPt>
          <c:dPt>
            <c:idx val="121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D-1EFA-48B2-82DB-DB0657DE8C8F}"/>
              </c:ext>
            </c:extLst>
          </c:dPt>
          <c:dPt>
            <c:idx val="121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7F-1EFA-48B2-82DB-DB0657DE8C8F}"/>
              </c:ext>
            </c:extLst>
          </c:dPt>
          <c:dPt>
            <c:idx val="121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1-1EFA-48B2-82DB-DB0657DE8C8F}"/>
              </c:ext>
            </c:extLst>
          </c:dPt>
          <c:dPt>
            <c:idx val="121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3-1EFA-48B2-82DB-DB0657DE8C8F}"/>
              </c:ext>
            </c:extLst>
          </c:dPt>
          <c:dPt>
            <c:idx val="121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5-1EFA-48B2-82DB-DB0657DE8C8F}"/>
              </c:ext>
            </c:extLst>
          </c:dPt>
          <c:dPt>
            <c:idx val="121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7-1EFA-48B2-82DB-DB0657DE8C8F}"/>
              </c:ext>
            </c:extLst>
          </c:dPt>
          <c:dPt>
            <c:idx val="122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9-1EFA-48B2-82DB-DB0657DE8C8F}"/>
              </c:ext>
            </c:extLst>
          </c:dPt>
          <c:dPt>
            <c:idx val="122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B-1EFA-48B2-82DB-DB0657DE8C8F}"/>
              </c:ext>
            </c:extLst>
          </c:dPt>
          <c:dPt>
            <c:idx val="122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D-1EFA-48B2-82DB-DB0657DE8C8F}"/>
              </c:ext>
            </c:extLst>
          </c:dPt>
          <c:dPt>
            <c:idx val="122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8F-1EFA-48B2-82DB-DB0657DE8C8F}"/>
              </c:ext>
            </c:extLst>
          </c:dPt>
          <c:dPt>
            <c:idx val="122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1-1EFA-48B2-82DB-DB0657DE8C8F}"/>
              </c:ext>
            </c:extLst>
          </c:dPt>
          <c:dPt>
            <c:idx val="122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3-1EFA-48B2-82DB-DB0657DE8C8F}"/>
              </c:ext>
            </c:extLst>
          </c:dPt>
          <c:dPt>
            <c:idx val="122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5-1EFA-48B2-82DB-DB0657DE8C8F}"/>
              </c:ext>
            </c:extLst>
          </c:dPt>
          <c:dPt>
            <c:idx val="122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7-1EFA-48B2-82DB-DB0657DE8C8F}"/>
              </c:ext>
            </c:extLst>
          </c:dPt>
          <c:dPt>
            <c:idx val="122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9-1EFA-48B2-82DB-DB0657DE8C8F}"/>
              </c:ext>
            </c:extLst>
          </c:dPt>
          <c:dPt>
            <c:idx val="122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B-1EFA-48B2-82DB-DB0657DE8C8F}"/>
              </c:ext>
            </c:extLst>
          </c:dPt>
          <c:dPt>
            <c:idx val="123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D-1EFA-48B2-82DB-DB0657DE8C8F}"/>
              </c:ext>
            </c:extLst>
          </c:dPt>
          <c:dPt>
            <c:idx val="123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9F-1EFA-48B2-82DB-DB0657DE8C8F}"/>
              </c:ext>
            </c:extLst>
          </c:dPt>
          <c:dPt>
            <c:idx val="123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1-1EFA-48B2-82DB-DB0657DE8C8F}"/>
              </c:ext>
            </c:extLst>
          </c:dPt>
          <c:dPt>
            <c:idx val="123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3-1EFA-48B2-82DB-DB0657DE8C8F}"/>
              </c:ext>
            </c:extLst>
          </c:dPt>
          <c:dPt>
            <c:idx val="123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5-1EFA-48B2-82DB-DB0657DE8C8F}"/>
              </c:ext>
            </c:extLst>
          </c:dPt>
          <c:dPt>
            <c:idx val="123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7-1EFA-48B2-82DB-DB0657DE8C8F}"/>
              </c:ext>
            </c:extLst>
          </c:dPt>
          <c:dPt>
            <c:idx val="123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9-1EFA-48B2-82DB-DB0657DE8C8F}"/>
              </c:ext>
            </c:extLst>
          </c:dPt>
          <c:dPt>
            <c:idx val="123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B-1EFA-48B2-82DB-DB0657DE8C8F}"/>
              </c:ext>
            </c:extLst>
          </c:dPt>
          <c:dPt>
            <c:idx val="123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D-1EFA-48B2-82DB-DB0657DE8C8F}"/>
              </c:ext>
            </c:extLst>
          </c:dPt>
          <c:dPt>
            <c:idx val="123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AF-1EFA-48B2-82DB-DB0657DE8C8F}"/>
              </c:ext>
            </c:extLst>
          </c:dPt>
          <c:dPt>
            <c:idx val="124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1-1EFA-48B2-82DB-DB0657DE8C8F}"/>
              </c:ext>
            </c:extLst>
          </c:dPt>
          <c:dPt>
            <c:idx val="124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3-1EFA-48B2-82DB-DB0657DE8C8F}"/>
              </c:ext>
            </c:extLst>
          </c:dPt>
          <c:dPt>
            <c:idx val="124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5-1EFA-48B2-82DB-DB0657DE8C8F}"/>
              </c:ext>
            </c:extLst>
          </c:dPt>
          <c:dPt>
            <c:idx val="124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7-1EFA-48B2-82DB-DB0657DE8C8F}"/>
              </c:ext>
            </c:extLst>
          </c:dPt>
          <c:dPt>
            <c:idx val="124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9-1EFA-48B2-82DB-DB0657DE8C8F}"/>
              </c:ext>
            </c:extLst>
          </c:dPt>
          <c:dPt>
            <c:idx val="1245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B-1EFA-48B2-82DB-DB0657DE8C8F}"/>
              </c:ext>
            </c:extLst>
          </c:dPt>
          <c:dPt>
            <c:idx val="1246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D-1EFA-48B2-82DB-DB0657DE8C8F}"/>
              </c:ext>
            </c:extLst>
          </c:dPt>
          <c:dPt>
            <c:idx val="1247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BF-1EFA-48B2-82DB-DB0657DE8C8F}"/>
              </c:ext>
            </c:extLst>
          </c:dPt>
          <c:dPt>
            <c:idx val="124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1-1EFA-48B2-82DB-DB0657DE8C8F}"/>
              </c:ext>
            </c:extLst>
          </c:dPt>
          <c:dPt>
            <c:idx val="124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3-1EFA-48B2-82DB-DB0657DE8C8F}"/>
              </c:ext>
            </c:extLst>
          </c:dPt>
          <c:dPt>
            <c:idx val="125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5-1EFA-48B2-82DB-DB0657DE8C8F}"/>
              </c:ext>
            </c:extLst>
          </c:dPt>
          <c:dPt>
            <c:idx val="125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7-1EFA-48B2-82DB-DB0657DE8C8F}"/>
              </c:ext>
            </c:extLst>
          </c:dPt>
          <c:dPt>
            <c:idx val="125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9-1EFA-48B2-82DB-DB0657DE8C8F}"/>
              </c:ext>
            </c:extLst>
          </c:dPt>
          <c:dPt>
            <c:idx val="125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B-1EFA-48B2-82DB-DB0657DE8C8F}"/>
              </c:ext>
            </c:extLst>
          </c:dPt>
          <c:dPt>
            <c:idx val="125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D-1EFA-48B2-82DB-DB0657DE8C8F}"/>
              </c:ext>
            </c:extLst>
          </c:dPt>
          <c:dPt>
            <c:idx val="125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CF-1EFA-48B2-82DB-DB0657DE8C8F}"/>
              </c:ext>
            </c:extLst>
          </c:dPt>
          <c:dPt>
            <c:idx val="125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1-1EFA-48B2-82DB-DB0657DE8C8F}"/>
              </c:ext>
            </c:extLst>
          </c:dPt>
          <c:dPt>
            <c:idx val="125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3-1EFA-48B2-82DB-DB0657DE8C8F}"/>
              </c:ext>
            </c:extLst>
          </c:dPt>
          <c:dPt>
            <c:idx val="125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5-1EFA-48B2-82DB-DB0657DE8C8F}"/>
              </c:ext>
            </c:extLst>
          </c:dPt>
          <c:dPt>
            <c:idx val="125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7-1EFA-48B2-82DB-DB0657DE8C8F}"/>
              </c:ext>
            </c:extLst>
          </c:dPt>
          <c:dPt>
            <c:idx val="126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9-1EFA-48B2-82DB-DB0657DE8C8F}"/>
              </c:ext>
            </c:extLst>
          </c:dPt>
          <c:dPt>
            <c:idx val="126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B-1EFA-48B2-82DB-DB0657DE8C8F}"/>
              </c:ext>
            </c:extLst>
          </c:dPt>
          <c:dPt>
            <c:idx val="126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D-1EFA-48B2-82DB-DB0657DE8C8F}"/>
              </c:ext>
            </c:extLst>
          </c:dPt>
          <c:dPt>
            <c:idx val="126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DF-1EFA-48B2-82DB-DB0657DE8C8F}"/>
              </c:ext>
            </c:extLst>
          </c:dPt>
          <c:dPt>
            <c:idx val="126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1-1EFA-48B2-82DB-DB0657DE8C8F}"/>
              </c:ext>
            </c:extLst>
          </c:dPt>
          <c:dPt>
            <c:idx val="126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3-1EFA-48B2-82DB-DB0657DE8C8F}"/>
              </c:ext>
            </c:extLst>
          </c:dPt>
          <c:dPt>
            <c:idx val="126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5-1EFA-48B2-82DB-DB0657DE8C8F}"/>
              </c:ext>
            </c:extLst>
          </c:dPt>
          <c:dPt>
            <c:idx val="126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7-1EFA-48B2-82DB-DB0657DE8C8F}"/>
              </c:ext>
            </c:extLst>
          </c:dPt>
          <c:dPt>
            <c:idx val="126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9-1EFA-48B2-82DB-DB0657DE8C8F}"/>
              </c:ext>
            </c:extLst>
          </c:dPt>
          <c:dPt>
            <c:idx val="126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B-1EFA-48B2-82DB-DB0657DE8C8F}"/>
              </c:ext>
            </c:extLst>
          </c:dPt>
          <c:dPt>
            <c:idx val="127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D-1EFA-48B2-82DB-DB0657DE8C8F}"/>
              </c:ext>
            </c:extLst>
          </c:dPt>
          <c:dPt>
            <c:idx val="127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EF-1EFA-48B2-82DB-DB0657DE8C8F}"/>
              </c:ext>
            </c:extLst>
          </c:dPt>
          <c:dPt>
            <c:idx val="127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1-1EFA-48B2-82DB-DB0657DE8C8F}"/>
              </c:ext>
            </c:extLst>
          </c:dPt>
          <c:dPt>
            <c:idx val="127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3-1EFA-48B2-82DB-DB0657DE8C8F}"/>
              </c:ext>
            </c:extLst>
          </c:dPt>
          <c:dPt>
            <c:idx val="127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5-1EFA-48B2-82DB-DB0657DE8C8F}"/>
              </c:ext>
            </c:extLst>
          </c:dPt>
          <c:dPt>
            <c:idx val="127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7-1EFA-48B2-82DB-DB0657DE8C8F}"/>
              </c:ext>
            </c:extLst>
          </c:dPt>
          <c:dPt>
            <c:idx val="127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9-1EFA-48B2-82DB-DB0657DE8C8F}"/>
              </c:ext>
            </c:extLst>
          </c:dPt>
          <c:dPt>
            <c:idx val="127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B-1EFA-48B2-82DB-DB0657DE8C8F}"/>
              </c:ext>
            </c:extLst>
          </c:dPt>
          <c:dPt>
            <c:idx val="127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D-1EFA-48B2-82DB-DB0657DE8C8F}"/>
              </c:ext>
            </c:extLst>
          </c:dPt>
          <c:dPt>
            <c:idx val="127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9FF-1EFA-48B2-82DB-DB0657DE8C8F}"/>
              </c:ext>
            </c:extLst>
          </c:dPt>
          <c:dPt>
            <c:idx val="128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1-1EFA-48B2-82DB-DB0657DE8C8F}"/>
              </c:ext>
            </c:extLst>
          </c:dPt>
          <c:dPt>
            <c:idx val="128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3-1EFA-48B2-82DB-DB0657DE8C8F}"/>
              </c:ext>
            </c:extLst>
          </c:dPt>
          <c:dPt>
            <c:idx val="128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5-1EFA-48B2-82DB-DB0657DE8C8F}"/>
              </c:ext>
            </c:extLst>
          </c:dPt>
          <c:dPt>
            <c:idx val="128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7-1EFA-48B2-82DB-DB0657DE8C8F}"/>
              </c:ext>
            </c:extLst>
          </c:dPt>
          <c:dPt>
            <c:idx val="128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9-1EFA-48B2-82DB-DB0657DE8C8F}"/>
              </c:ext>
            </c:extLst>
          </c:dPt>
          <c:dPt>
            <c:idx val="128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B-1EFA-48B2-82DB-DB0657DE8C8F}"/>
              </c:ext>
            </c:extLst>
          </c:dPt>
          <c:dPt>
            <c:idx val="128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D-1EFA-48B2-82DB-DB0657DE8C8F}"/>
              </c:ext>
            </c:extLst>
          </c:dPt>
          <c:dPt>
            <c:idx val="128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0F-1EFA-48B2-82DB-DB0657DE8C8F}"/>
              </c:ext>
            </c:extLst>
          </c:dPt>
          <c:dPt>
            <c:idx val="128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1-1EFA-48B2-82DB-DB0657DE8C8F}"/>
              </c:ext>
            </c:extLst>
          </c:dPt>
          <c:dPt>
            <c:idx val="128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3-1EFA-48B2-82DB-DB0657DE8C8F}"/>
              </c:ext>
            </c:extLst>
          </c:dPt>
          <c:dPt>
            <c:idx val="129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5-1EFA-48B2-82DB-DB0657DE8C8F}"/>
              </c:ext>
            </c:extLst>
          </c:dPt>
          <c:dPt>
            <c:idx val="129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7-1EFA-48B2-82DB-DB0657DE8C8F}"/>
              </c:ext>
            </c:extLst>
          </c:dPt>
          <c:dPt>
            <c:idx val="129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9-1EFA-48B2-82DB-DB0657DE8C8F}"/>
              </c:ext>
            </c:extLst>
          </c:dPt>
          <c:dPt>
            <c:idx val="129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B-1EFA-48B2-82DB-DB0657DE8C8F}"/>
              </c:ext>
            </c:extLst>
          </c:dPt>
          <c:dPt>
            <c:idx val="129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D-1EFA-48B2-82DB-DB0657DE8C8F}"/>
              </c:ext>
            </c:extLst>
          </c:dPt>
          <c:dPt>
            <c:idx val="129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1F-1EFA-48B2-82DB-DB0657DE8C8F}"/>
              </c:ext>
            </c:extLst>
          </c:dPt>
          <c:dPt>
            <c:idx val="129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1-1EFA-48B2-82DB-DB0657DE8C8F}"/>
              </c:ext>
            </c:extLst>
          </c:dPt>
          <c:dPt>
            <c:idx val="129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3-1EFA-48B2-82DB-DB0657DE8C8F}"/>
              </c:ext>
            </c:extLst>
          </c:dPt>
          <c:dPt>
            <c:idx val="1298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5-1EFA-48B2-82DB-DB0657DE8C8F}"/>
              </c:ext>
            </c:extLst>
          </c:dPt>
          <c:dPt>
            <c:idx val="1299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7-1EFA-48B2-82DB-DB0657DE8C8F}"/>
              </c:ext>
            </c:extLst>
          </c:dPt>
          <c:dPt>
            <c:idx val="1300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9-1EFA-48B2-82DB-DB0657DE8C8F}"/>
              </c:ext>
            </c:extLst>
          </c:dPt>
          <c:dPt>
            <c:idx val="130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B-1EFA-48B2-82DB-DB0657DE8C8F}"/>
              </c:ext>
            </c:extLst>
          </c:dPt>
          <c:dPt>
            <c:idx val="130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D-1EFA-48B2-82DB-DB0657DE8C8F}"/>
              </c:ext>
            </c:extLst>
          </c:dPt>
          <c:dPt>
            <c:idx val="130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2F-1EFA-48B2-82DB-DB0657DE8C8F}"/>
              </c:ext>
            </c:extLst>
          </c:dPt>
          <c:dPt>
            <c:idx val="130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1-1EFA-48B2-82DB-DB0657DE8C8F}"/>
              </c:ext>
            </c:extLst>
          </c:dPt>
          <c:dPt>
            <c:idx val="130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3-1EFA-48B2-82DB-DB0657DE8C8F}"/>
              </c:ext>
            </c:extLst>
          </c:dPt>
          <c:dPt>
            <c:idx val="130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5-1EFA-48B2-82DB-DB0657DE8C8F}"/>
              </c:ext>
            </c:extLst>
          </c:dPt>
          <c:dPt>
            <c:idx val="130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7-1EFA-48B2-82DB-DB0657DE8C8F}"/>
              </c:ext>
            </c:extLst>
          </c:dPt>
          <c:dPt>
            <c:idx val="130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9-1EFA-48B2-82DB-DB0657DE8C8F}"/>
              </c:ext>
            </c:extLst>
          </c:dPt>
          <c:dPt>
            <c:idx val="130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B-1EFA-48B2-82DB-DB0657DE8C8F}"/>
              </c:ext>
            </c:extLst>
          </c:dPt>
          <c:dPt>
            <c:idx val="131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D-1EFA-48B2-82DB-DB0657DE8C8F}"/>
              </c:ext>
            </c:extLst>
          </c:dPt>
          <c:dPt>
            <c:idx val="131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3F-1EFA-48B2-82DB-DB0657DE8C8F}"/>
              </c:ext>
            </c:extLst>
          </c:dPt>
          <c:dPt>
            <c:idx val="131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1-1EFA-48B2-82DB-DB0657DE8C8F}"/>
              </c:ext>
            </c:extLst>
          </c:dPt>
          <c:dPt>
            <c:idx val="131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3-1EFA-48B2-82DB-DB0657DE8C8F}"/>
              </c:ext>
            </c:extLst>
          </c:dPt>
          <c:dPt>
            <c:idx val="131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5-1EFA-48B2-82DB-DB0657DE8C8F}"/>
              </c:ext>
            </c:extLst>
          </c:dPt>
          <c:dPt>
            <c:idx val="131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7-1EFA-48B2-82DB-DB0657DE8C8F}"/>
              </c:ext>
            </c:extLst>
          </c:dPt>
          <c:dPt>
            <c:idx val="131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9-1EFA-48B2-82DB-DB0657DE8C8F}"/>
              </c:ext>
            </c:extLst>
          </c:dPt>
          <c:dPt>
            <c:idx val="131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B-1EFA-48B2-82DB-DB0657DE8C8F}"/>
              </c:ext>
            </c:extLst>
          </c:dPt>
          <c:dPt>
            <c:idx val="131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D-1EFA-48B2-82DB-DB0657DE8C8F}"/>
              </c:ext>
            </c:extLst>
          </c:dPt>
          <c:dPt>
            <c:idx val="131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4F-1EFA-48B2-82DB-DB0657DE8C8F}"/>
              </c:ext>
            </c:extLst>
          </c:dPt>
          <c:dPt>
            <c:idx val="132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1-1EFA-48B2-82DB-DB0657DE8C8F}"/>
              </c:ext>
            </c:extLst>
          </c:dPt>
          <c:dPt>
            <c:idx val="132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3-1EFA-48B2-82DB-DB0657DE8C8F}"/>
              </c:ext>
            </c:extLst>
          </c:dPt>
          <c:dPt>
            <c:idx val="132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5-1EFA-48B2-82DB-DB0657DE8C8F}"/>
              </c:ext>
            </c:extLst>
          </c:dPt>
          <c:dPt>
            <c:idx val="132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7-1EFA-48B2-82DB-DB0657DE8C8F}"/>
              </c:ext>
            </c:extLst>
          </c:dPt>
          <c:dPt>
            <c:idx val="132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9-1EFA-48B2-82DB-DB0657DE8C8F}"/>
              </c:ext>
            </c:extLst>
          </c:dPt>
          <c:dPt>
            <c:idx val="132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B-1EFA-48B2-82DB-DB0657DE8C8F}"/>
              </c:ext>
            </c:extLst>
          </c:dPt>
          <c:dPt>
            <c:idx val="132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D-1EFA-48B2-82DB-DB0657DE8C8F}"/>
              </c:ext>
            </c:extLst>
          </c:dPt>
          <c:dPt>
            <c:idx val="132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5F-1EFA-48B2-82DB-DB0657DE8C8F}"/>
              </c:ext>
            </c:extLst>
          </c:dPt>
          <c:dPt>
            <c:idx val="132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1-1EFA-48B2-82DB-DB0657DE8C8F}"/>
              </c:ext>
            </c:extLst>
          </c:dPt>
          <c:dPt>
            <c:idx val="132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3-1EFA-48B2-82DB-DB0657DE8C8F}"/>
              </c:ext>
            </c:extLst>
          </c:dPt>
          <c:dPt>
            <c:idx val="133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5-1EFA-48B2-82DB-DB0657DE8C8F}"/>
              </c:ext>
            </c:extLst>
          </c:dPt>
          <c:dPt>
            <c:idx val="133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7-1EFA-48B2-82DB-DB0657DE8C8F}"/>
              </c:ext>
            </c:extLst>
          </c:dPt>
          <c:dPt>
            <c:idx val="133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9-1EFA-48B2-82DB-DB0657DE8C8F}"/>
              </c:ext>
            </c:extLst>
          </c:dPt>
          <c:dPt>
            <c:idx val="133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B-1EFA-48B2-82DB-DB0657DE8C8F}"/>
              </c:ext>
            </c:extLst>
          </c:dPt>
          <c:dPt>
            <c:idx val="133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D-1EFA-48B2-82DB-DB0657DE8C8F}"/>
              </c:ext>
            </c:extLst>
          </c:dPt>
          <c:dPt>
            <c:idx val="133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6F-1EFA-48B2-82DB-DB0657DE8C8F}"/>
              </c:ext>
            </c:extLst>
          </c:dPt>
          <c:dPt>
            <c:idx val="133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1-1EFA-48B2-82DB-DB0657DE8C8F}"/>
              </c:ext>
            </c:extLst>
          </c:dPt>
          <c:dPt>
            <c:idx val="133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3-1EFA-48B2-82DB-DB0657DE8C8F}"/>
              </c:ext>
            </c:extLst>
          </c:dPt>
          <c:dPt>
            <c:idx val="133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5-1EFA-48B2-82DB-DB0657DE8C8F}"/>
              </c:ext>
            </c:extLst>
          </c:dPt>
          <c:dPt>
            <c:idx val="133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7-1EFA-48B2-82DB-DB0657DE8C8F}"/>
              </c:ext>
            </c:extLst>
          </c:dPt>
          <c:dPt>
            <c:idx val="134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9-1EFA-48B2-82DB-DB0657DE8C8F}"/>
              </c:ext>
            </c:extLst>
          </c:dPt>
          <c:dPt>
            <c:idx val="134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B-1EFA-48B2-82DB-DB0657DE8C8F}"/>
              </c:ext>
            </c:extLst>
          </c:dPt>
          <c:dPt>
            <c:idx val="134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D-1EFA-48B2-82DB-DB0657DE8C8F}"/>
              </c:ext>
            </c:extLst>
          </c:dPt>
          <c:dPt>
            <c:idx val="134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7F-1EFA-48B2-82DB-DB0657DE8C8F}"/>
              </c:ext>
            </c:extLst>
          </c:dPt>
          <c:dPt>
            <c:idx val="134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1-1EFA-48B2-82DB-DB0657DE8C8F}"/>
              </c:ext>
            </c:extLst>
          </c:dPt>
          <c:dPt>
            <c:idx val="134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3-1EFA-48B2-82DB-DB0657DE8C8F}"/>
              </c:ext>
            </c:extLst>
          </c:dPt>
          <c:dPt>
            <c:idx val="134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5-1EFA-48B2-82DB-DB0657DE8C8F}"/>
              </c:ext>
            </c:extLst>
          </c:dPt>
          <c:dPt>
            <c:idx val="134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7-1EFA-48B2-82DB-DB0657DE8C8F}"/>
              </c:ext>
            </c:extLst>
          </c:dPt>
          <c:dPt>
            <c:idx val="134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9-1EFA-48B2-82DB-DB0657DE8C8F}"/>
              </c:ext>
            </c:extLst>
          </c:dPt>
          <c:dPt>
            <c:idx val="134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B-1EFA-48B2-82DB-DB0657DE8C8F}"/>
              </c:ext>
            </c:extLst>
          </c:dPt>
          <c:dPt>
            <c:idx val="135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D-1EFA-48B2-82DB-DB0657DE8C8F}"/>
              </c:ext>
            </c:extLst>
          </c:dPt>
          <c:dPt>
            <c:idx val="135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8F-1EFA-48B2-82DB-DB0657DE8C8F}"/>
              </c:ext>
            </c:extLst>
          </c:dPt>
          <c:dPt>
            <c:idx val="135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1-1EFA-48B2-82DB-DB0657DE8C8F}"/>
              </c:ext>
            </c:extLst>
          </c:dPt>
          <c:dPt>
            <c:idx val="135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3-1EFA-48B2-82DB-DB0657DE8C8F}"/>
              </c:ext>
            </c:extLst>
          </c:dPt>
          <c:dPt>
            <c:idx val="135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5-1EFA-48B2-82DB-DB0657DE8C8F}"/>
              </c:ext>
            </c:extLst>
          </c:dPt>
          <c:dPt>
            <c:idx val="135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7-1EFA-48B2-82DB-DB0657DE8C8F}"/>
              </c:ext>
            </c:extLst>
          </c:dPt>
          <c:dPt>
            <c:idx val="135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9-1EFA-48B2-82DB-DB0657DE8C8F}"/>
              </c:ext>
            </c:extLst>
          </c:dPt>
          <c:dPt>
            <c:idx val="135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B-1EFA-48B2-82DB-DB0657DE8C8F}"/>
              </c:ext>
            </c:extLst>
          </c:dPt>
          <c:dPt>
            <c:idx val="135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D-1EFA-48B2-82DB-DB0657DE8C8F}"/>
              </c:ext>
            </c:extLst>
          </c:dPt>
          <c:dPt>
            <c:idx val="135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9F-1EFA-48B2-82DB-DB0657DE8C8F}"/>
              </c:ext>
            </c:extLst>
          </c:dPt>
          <c:dPt>
            <c:idx val="136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1-1EFA-48B2-82DB-DB0657DE8C8F}"/>
              </c:ext>
            </c:extLst>
          </c:dPt>
          <c:dPt>
            <c:idx val="136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3-1EFA-48B2-82DB-DB0657DE8C8F}"/>
              </c:ext>
            </c:extLst>
          </c:dPt>
          <c:dPt>
            <c:idx val="136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5-1EFA-48B2-82DB-DB0657DE8C8F}"/>
              </c:ext>
            </c:extLst>
          </c:dPt>
          <c:dPt>
            <c:idx val="136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7-1EFA-48B2-82DB-DB0657DE8C8F}"/>
              </c:ext>
            </c:extLst>
          </c:dPt>
          <c:dPt>
            <c:idx val="136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9-1EFA-48B2-82DB-DB0657DE8C8F}"/>
              </c:ext>
            </c:extLst>
          </c:dPt>
          <c:dPt>
            <c:idx val="136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B-1EFA-48B2-82DB-DB0657DE8C8F}"/>
              </c:ext>
            </c:extLst>
          </c:dPt>
          <c:dPt>
            <c:idx val="136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D-1EFA-48B2-82DB-DB0657DE8C8F}"/>
              </c:ext>
            </c:extLst>
          </c:dPt>
          <c:dPt>
            <c:idx val="136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AF-1EFA-48B2-82DB-DB0657DE8C8F}"/>
              </c:ext>
            </c:extLst>
          </c:dPt>
          <c:dPt>
            <c:idx val="136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1-1EFA-48B2-82DB-DB0657DE8C8F}"/>
              </c:ext>
            </c:extLst>
          </c:dPt>
          <c:dPt>
            <c:idx val="136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3-1EFA-48B2-82DB-DB0657DE8C8F}"/>
              </c:ext>
            </c:extLst>
          </c:dPt>
          <c:dPt>
            <c:idx val="137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5-1EFA-48B2-82DB-DB0657DE8C8F}"/>
              </c:ext>
            </c:extLst>
          </c:dPt>
          <c:dPt>
            <c:idx val="137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7-1EFA-48B2-82DB-DB0657DE8C8F}"/>
              </c:ext>
            </c:extLst>
          </c:dPt>
          <c:dPt>
            <c:idx val="137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9-1EFA-48B2-82DB-DB0657DE8C8F}"/>
              </c:ext>
            </c:extLst>
          </c:dPt>
          <c:dPt>
            <c:idx val="137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B-1EFA-48B2-82DB-DB0657DE8C8F}"/>
              </c:ext>
            </c:extLst>
          </c:dPt>
          <c:dPt>
            <c:idx val="137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D-1EFA-48B2-82DB-DB0657DE8C8F}"/>
              </c:ext>
            </c:extLst>
          </c:dPt>
          <c:dPt>
            <c:idx val="137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BF-1EFA-48B2-82DB-DB0657DE8C8F}"/>
              </c:ext>
            </c:extLst>
          </c:dPt>
          <c:dPt>
            <c:idx val="137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1-1EFA-48B2-82DB-DB0657DE8C8F}"/>
              </c:ext>
            </c:extLst>
          </c:dPt>
          <c:dPt>
            <c:idx val="137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3-1EFA-48B2-82DB-DB0657DE8C8F}"/>
              </c:ext>
            </c:extLst>
          </c:dPt>
          <c:dPt>
            <c:idx val="137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5-1EFA-48B2-82DB-DB0657DE8C8F}"/>
              </c:ext>
            </c:extLst>
          </c:dPt>
          <c:dPt>
            <c:idx val="137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7-1EFA-48B2-82DB-DB0657DE8C8F}"/>
              </c:ext>
            </c:extLst>
          </c:dPt>
          <c:dPt>
            <c:idx val="138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9-1EFA-48B2-82DB-DB0657DE8C8F}"/>
              </c:ext>
            </c:extLst>
          </c:dPt>
          <c:dPt>
            <c:idx val="138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B-1EFA-48B2-82DB-DB0657DE8C8F}"/>
              </c:ext>
            </c:extLst>
          </c:dPt>
          <c:dPt>
            <c:idx val="138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D-1EFA-48B2-82DB-DB0657DE8C8F}"/>
              </c:ext>
            </c:extLst>
          </c:dPt>
          <c:dPt>
            <c:idx val="138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CF-1EFA-48B2-82DB-DB0657DE8C8F}"/>
              </c:ext>
            </c:extLst>
          </c:dPt>
          <c:dPt>
            <c:idx val="138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1-1EFA-48B2-82DB-DB0657DE8C8F}"/>
              </c:ext>
            </c:extLst>
          </c:dPt>
          <c:dPt>
            <c:idx val="138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3-1EFA-48B2-82DB-DB0657DE8C8F}"/>
              </c:ext>
            </c:extLst>
          </c:dPt>
          <c:dPt>
            <c:idx val="138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5-1EFA-48B2-82DB-DB0657DE8C8F}"/>
              </c:ext>
            </c:extLst>
          </c:dPt>
          <c:dPt>
            <c:idx val="138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7-1EFA-48B2-82DB-DB0657DE8C8F}"/>
              </c:ext>
            </c:extLst>
          </c:dPt>
          <c:dPt>
            <c:idx val="138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9-1EFA-48B2-82DB-DB0657DE8C8F}"/>
              </c:ext>
            </c:extLst>
          </c:dPt>
          <c:dPt>
            <c:idx val="138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B-1EFA-48B2-82DB-DB0657DE8C8F}"/>
              </c:ext>
            </c:extLst>
          </c:dPt>
          <c:dPt>
            <c:idx val="139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D-1EFA-48B2-82DB-DB0657DE8C8F}"/>
              </c:ext>
            </c:extLst>
          </c:dPt>
          <c:dPt>
            <c:idx val="139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DF-1EFA-48B2-82DB-DB0657DE8C8F}"/>
              </c:ext>
            </c:extLst>
          </c:dPt>
          <c:dPt>
            <c:idx val="139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1-1EFA-48B2-82DB-DB0657DE8C8F}"/>
              </c:ext>
            </c:extLst>
          </c:dPt>
          <c:dPt>
            <c:idx val="139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3-1EFA-48B2-82DB-DB0657DE8C8F}"/>
              </c:ext>
            </c:extLst>
          </c:dPt>
          <c:dPt>
            <c:idx val="139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5-1EFA-48B2-82DB-DB0657DE8C8F}"/>
              </c:ext>
            </c:extLst>
          </c:dPt>
          <c:dPt>
            <c:idx val="139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7-1EFA-48B2-82DB-DB0657DE8C8F}"/>
              </c:ext>
            </c:extLst>
          </c:dPt>
          <c:dPt>
            <c:idx val="139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9-1EFA-48B2-82DB-DB0657DE8C8F}"/>
              </c:ext>
            </c:extLst>
          </c:dPt>
          <c:dPt>
            <c:idx val="139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B-1EFA-48B2-82DB-DB0657DE8C8F}"/>
              </c:ext>
            </c:extLst>
          </c:dPt>
          <c:dPt>
            <c:idx val="139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D-1EFA-48B2-82DB-DB0657DE8C8F}"/>
              </c:ext>
            </c:extLst>
          </c:dPt>
          <c:dPt>
            <c:idx val="139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EF-1EFA-48B2-82DB-DB0657DE8C8F}"/>
              </c:ext>
            </c:extLst>
          </c:dPt>
          <c:dPt>
            <c:idx val="140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1-1EFA-48B2-82DB-DB0657DE8C8F}"/>
              </c:ext>
            </c:extLst>
          </c:dPt>
          <c:dPt>
            <c:idx val="140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3-1EFA-48B2-82DB-DB0657DE8C8F}"/>
              </c:ext>
            </c:extLst>
          </c:dPt>
          <c:dPt>
            <c:idx val="140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5-1EFA-48B2-82DB-DB0657DE8C8F}"/>
              </c:ext>
            </c:extLst>
          </c:dPt>
          <c:dPt>
            <c:idx val="140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7-1EFA-48B2-82DB-DB0657DE8C8F}"/>
              </c:ext>
            </c:extLst>
          </c:dPt>
          <c:dPt>
            <c:idx val="140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9-1EFA-48B2-82DB-DB0657DE8C8F}"/>
              </c:ext>
            </c:extLst>
          </c:dPt>
          <c:dPt>
            <c:idx val="140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B-1EFA-48B2-82DB-DB0657DE8C8F}"/>
              </c:ext>
            </c:extLst>
          </c:dPt>
          <c:dPt>
            <c:idx val="140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D-1EFA-48B2-82DB-DB0657DE8C8F}"/>
              </c:ext>
            </c:extLst>
          </c:dPt>
          <c:dPt>
            <c:idx val="1407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AFF-1EFA-48B2-82DB-DB0657DE8C8F}"/>
              </c:ext>
            </c:extLst>
          </c:dPt>
          <c:dPt>
            <c:idx val="1408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1-1EFA-48B2-82DB-DB0657DE8C8F}"/>
              </c:ext>
            </c:extLst>
          </c:dPt>
          <c:dPt>
            <c:idx val="1409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3-1EFA-48B2-82DB-DB0657DE8C8F}"/>
              </c:ext>
            </c:extLst>
          </c:dPt>
          <c:dPt>
            <c:idx val="141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5-1EFA-48B2-82DB-DB0657DE8C8F}"/>
              </c:ext>
            </c:extLst>
          </c:dPt>
          <c:dPt>
            <c:idx val="141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7-1EFA-48B2-82DB-DB0657DE8C8F}"/>
              </c:ext>
            </c:extLst>
          </c:dPt>
          <c:dPt>
            <c:idx val="1412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9-1EFA-48B2-82DB-DB0657DE8C8F}"/>
              </c:ext>
            </c:extLst>
          </c:dPt>
          <c:dPt>
            <c:idx val="1413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B-1EFA-48B2-82DB-DB0657DE8C8F}"/>
              </c:ext>
            </c:extLst>
          </c:dPt>
          <c:dPt>
            <c:idx val="1414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D-1EFA-48B2-82DB-DB0657DE8C8F}"/>
              </c:ext>
            </c:extLst>
          </c:dPt>
          <c:dPt>
            <c:idx val="1415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0F-1EFA-48B2-82DB-DB0657DE8C8F}"/>
              </c:ext>
            </c:extLst>
          </c:dPt>
          <c:dPt>
            <c:idx val="141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1-1EFA-48B2-82DB-DB0657DE8C8F}"/>
              </c:ext>
            </c:extLst>
          </c:dPt>
          <c:dPt>
            <c:idx val="141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3-1EFA-48B2-82DB-DB0657DE8C8F}"/>
              </c:ext>
            </c:extLst>
          </c:dPt>
          <c:dPt>
            <c:idx val="141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5-1EFA-48B2-82DB-DB0657DE8C8F}"/>
              </c:ext>
            </c:extLst>
          </c:dPt>
          <c:dPt>
            <c:idx val="141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7-1EFA-48B2-82DB-DB0657DE8C8F}"/>
              </c:ext>
            </c:extLst>
          </c:dPt>
          <c:dPt>
            <c:idx val="1420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9-1EFA-48B2-82DB-DB0657DE8C8F}"/>
              </c:ext>
            </c:extLst>
          </c:dPt>
          <c:dPt>
            <c:idx val="1421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B-1EFA-48B2-82DB-DB0657DE8C8F}"/>
              </c:ext>
            </c:extLst>
          </c:dPt>
          <c:dPt>
            <c:idx val="1422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D-1EFA-48B2-82DB-DB0657DE8C8F}"/>
              </c:ext>
            </c:extLst>
          </c:dPt>
          <c:dPt>
            <c:idx val="142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1F-1EFA-48B2-82DB-DB0657DE8C8F}"/>
              </c:ext>
            </c:extLst>
          </c:dPt>
          <c:dPt>
            <c:idx val="1424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1-1EFA-48B2-82DB-DB0657DE8C8F}"/>
              </c:ext>
            </c:extLst>
          </c:dPt>
          <c:dPt>
            <c:idx val="1425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3-1EFA-48B2-82DB-DB0657DE8C8F}"/>
              </c:ext>
            </c:extLst>
          </c:dPt>
          <c:dPt>
            <c:idx val="1426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5-1EFA-48B2-82DB-DB0657DE8C8F}"/>
              </c:ext>
            </c:extLst>
          </c:dPt>
          <c:dPt>
            <c:idx val="1427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7-1EFA-48B2-82DB-DB0657DE8C8F}"/>
              </c:ext>
            </c:extLst>
          </c:dPt>
          <c:dPt>
            <c:idx val="1428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9-1EFA-48B2-82DB-DB0657DE8C8F}"/>
              </c:ext>
            </c:extLst>
          </c:dPt>
          <c:dPt>
            <c:idx val="142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B-1EFA-48B2-82DB-DB0657DE8C8F}"/>
              </c:ext>
            </c:extLst>
          </c:dPt>
          <c:dPt>
            <c:idx val="1430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D-1EFA-48B2-82DB-DB0657DE8C8F}"/>
              </c:ext>
            </c:extLst>
          </c:dPt>
          <c:dPt>
            <c:idx val="1431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2F-1EFA-48B2-82DB-DB0657DE8C8F}"/>
              </c:ext>
            </c:extLst>
          </c:dPt>
          <c:dPt>
            <c:idx val="1432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1-1EFA-48B2-82DB-DB0657DE8C8F}"/>
              </c:ext>
            </c:extLst>
          </c:dPt>
          <c:dPt>
            <c:idx val="1433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3-1EFA-48B2-82DB-DB0657DE8C8F}"/>
              </c:ext>
            </c:extLst>
          </c:dPt>
          <c:dPt>
            <c:idx val="1434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5-1EFA-48B2-82DB-DB0657DE8C8F}"/>
              </c:ext>
            </c:extLst>
          </c:dPt>
          <c:dPt>
            <c:idx val="143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7-1EFA-48B2-82DB-DB0657DE8C8F}"/>
              </c:ext>
            </c:extLst>
          </c:dPt>
          <c:dPt>
            <c:idx val="1436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9-1EFA-48B2-82DB-DB0657DE8C8F}"/>
              </c:ext>
            </c:extLst>
          </c:dPt>
          <c:dPt>
            <c:idx val="1437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B-1EFA-48B2-82DB-DB0657DE8C8F}"/>
              </c:ext>
            </c:extLst>
          </c:dPt>
          <c:dPt>
            <c:idx val="1438"/>
            <c:marker>
              <c:symbol val="none"/>
            </c:marker>
            <c:bubble3D val="0"/>
            <c:spPr>
              <a:ln w="28575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D-1EFA-48B2-82DB-DB0657DE8C8F}"/>
              </c:ext>
            </c:extLst>
          </c:dPt>
          <c:dPt>
            <c:idx val="1439"/>
            <c:marker>
              <c:symbol val="none"/>
            </c:marker>
            <c:bubble3D val="0"/>
            <c:spPr>
              <a:ln w="28575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B3F-1EFA-48B2-82DB-DB0657DE8C8F}"/>
              </c:ext>
            </c:extLst>
          </c:dPt>
          <c:cat>
            <c:numRef>
              <c:f>DailyView!$BL$11:$BL$1450</c:f>
              <c:numCache>
                <c:formatCode>hh:mm</c:formatCode>
                <c:ptCount val="1440"/>
                <c:pt idx="0">
                  <c:v>0</c:v>
                </c:pt>
                <c:pt idx="1">
                  <c:v>6.9444444444444447E-4</c:v>
                </c:pt>
                <c:pt idx="2">
                  <c:v>1.3888888888888889E-3</c:v>
                </c:pt>
                <c:pt idx="3">
                  <c:v>2.0833333333333333E-3</c:v>
                </c:pt>
                <c:pt idx="4">
                  <c:v>2.7777777777777779E-3</c:v>
                </c:pt>
                <c:pt idx="5">
                  <c:v>3.472222222222222E-3</c:v>
                </c:pt>
                <c:pt idx="6">
                  <c:v>4.1666666666666666E-3</c:v>
                </c:pt>
                <c:pt idx="7">
                  <c:v>4.8611111111111112E-3</c:v>
                </c:pt>
                <c:pt idx="8">
                  <c:v>5.5555555555555558E-3</c:v>
                </c:pt>
                <c:pt idx="9">
                  <c:v>6.2500000000000003E-3</c:v>
                </c:pt>
                <c:pt idx="10">
                  <c:v>6.9444444444444441E-3</c:v>
                </c:pt>
                <c:pt idx="11">
                  <c:v>7.6388888888888886E-3</c:v>
                </c:pt>
                <c:pt idx="12">
                  <c:v>8.3333333333333332E-3</c:v>
                </c:pt>
                <c:pt idx="13">
                  <c:v>9.0277777777777769E-3</c:v>
                </c:pt>
                <c:pt idx="14">
                  <c:v>9.7222222222222224E-3</c:v>
                </c:pt>
                <c:pt idx="15">
                  <c:v>1.0416666666666666E-2</c:v>
                </c:pt>
                <c:pt idx="16">
                  <c:v>1.1111111111111112E-2</c:v>
                </c:pt>
                <c:pt idx="17">
                  <c:v>1.1805555555555555E-2</c:v>
                </c:pt>
                <c:pt idx="18">
                  <c:v>1.2500000000000001E-2</c:v>
                </c:pt>
                <c:pt idx="19">
                  <c:v>1.3194444444444444E-2</c:v>
                </c:pt>
                <c:pt idx="20">
                  <c:v>1.3888888888888888E-2</c:v>
                </c:pt>
                <c:pt idx="21">
                  <c:v>1.4583333333333334E-2</c:v>
                </c:pt>
                <c:pt idx="22">
                  <c:v>1.5277777777777777E-2</c:v>
                </c:pt>
                <c:pt idx="23">
                  <c:v>1.5972222222222221E-2</c:v>
                </c:pt>
                <c:pt idx="24">
                  <c:v>1.6666666666666666E-2</c:v>
                </c:pt>
                <c:pt idx="25">
                  <c:v>1.7361111111111112E-2</c:v>
                </c:pt>
                <c:pt idx="26">
                  <c:v>1.8055555555555554E-2</c:v>
                </c:pt>
                <c:pt idx="27">
                  <c:v>1.8749999999999999E-2</c:v>
                </c:pt>
                <c:pt idx="28">
                  <c:v>1.9444444444444445E-2</c:v>
                </c:pt>
                <c:pt idx="29">
                  <c:v>2.013888888888889E-2</c:v>
                </c:pt>
                <c:pt idx="30">
                  <c:v>2.0833333333333332E-2</c:v>
                </c:pt>
                <c:pt idx="31">
                  <c:v>2.1527777777777778E-2</c:v>
                </c:pt>
                <c:pt idx="32">
                  <c:v>2.2222222222222223E-2</c:v>
                </c:pt>
                <c:pt idx="33">
                  <c:v>2.2916666666666665E-2</c:v>
                </c:pt>
                <c:pt idx="34">
                  <c:v>2.361111111111111E-2</c:v>
                </c:pt>
                <c:pt idx="35">
                  <c:v>2.4305555555555556E-2</c:v>
                </c:pt>
                <c:pt idx="36">
                  <c:v>2.5000000000000001E-2</c:v>
                </c:pt>
                <c:pt idx="37">
                  <c:v>2.5694444444444443E-2</c:v>
                </c:pt>
                <c:pt idx="38">
                  <c:v>2.6388888888888889E-2</c:v>
                </c:pt>
                <c:pt idx="39">
                  <c:v>2.7083333333333334E-2</c:v>
                </c:pt>
                <c:pt idx="40">
                  <c:v>2.7777777777777776E-2</c:v>
                </c:pt>
                <c:pt idx="41">
                  <c:v>2.8472222222222222E-2</c:v>
                </c:pt>
                <c:pt idx="42">
                  <c:v>2.9166666666666667E-2</c:v>
                </c:pt>
                <c:pt idx="43">
                  <c:v>2.9861111111111113E-2</c:v>
                </c:pt>
                <c:pt idx="44">
                  <c:v>3.0555555555555555E-2</c:v>
                </c:pt>
                <c:pt idx="45">
                  <c:v>3.125E-2</c:v>
                </c:pt>
                <c:pt idx="46">
                  <c:v>3.1944444444444442E-2</c:v>
                </c:pt>
                <c:pt idx="47">
                  <c:v>3.2638888888888891E-2</c:v>
                </c:pt>
                <c:pt idx="48">
                  <c:v>3.3333333333333333E-2</c:v>
                </c:pt>
                <c:pt idx="49">
                  <c:v>3.4027777777777775E-2</c:v>
                </c:pt>
                <c:pt idx="50">
                  <c:v>3.4722222222222224E-2</c:v>
                </c:pt>
                <c:pt idx="51">
                  <c:v>3.5416666666666666E-2</c:v>
                </c:pt>
                <c:pt idx="52">
                  <c:v>3.6111111111111108E-2</c:v>
                </c:pt>
                <c:pt idx="53">
                  <c:v>3.6805555555555557E-2</c:v>
                </c:pt>
                <c:pt idx="54">
                  <c:v>3.7499999999999999E-2</c:v>
                </c:pt>
                <c:pt idx="55">
                  <c:v>3.8194444444444448E-2</c:v>
                </c:pt>
                <c:pt idx="56">
                  <c:v>3.888888888888889E-2</c:v>
                </c:pt>
                <c:pt idx="57">
                  <c:v>3.9583333333333331E-2</c:v>
                </c:pt>
                <c:pt idx="58">
                  <c:v>4.027777777777778E-2</c:v>
                </c:pt>
                <c:pt idx="59">
                  <c:v>4.0972222222222222E-2</c:v>
                </c:pt>
                <c:pt idx="60">
                  <c:v>4.1666666666666664E-2</c:v>
                </c:pt>
                <c:pt idx="61">
                  <c:v>4.2361111111111113E-2</c:v>
                </c:pt>
                <c:pt idx="62">
                  <c:v>4.3055555555555555E-2</c:v>
                </c:pt>
                <c:pt idx="63">
                  <c:v>4.3749999999999997E-2</c:v>
                </c:pt>
                <c:pt idx="64">
                  <c:v>4.4444444444444446E-2</c:v>
                </c:pt>
                <c:pt idx="65">
                  <c:v>4.5138888888888888E-2</c:v>
                </c:pt>
                <c:pt idx="66">
                  <c:v>4.583333333333333E-2</c:v>
                </c:pt>
                <c:pt idx="67">
                  <c:v>4.6527777777777779E-2</c:v>
                </c:pt>
                <c:pt idx="68">
                  <c:v>4.7222222222222221E-2</c:v>
                </c:pt>
                <c:pt idx="69">
                  <c:v>4.791666666666667E-2</c:v>
                </c:pt>
                <c:pt idx="70">
                  <c:v>4.8611111111111112E-2</c:v>
                </c:pt>
                <c:pt idx="71">
                  <c:v>4.9305555555555554E-2</c:v>
                </c:pt>
                <c:pt idx="72">
                  <c:v>0.05</c:v>
                </c:pt>
                <c:pt idx="73">
                  <c:v>5.0694444444444445E-2</c:v>
                </c:pt>
                <c:pt idx="74">
                  <c:v>5.1388888888888887E-2</c:v>
                </c:pt>
                <c:pt idx="75">
                  <c:v>5.2083333333333336E-2</c:v>
                </c:pt>
                <c:pt idx="76">
                  <c:v>5.2777777777777778E-2</c:v>
                </c:pt>
                <c:pt idx="77">
                  <c:v>5.347222222222222E-2</c:v>
                </c:pt>
                <c:pt idx="78">
                  <c:v>5.4166666666666669E-2</c:v>
                </c:pt>
                <c:pt idx="79">
                  <c:v>5.486111111111111E-2</c:v>
                </c:pt>
                <c:pt idx="80">
                  <c:v>5.5555555555555552E-2</c:v>
                </c:pt>
                <c:pt idx="81">
                  <c:v>5.6250000000000001E-2</c:v>
                </c:pt>
                <c:pt idx="82">
                  <c:v>5.6944444444444443E-2</c:v>
                </c:pt>
                <c:pt idx="83">
                  <c:v>5.7638888888888892E-2</c:v>
                </c:pt>
                <c:pt idx="84">
                  <c:v>5.8333333333333334E-2</c:v>
                </c:pt>
                <c:pt idx="85">
                  <c:v>5.9027777777777776E-2</c:v>
                </c:pt>
                <c:pt idx="86">
                  <c:v>5.9722222222222225E-2</c:v>
                </c:pt>
                <c:pt idx="87">
                  <c:v>6.0416666666666667E-2</c:v>
                </c:pt>
                <c:pt idx="88">
                  <c:v>6.1111111111111109E-2</c:v>
                </c:pt>
                <c:pt idx="89">
                  <c:v>6.1805555555555558E-2</c:v>
                </c:pt>
                <c:pt idx="90">
                  <c:v>6.25E-2</c:v>
                </c:pt>
                <c:pt idx="91">
                  <c:v>6.3194444444444442E-2</c:v>
                </c:pt>
                <c:pt idx="92">
                  <c:v>6.3888888888888884E-2</c:v>
                </c:pt>
                <c:pt idx="93">
                  <c:v>6.458333333333334E-2</c:v>
                </c:pt>
                <c:pt idx="94">
                  <c:v>6.5277777777777782E-2</c:v>
                </c:pt>
                <c:pt idx="95">
                  <c:v>6.5972222222222224E-2</c:v>
                </c:pt>
                <c:pt idx="96">
                  <c:v>6.6666666666666666E-2</c:v>
                </c:pt>
                <c:pt idx="97">
                  <c:v>6.7361111111111108E-2</c:v>
                </c:pt>
                <c:pt idx="98">
                  <c:v>6.805555555555555E-2</c:v>
                </c:pt>
                <c:pt idx="99">
                  <c:v>6.8750000000000006E-2</c:v>
                </c:pt>
                <c:pt idx="100">
                  <c:v>6.9444444444444448E-2</c:v>
                </c:pt>
                <c:pt idx="101">
                  <c:v>7.013888888888889E-2</c:v>
                </c:pt>
                <c:pt idx="102">
                  <c:v>7.0833333333333331E-2</c:v>
                </c:pt>
                <c:pt idx="103">
                  <c:v>7.1527777777777773E-2</c:v>
                </c:pt>
                <c:pt idx="104">
                  <c:v>7.2222222222222215E-2</c:v>
                </c:pt>
                <c:pt idx="105">
                  <c:v>7.2916666666666671E-2</c:v>
                </c:pt>
                <c:pt idx="106">
                  <c:v>7.3611111111111113E-2</c:v>
                </c:pt>
                <c:pt idx="107">
                  <c:v>7.4305555555555555E-2</c:v>
                </c:pt>
                <c:pt idx="108">
                  <c:v>7.4999999999999997E-2</c:v>
                </c:pt>
                <c:pt idx="109">
                  <c:v>7.5694444444444439E-2</c:v>
                </c:pt>
                <c:pt idx="110">
                  <c:v>7.6388888888888895E-2</c:v>
                </c:pt>
                <c:pt idx="111">
                  <c:v>7.7083333333333337E-2</c:v>
                </c:pt>
                <c:pt idx="112">
                  <c:v>7.7777777777777779E-2</c:v>
                </c:pt>
                <c:pt idx="113">
                  <c:v>7.8472222222222221E-2</c:v>
                </c:pt>
                <c:pt idx="114">
                  <c:v>7.9166666666666663E-2</c:v>
                </c:pt>
                <c:pt idx="115">
                  <c:v>7.9861111111111105E-2</c:v>
                </c:pt>
                <c:pt idx="116">
                  <c:v>8.0555555555555561E-2</c:v>
                </c:pt>
                <c:pt idx="117">
                  <c:v>8.1250000000000003E-2</c:v>
                </c:pt>
                <c:pt idx="118">
                  <c:v>8.1944444444444445E-2</c:v>
                </c:pt>
                <c:pt idx="119">
                  <c:v>8.2638888888888887E-2</c:v>
                </c:pt>
                <c:pt idx="120">
                  <c:v>8.3333333333333329E-2</c:v>
                </c:pt>
                <c:pt idx="121">
                  <c:v>8.4027777777777785E-2</c:v>
                </c:pt>
                <c:pt idx="122">
                  <c:v>8.4722222222222227E-2</c:v>
                </c:pt>
                <c:pt idx="123">
                  <c:v>8.5416666666666669E-2</c:v>
                </c:pt>
                <c:pt idx="124">
                  <c:v>8.611111111111111E-2</c:v>
                </c:pt>
                <c:pt idx="125">
                  <c:v>8.6805555555555552E-2</c:v>
                </c:pt>
                <c:pt idx="126">
                  <c:v>8.7499999999999994E-2</c:v>
                </c:pt>
                <c:pt idx="127">
                  <c:v>8.819444444444445E-2</c:v>
                </c:pt>
                <c:pt idx="128">
                  <c:v>8.8888888888888892E-2</c:v>
                </c:pt>
                <c:pt idx="129">
                  <c:v>8.9583333333333334E-2</c:v>
                </c:pt>
                <c:pt idx="130">
                  <c:v>9.0277777777777776E-2</c:v>
                </c:pt>
                <c:pt idx="131">
                  <c:v>9.0972222222222218E-2</c:v>
                </c:pt>
                <c:pt idx="132">
                  <c:v>9.166666666666666E-2</c:v>
                </c:pt>
                <c:pt idx="133">
                  <c:v>9.2361111111111116E-2</c:v>
                </c:pt>
                <c:pt idx="134">
                  <c:v>9.3055555555555558E-2</c:v>
                </c:pt>
                <c:pt idx="135">
                  <c:v>9.375E-2</c:v>
                </c:pt>
                <c:pt idx="136">
                  <c:v>9.4444444444444442E-2</c:v>
                </c:pt>
                <c:pt idx="137">
                  <c:v>9.5138888888888884E-2</c:v>
                </c:pt>
                <c:pt idx="138">
                  <c:v>9.583333333333334E-2</c:v>
                </c:pt>
                <c:pt idx="139">
                  <c:v>9.6527777777777782E-2</c:v>
                </c:pt>
                <c:pt idx="140">
                  <c:v>9.7222222222222224E-2</c:v>
                </c:pt>
                <c:pt idx="141">
                  <c:v>9.7916666666666666E-2</c:v>
                </c:pt>
                <c:pt idx="142">
                  <c:v>9.8611111111111108E-2</c:v>
                </c:pt>
                <c:pt idx="143">
                  <c:v>9.930555555555555E-2</c:v>
                </c:pt>
                <c:pt idx="144">
                  <c:v>0.1</c:v>
                </c:pt>
                <c:pt idx="145">
                  <c:v>0.10069444444444445</c:v>
                </c:pt>
                <c:pt idx="146">
                  <c:v>0.10138888888888889</c:v>
                </c:pt>
                <c:pt idx="147">
                  <c:v>0.10208333333333333</c:v>
                </c:pt>
                <c:pt idx="148">
                  <c:v>0.10277777777777777</c:v>
                </c:pt>
                <c:pt idx="149">
                  <c:v>0.10347222222222222</c:v>
                </c:pt>
                <c:pt idx="150">
                  <c:v>0.10416666666666667</c:v>
                </c:pt>
                <c:pt idx="151">
                  <c:v>0.10486111111111111</c:v>
                </c:pt>
                <c:pt idx="152">
                  <c:v>0.10555555555555556</c:v>
                </c:pt>
                <c:pt idx="153">
                  <c:v>0.10625</c:v>
                </c:pt>
                <c:pt idx="154">
                  <c:v>0.10694444444444444</c:v>
                </c:pt>
                <c:pt idx="155">
                  <c:v>0.1076388888888889</c:v>
                </c:pt>
                <c:pt idx="156">
                  <c:v>0.10833333333333334</c:v>
                </c:pt>
                <c:pt idx="157">
                  <c:v>0.10902777777777778</c:v>
                </c:pt>
                <c:pt idx="158">
                  <c:v>0.10972222222222222</c:v>
                </c:pt>
                <c:pt idx="159">
                  <c:v>0.11041666666666666</c:v>
                </c:pt>
                <c:pt idx="160">
                  <c:v>0.1111111111111111</c:v>
                </c:pt>
                <c:pt idx="161">
                  <c:v>0.11180555555555556</c:v>
                </c:pt>
                <c:pt idx="162">
                  <c:v>0.1125</c:v>
                </c:pt>
                <c:pt idx="163">
                  <c:v>0.11319444444444444</c:v>
                </c:pt>
                <c:pt idx="164">
                  <c:v>0.11388888888888889</c:v>
                </c:pt>
                <c:pt idx="165">
                  <c:v>0.11458333333333333</c:v>
                </c:pt>
                <c:pt idx="166">
                  <c:v>0.11527777777777778</c:v>
                </c:pt>
                <c:pt idx="167">
                  <c:v>0.11597222222222223</c:v>
                </c:pt>
                <c:pt idx="168">
                  <c:v>0.11666666666666667</c:v>
                </c:pt>
                <c:pt idx="169">
                  <c:v>0.11736111111111111</c:v>
                </c:pt>
                <c:pt idx="170">
                  <c:v>0.11805555555555555</c:v>
                </c:pt>
                <c:pt idx="171">
                  <c:v>0.11874999999999999</c:v>
                </c:pt>
                <c:pt idx="172">
                  <c:v>0.11944444444444445</c:v>
                </c:pt>
                <c:pt idx="173">
                  <c:v>0.12013888888888889</c:v>
                </c:pt>
                <c:pt idx="174">
                  <c:v>0.12083333333333333</c:v>
                </c:pt>
                <c:pt idx="175">
                  <c:v>0.12152777777777778</c:v>
                </c:pt>
                <c:pt idx="176">
                  <c:v>0.12222222222222222</c:v>
                </c:pt>
                <c:pt idx="177">
                  <c:v>0.12291666666666666</c:v>
                </c:pt>
                <c:pt idx="178">
                  <c:v>0.12361111111111112</c:v>
                </c:pt>
                <c:pt idx="179">
                  <c:v>0.12430555555555556</c:v>
                </c:pt>
                <c:pt idx="180">
                  <c:v>0.125</c:v>
                </c:pt>
                <c:pt idx="181">
                  <c:v>0.12569444444444444</c:v>
                </c:pt>
                <c:pt idx="182">
                  <c:v>0.12638888888888888</c:v>
                </c:pt>
                <c:pt idx="183">
                  <c:v>0.12708333333333333</c:v>
                </c:pt>
                <c:pt idx="184">
                  <c:v>0.12777777777777777</c:v>
                </c:pt>
                <c:pt idx="185">
                  <c:v>0.12847222222222221</c:v>
                </c:pt>
                <c:pt idx="186">
                  <c:v>0.12916666666666668</c:v>
                </c:pt>
                <c:pt idx="187">
                  <c:v>0.12986111111111112</c:v>
                </c:pt>
                <c:pt idx="188">
                  <c:v>0.13055555555555556</c:v>
                </c:pt>
                <c:pt idx="189">
                  <c:v>0.13125000000000001</c:v>
                </c:pt>
                <c:pt idx="190">
                  <c:v>0.13194444444444445</c:v>
                </c:pt>
                <c:pt idx="191">
                  <c:v>0.13263888888888889</c:v>
                </c:pt>
                <c:pt idx="192">
                  <c:v>0.13333333333333333</c:v>
                </c:pt>
                <c:pt idx="193">
                  <c:v>0.13402777777777777</c:v>
                </c:pt>
                <c:pt idx="194">
                  <c:v>0.13472222222222222</c:v>
                </c:pt>
                <c:pt idx="195">
                  <c:v>0.13541666666666666</c:v>
                </c:pt>
                <c:pt idx="196">
                  <c:v>0.1361111111111111</c:v>
                </c:pt>
                <c:pt idx="197">
                  <c:v>0.13680555555555557</c:v>
                </c:pt>
                <c:pt idx="198">
                  <c:v>0.13750000000000001</c:v>
                </c:pt>
                <c:pt idx="199">
                  <c:v>0.13819444444444445</c:v>
                </c:pt>
                <c:pt idx="200">
                  <c:v>0.1388888888888889</c:v>
                </c:pt>
                <c:pt idx="201">
                  <c:v>0.13958333333333334</c:v>
                </c:pt>
                <c:pt idx="202">
                  <c:v>0.14027777777777778</c:v>
                </c:pt>
                <c:pt idx="203">
                  <c:v>0.14097222222222222</c:v>
                </c:pt>
                <c:pt idx="204">
                  <c:v>0.14166666666666666</c:v>
                </c:pt>
                <c:pt idx="205">
                  <c:v>0.1423611111111111</c:v>
                </c:pt>
                <c:pt idx="206">
                  <c:v>0.14305555555555555</c:v>
                </c:pt>
                <c:pt idx="207">
                  <c:v>0.14374999999999999</c:v>
                </c:pt>
                <c:pt idx="208">
                  <c:v>0.14444444444444443</c:v>
                </c:pt>
                <c:pt idx="209">
                  <c:v>0.1451388888888889</c:v>
                </c:pt>
                <c:pt idx="210">
                  <c:v>0.14583333333333334</c:v>
                </c:pt>
                <c:pt idx="211">
                  <c:v>0.14652777777777778</c:v>
                </c:pt>
                <c:pt idx="212">
                  <c:v>0.14722222222222223</c:v>
                </c:pt>
                <c:pt idx="213">
                  <c:v>0.14791666666666667</c:v>
                </c:pt>
                <c:pt idx="214">
                  <c:v>0.14861111111111111</c:v>
                </c:pt>
                <c:pt idx="215">
                  <c:v>0.14930555555555555</c:v>
                </c:pt>
                <c:pt idx="216">
                  <c:v>0.15</c:v>
                </c:pt>
                <c:pt idx="217">
                  <c:v>0.15069444444444444</c:v>
                </c:pt>
                <c:pt idx="218">
                  <c:v>0.15138888888888888</c:v>
                </c:pt>
                <c:pt idx="219">
                  <c:v>0.15208333333333332</c:v>
                </c:pt>
                <c:pt idx="220">
                  <c:v>0.15277777777777779</c:v>
                </c:pt>
                <c:pt idx="221">
                  <c:v>0.15347222222222223</c:v>
                </c:pt>
                <c:pt idx="222">
                  <c:v>0.15416666666666667</c:v>
                </c:pt>
                <c:pt idx="223">
                  <c:v>0.15486111111111112</c:v>
                </c:pt>
                <c:pt idx="224">
                  <c:v>0.15555555555555556</c:v>
                </c:pt>
                <c:pt idx="225">
                  <c:v>0.15625</c:v>
                </c:pt>
                <c:pt idx="226">
                  <c:v>0.15694444444444444</c:v>
                </c:pt>
                <c:pt idx="227">
                  <c:v>0.15763888888888888</c:v>
                </c:pt>
                <c:pt idx="228">
                  <c:v>0.15833333333333333</c:v>
                </c:pt>
                <c:pt idx="229">
                  <c:v>0.15902777777777777</c:v>
                </c:pt>
                <c:pt idx="230">
                  <c:v>0.15972222222222221</c:v>
                </c:pt>
                <c:pt idx="231">
                  <c:v>0.16041666666666668</c:v>
                </c:pt>
                <c:pt idx="232">
                  <c:v>0.16111111111111112</c:v>
                </c:pt>
                <c:pt idx="233">
                  <c:v>0.16180555555555556</c:v>
                </c:pt>
                <c:pt idx="234">
                  <c:v>0.16250000000000001</c:v>
                </c:pt>
                <c:pt idx="235">
                  <c:v>0.16319444444444445</c:v>
                </c:pt>
                <c:pt idx="236">
                  <c:v>0.16388888888888889</c:v>
                </c:pt>
                <c:pt idx="237">
                  <c:v>0.16458333333333333</c:v>
                </c:pt>
                <c:pt idx="238">
                  <c:v>0.16527777777777777</c:v>
                </c:pt>
                <c:pt idx="239">
                  <c:v>0.16597222222222222</c:v>
                </c:pt>
                <c:pt idx="240">
                  <c:v>0.16666666666666666</c:v>
                </c:pt>
                <c:pt idx="241">
                  <c:v>0.1673611111111111</c:v>
                </c:pt>
                <c:pt idx="242">
                  <c:v>0.16805555555555557</c:v>
                </c:pt>
                <c:pt idx="243">
                  <c:v>0.16875000000000001</c:v>
                </c:pt>
                <c:pt idx="244">
                  <c:v>0.16944444444444445</c:v>
                </c:pt>
                <c:pt idx="245">
                  <c:v>0.1701388888888889</c:v>
                </c:pt>
                <c:pt idx="246">
                  <c:v>0.17083333333333334</c:v>
                </c:pt>
                <c:pt idx="247">
                  <c:v>0.17152777777777778</c:v>
                </c:pt>
                <c:pt idx="248">
                  <c:v>0.17222222222222222</c:v>
                </c:pt>
                <c:pt idx="249">
                  <c:v>0.17291666666666666</c:v>
                </c:pt>
                <c:pt idx="250">
                  <c:v>0.1736111111111111</c:v>
                </c:pt>
                <c:pt idx="251">
                  <c:v>0.17430555555555555</c:v>
                </c:pt>
                <c:pt idx="252">
                  <c:v>0.17499999999999999</c:v>
                </c:pt>
                <c:pt idx="253">
                  <c:v>0.17569444444444443</c:v>
                </c:pt>
                <c:pt idx="254">
                  <c:v>0.1763888888888889</c:v>
                </c:pt>
                <c:pt idx="255">
                  <c:v>0.17708333333333334</c:v>
                </c:pt>
                <c:pt idx="256">
                  <c:v>0.17777777777777778</c:v>
                </c:pt>
                <c:pt idx="257">
                  <c:v>0.17847222222222223</c:v>
                </c:pt>
                <c:pt idx="258">
                  <c:v>0.17916666666666667</c:v>
                </c:pt>
                <c:pt idx="259">
                  <c:v>0.17986111111111111</c:v>
                </c:pt>
                <c:pt idx="260">
                  <c:v>0.18055555555555555</c:v>
                </c:pt>
                <c:pt idx="261">
                  <c:v>0.18124999999999999</c:v>
                </c:pt>
                <c:pt idx="262">
                  <c:v>0.18194444444444444</c:v>
                </c:pt>
                <c:pt idx="263">
                  <c:v>0.18263888888888888</c:v>
                </c:pt>
                <c:pt idx="264">
                  <c:v>0.18333333333333332</c:v>
                </c:pt>
                <c:pt idx="265">
                  <c:v>0.18402777777777779</c:v>
                </c:pt>
                <c:pt idx="266">
                  <c:v>0.18472222222222223</c:v>
                </c:pt>
                <c:pt idx="267">
                  <c:v>0.18541666666666667</c:v>
                </c:pt>
                <c:pt idx="268">
                  <c:v>0.18611111111111112</c:v>
                </c:pt>
                <c:pt idx="269">
                  <c:v>0.18680555555555556</c:v>
                </c:pt>
                <c:pt idx="270">
                  <c:v>0.1875</c:v>
                </c:pt>
                <c:pt idx="271">
                  <c:v>0.18819444444444444</c:v>
                </c:pt>
                <c:pt idx="272">
                  <c:v>0.18888888888888888</c:v>
                </c:pt>
                <c:pt idx="273">
                  <c:v>0.18958333333333333</c:v>
                </c:pt>
                <c:pt idx="274">
                  <c:v>0.19027777777777777</c:v>
                </c:pt>
                <c:pt idx="275">
                  <c:v>0.19097222222222221</c:v>
                </c:pt>
                <c:pt idx="276">
                  <c:v>0.19166666666666668</c:v>
                </c:pt>
                <c:pt idx="277">
                  <c:v>0.19236111111111112</c:v>
                </c:pt>
                <c:pt idx="278">
                  <c:v>0.19305555555555556</c:v>
                </c:pt>
                <c:pt idx="279">
                  <c:v>0.19375000000000001</c:v>
                </c:pt>
                <c:pt idx="280">
                  <c:v>0.19444444444444445</c:v>
                </c:pt>
                <c:pt idx="281">
                  <c:v>0.19513888888888889</c:v>
                </c:pt>
                <c:pt idx="282">
                  <c:v>0.19583333333333333</c:v>
                </c:pt>
                <c:pt idx="283">
                  <c:v>0.19652777777777777</c:v>
                </c:pt>
                <c:pt idx="284">
                  <c:v>0.19722222222222222</c:v>
                </c:pt>
                <c:pt idx="285">
                  <c:v>0.19791666666666666</c:v>
                </c:pt>
                <c:pt idx="286">
                  <c:v>0.1986111111111111</c:v>
                </c:pt>
                <c:pt idx="287">
                  <c:v>0.19930555555555557</c:v>
                </c:pt>
                <c:pt idx="288">
                  <c:v>0.2</c:v>
                </c:pt>
                <c:pt idx="289">
                  <c:v>0.20069444444444445</c:v>
                </c:pt>
                <c:pt idx="290">
                  <c:v>0.2013888888888889</c:v>
                </c:pt>
                <c:pt idx="291">
                  <c:v>0.20208333333333334</c:v>
                </c:pt>
                <c:pt idx="292">
                  <c:v>0.20277777777777778</c:v>
                </c:pt>
                <c:pt idx="293">
                  <c:v>0.20347222222222222</c:v>
                </c:pt>
                <c:pt idx="294">
                  <c:v>0.20416666666666666</c:v>
                </c:pt>
                <c:pt idx="295">
                  <c:v>0.2048611111111111</c:v>
                </c:pt>
                <c:pt idx="296">
                  <c:v>0.20555555555555555</c:v>
                </c:pt>
                <c:pt idx="297">
                  <c:v>0.20624999999999999</c:v>
                </c:pt>
                <c:pt idx="298">
                  <c:v>0.20694444444444443</c:v>
                </c:pt>
                <c:pt idx="299">
                  <c:v>0.2076388888888889</c:v>
                </c:pt>
                <c:pt idx="300">
                  <c:v>0.20833333333333334</c:v>
                </c:pt>
                <c:pt idx="301">
                  <c:v>0.20902777777777778</c:v>
                </c:pt>
                <c:pt idx="302">
                  <c:v>0.20972222222222223</c:v>
                </c:pt>
                <c:pt idx="303">
                  <c:v>0.21041666666666667</c:v>
                </c:pt>
                <c:pt idx="304">
                  <c:v>0.21111111111111111</c:v>
                </c:pt>
                <c:pt idx="305">
                  <c:v>0.21180555555555555</c:v>
                </c:pt>
                <c:pt idx="306">
                  <c:v>0.21249999999999999</c:v>
                </c:pt>
                <c:pt idx="307">
                  <c:v>0.21319444444444444</c:v>
                </c:pt>
                <c:pt idx="308">
                  <c:v>0.21388888888888888</c:v>
                </c:pt>
                <c:pt idx="309">
                  <c:v>0.21458333333333332</c:v>
                </c:pt>
                <c:pt idx="310">
                  <c:v>0.21527777777777779</c:v>
                </c:pt>
                <c:pt idx="311">
                  <c:v>0.21597222222222223</c:v>
                </c:pt>
                <c:pt idx="312">
                  <c:v>0.21666666666666667</c:v>
                </c:pt>
                <c:pt idx="313">
                  <c:v>0.21736111111111112</c:v>
                </c:pt>
                <c:pt idx="314">
                  <c:v>0.21805555555555556</c:v>
                </c:pt>
                <c:pt idx="315">
                  <c:v>0.21875</c:v>
                </c:pt>
                <c:pt idx="316">
                  <c:v>0.21944444444444444</c:v>
                </c:pt>
                <c:pt idx="317">
                  <c:v>0.22013888888888888</c:v>
                </c:pt>
                <c:pt idx="318">
                  <c:v>0.22083333333333333</c:v>
                </c:pt>
                <c:pt idx="319">
                  <c:v>0.22152777777777777</c:v>
                </c:pt>
                <c:pt idx="320">
                  <c:v>0.22222222222222221</c:v>
                </c:pt>
                <c:pt idx="321">
                  <c:v>0.22291666666666668</c:v>
                </c:pt>
                <c:pt idx="322">
                  <c:v>0.22361111111111112</c:v>
                </c:pt>
                <c:pt idx="323">
                  <c:v>0.22430555555555556</c:v>
                </c:pt>
                <c:pt idx="324">
                  <c:v>0.22500000000000001</c:v>
                </c:pt>
                <c:pt idx="325">
                  <c:v>0.22569444444444445</c:v>
                </c:pt>
                <c:pt idx="326">
                  <c:v>0.22638888888888889</c:v>
                </c:pt>
                <c:pt idx="327">
                  <c:v>0.22708333333333333</c:v>
                </c:pt>
                <c:pt idx="328">
                  <c:v>0.22777777777777777</c:v>
                </c:pt>
                <c:pt idx="329">
                  <c:v>0.22847222222222222</c:v>
                </c:pt>
                <c:pt idx="330">
                  <c:v>0.22916666666666666</c:v>
                </c:pt>
                <c:pt idx="331">
                  <c:v>0.2298611111111111</c:v>
                </c:pt>
                <c:pt idx="332">
                  <c:v>0.23055555555555557</c:v>
                </c:pt>
                <c:pt idx="333">
                  <c:v>0.23125000000000001</c:v>
                </c:pt>
                <c:pt idx="334">
                  <c:v>0.23194444444444445</c:v>
                </c:pt>
                <c:pt idx="335">
                  <c:v>0.2326388888888889</c:v>
                </c:pt>
                <c:pt idx="336">
                  <c:v>0.23333333333333334</c:v>
                </c:pt>
                <c:pt idx="337">
                  <c:v>0.23402777777777778</c:v>
                </c:pt>
                <c:pt idx="338">
                  <c:v>0.23472222222222222</c:v>
                </c:pt>
                <c:pt idx="339">
                  <c:v>0.23541666666666666</c:v>
                </c:pt>
                <c:pt idx="340">
                  <c:v>0.2361111111111111</c:v>
                </c:pt>
                <c:pt idx="341">
                  <c:v>0.23680555555555555</c:v>
                </c:pt>
                <c:pt idx="342">
                  <c:v>0.23749999999999999</c:v>
                </c:pt>
                <c:pt idx="343">
                  <c:v>0.23819444444444443</c:v>
                </c:pt>
                <c:pt idx="344">
                  <c:v>0.2388888888888889</c:v>
                </c:pt>
                <c:pt idx="345">
                  <c:v>0.23958333333333334</c:v>
                </c:pt>
                <c:pt idx="346">
                  <c:v>0.24027777777777778</c:v>
                </c:pt>
                <c:pt idx="347">
                  <c:v>0.24097222222222223</c:v>
                </c:pt>
                <c:pt idx="348">
                  <c:v>0.24166666666666667</c:v>
                </c:pt>
                <c:pt idx="349">
                  <c:v>0.24236111111111111</c:v>
                </c:pt>
                <c:pt idx="350">
                  <c:v>0.24305555555555555</c:v>
                </c:pt>
                <c:pt idx="351">
                  <c:v>0.24374999999999999</c:v>
                </c:pt>
                <c:pt idx="352">
                  <c:v>0.24444444444444444</c:v>
                </c:pt>
                <c:pt idx="353">
                  <c:v>0.24513888888888888</c:v>
                </c:pt>
                <c:pt idx="354">
                  <c:v>0.24583333333333332</c:v>
                </c:pt>
                <c:pt idx="355">
                  <c:v>0.24652777777777779</c:v>
                </c:pt>
                <c:pt idx="356">
                  <c:v>0.24722222222222223</c:v>
                </c:pt>
                <c:pt idx="357">
                  <c:v>0.24791666666666667</c:v>
                </c:pt>
                <c:pt idx="358">
                  <c:v>0.24861111111111112</c:v>
                </c:pt>
                <c:pt idx="359">
                  <c:v>0.24930555555555556</c:v>
                </c:pt>
                <c:pt idx="360">
                  <c:v>0.25</c:v>
                </c:pt>
                <c:pt idx="361">
                  <c:v>0.25069444444444444</c:v>
                </c:pt>
                <c:pt idx="362">
                  <c:v>0.25138888888888888</c:v>
                </c:pt>
                <c:pt idx="363">
                  <c:v>0.25208333333333333</c:v>
                </c:pt>
                <c:pt idx="364">
                  <c:v>0.25277777777777777</c:v>
                </c:pt>
                <c:pt idx="365">
                  <c:v>0.25347222222222221</c:v>
                </c:pt>
                <c:pt idx="366">
                  <c:v>0.25416666666666665</c:v>
                </c:pt>
                <c:pt idx="367">
                  <c:v>0.25486111111111109</c:v>
                </c:pt>
                <c:pt idx="368">
                  <c:v>0.25555555555555554</c:v>
                </c:pt>
                <c:pt idx="369">
                  <c:v>0.25624999999999998</c:v>
                </c:pt>
                <c:pt idx="370">
                  <c:v>0.25694444444444442</c:v>
                </c:pt>
                <c:pt idx="371">
                  <c:v>0.25763888888888886</c:v>
                </c:pt>
                <c:pt idx="372">
                  <c:v>0.25833333333333336</c:v>
                </c:pt>
                <c:pt idx="373">
                  <c:v>0.2590277777777778</c:v>
                </c:pt>
                <c:pt idx="374">
                  <c:v>0.25972222222222224</c:v>
                </c:pt>
                <c:pt idx="375">
                  <c:v>0.26041666666666669</c:v>
                </c:pt>
                <c:pt idx="376">
                  <c:v>0.26111111111111113</c:v>
                </c:pt>
                <c:pt idx="377">
                  <c:v>0.26180555555555557</c:v>
                </c:pt>
                <c:pt idx="378">
                  <c:v>0.26250000000000001</c:v>
                </c:pt>
                <c:pt idx="379">
                  <c:v>0.26319444444444445</c:v>
                </c:pt>
                <c:pt idx="380">
                  <c:v>0.2638888888888889</c:v>
                </c:pt>
                <c:pt idx="381">
                  <c:v>0.26458333333333334</c:v>
                </c:pt>
                <c:pt idx="382">
                  <c:v>0.26527777777777778</c:v>
                </c:pt>
                <c:pt idx="383">
                  <c:v>0.26597222222222222</c:v>
                </c:pt>
                <c:pt idx="384">
                  <c:v>0.26666666666666666</c:v>
                </c:pt>
                <c:pt idx="385">
                  <c:v>0.2673611111111111</c:v>
                </c:pt>
                <c:pt idx="386">
                  <c:v>0.26805555555555555</c:v>
                </c:pt>
                <c:pt idx="387">
                  <c:v>0.26874999999999999</c:v>
                </c:pt>
                <c:pt idx="388">
                  <c:v>0.26944444444444443</c:v>
                </c:pt>
                <c:pt idx="389">
                  <c:v>0.27013888888888887</c:v>
                </c:pt>
                <c:pt idx="390">
                  <c:v>0.27083333333333331</c:v>
                </c:pt>
                <c:pt idx="391">
                  <c:v>0.27152777777777776</c:v>
                </c:pt>
                <c:pt idx="392">
                  <c:v>0.2722222222222222</c:v>
                </c:pt>
                <c:pt idx="393">
                  <c:v>0.27291666666666664</c:v>
                </c:pt>
                <c:pt idx="394">
                  <c:v>0.27361111111111114</c:v>
                </c:pt>
                <c:pt idx="395">
                  <c:v>0.27430555555555558</c:v>
                </c:pt>
                <c:pt idx="396">
                  <c:v>0.27500000000000002</c:v>
                </c:pt>
                <c:pt idx="397">
                  <c:v>0.27569444444444446</c:v>
                </c:pt>
                <c:pt idx="398">
                  <c:v>0.27638888888888891</c:v>
                </c:pt>
                <c:pt idx="399">
                  <c:v>0.27708333333333335</c:v>
                </c:pt>
                <c:pt idx="400">
                  <c:v>0.27777777777777779</c:v>
                </c:pt>
                <c:pt idx="401">
                  <c:v>0.27847222222222223</c:v>
                </c:pt>
                <c:pt idx="402">
                  <c:v>0.27916666666666667</c:v>
                </c:pt>
                <c:pt idx="403">
                  <c:v>0.27986111111111112</c:v>
                </c:pt>
                <c:pt idx="404">
                  <c:v>0.28055555555555556</c:v>
                </c:pt>
                <c:pt idx="405">
                  <c:v>0.28125</c:v>
                </c:pt>
                <c:pt idx="406">
                  <c:v>0.28194444444444444</c:v>
                </c:pt>
                <c:pt idx="407">
                  <c:v>0.28263888888888888</c:v>
                </c:pt>
                <c:pt idx="408">
                  <c:v>0.28333333333333333</c:v>
                </c:pt>
                <c:pt idx="409">
                  <c:v>0.28402777777777777</c:v>
                </c:pt>
                <c:pt idx="410">
                  <c:v>0.28472222222222221</c:v>
                </c:pt>
                <c:pt idx="411">
                  <c:v>0.28541666666666665</c:v>
                </c:pt>
                <c:pt idx="412">
                  <c:v>0.28611111111111109</c:v>
                </c:pt>
                <c:pt idx="413">
                  <c:v>0.28680555555555554</c:v>
                </c:pt>
                <c:pt idx="414">
                  <c:v>0.28749999999999998</c:v>
                </c:pt>
                <c:pt idx="415">
                  <c:v>0.28819444444444442</c:v>
                </c:pt>
                <c:pt idx="416">
                  <c:v>0.28888888888888886</c:v>
                </c:pt>
                <c:pt idx="417">
                  <c:v>0.28958333333333336</c:v>
                </c:pt>
                <c:pt idx="418">
                  <c:v>0.2902777777777778</c:v>
                </c:pt>
                <c:pt idx="419">
                  <c:v>0.29097222222222224</c:v>
                </c:pt>
                <c:pt idx="420">
                  <c:v>0.29166666666666669</c:v>
                </c:pt>
                <c:pt idx="421">
                  <c:v>0.29236111111111113</c:v>
                </c:pt>
                <c:pt idx="422">
                  <c:v>0.29305555555555557</c:v>
                </c:pt>
                <c:pt idx="423">
                  <c:v>0.29375000000000001</c:v>
                </c:pt>
                <c:pt idx="424">
                  <c:v>0.29444444444444445</c:v>
                </c:pt>
                <c:pt idx="425">
                  <c:v>0.2951388888888889</c:v>
                </c:pt>
                <c:pt idx="426">
                  <c:v>0.29583333333333334</c:v>
                </c:pt>
                <c:pt idx="427">
                  <c:v>0.29652777777777778</c:v>
                </c:pt>
                <c:pt idx="428">
                  <c:v>0.29722222222222222</c:v>
                </c:pt>
                <c:pt idx="429">
                  <c:v>0.29791666666666666</c:v>
                </c:pt>
                <c:pt idx="430">
                  <c:v>0.2986111111111111</c:v>
                </c:pt>
                <c:pt idx="431">
                  <c:v>0.29930555555555555</c:v>
                </c:pt>
                <c:pt idx="432">
                  <c:v>0.3</c:v>
                </c:pt>
                <c:pt idx="433">
                  <c:v>0.30069444444444443</c:v>
                </c:pt>
                <c:pt idx="434">
                  <c:v>0.30138888888888887</c:v>
                </c:pt>
                <c:pt idx="435">
                  <c:v>0.30208333333333331</c:v>
                </c:pt>
                <c:pt idx="436">
                  <c:v>0.30277777777777776</c:v>
                </c:pt>
                <c:pt idx="437">
                  <c:v>0.3034722222222222</c:v>
                </c:pt>
                <c:pt idx="438">
                  <c:v>0.30416666666666664</c:v>
                </c:pt>
                <c:pt idx="439">
                  <c:v>0.30486111111111114</c:v>
                </c:pt>
                <c:pt idx="440">
                  <c:v>0.30555555555555558</c:v>
                </c:pt>
                <c:pt idx="441">
                  <c:v>0.30625000000000002</c:v>
                </c:pt>
                <c:pt idx="442">
                  <c:v>0.30694444444444446</c:v>
                </c:pt>
                <c:pt idx="443">
                  <c:v>0.30763888888888891</c:v>
                </c:pt>
                <c:pt idx="444">
                  <c:v>0.30833333333333335</c:v>
                </c:pt>
                <c:pt idx="445">
                  <c:v>0.30902777777777779</c:v>
                </c:pt>
                <c:pt idx="446">
                  <c:v>0.30972222222222223</c:v>
                </c:pt>
                <c:pt idx="447">
                  <c:v>0.31041666666666667</c:v>
                </c:pt>
                <c:pt idx="448">
                  <c:v>0.31111111111111112</c:v>
                </c:pt>
                <c:pt idx="449">
                  <c:v>0.31180555555555556</c:v>
                </c:pt>
                <c:pt idx="450">
                  <c:v>0.3125</c:v>
                </c:pt>
                <c:pt idx="451">
                  <c:v>0.31319444444444444</c:v>
                </c:pt>
                <c:pt idx="452">
                  <c:v>0.31388888888888888</c:v>
                </c:pt>
                <c:pt idx="453">
                  <c:v>0.31458333333333333</c:v>
                </c:pt>
                <c:pt idx="454">
                  <c:v>0.31527777777777777</c:v>
                </c:pt>
                <c:pt idx="455">
                  <c:v>0.31597222222222221</c:v>
                </c:pt>
                <c:pt idx="456">
                  <c:v>0.31666666666666665</c:v>
                </c:pt>
                <c:pt idx="457">
                  <c:v>0.31736111111111109</c:v>
                </c:pt>
                <c:pt idx="458">
                  <c:v>0.31805555555555554</c:v>
                </c:pt>
                <c:pt idx="459">
                  <c:v>0.31874999999999998</c:v>
                </c:pt>
                <c:pt idx="460">
                  <c:v>0.31944444444444442</c:v>
                </c:pt>
                <c:pt idx="461">
                  <c:v>0.32013888888888886</c:v>
                </c:pt>
                <c:pt idx="462">
                  <c:v>0.32083333333333336</c:v>
                </c:pt>
                <c:pt idx="463">
                  <c:v>0.3215277777777778</c:v>
                </c:pt>
                <c:pt idx="464">
                  <c:v>0.32222222222222224</c:v>
                </c:pt>
                <c:pt idx="465">
                  <c:v>0.32291666666666669</c:v>
                </c:pt>
                <c:pt idx="466">
                  <c:v>0.32361111111111113</c:v>
                </c:pt>
                <c:pt idx="467">
                  <c:v>0.32430555555555557</c:v>
                </c:pt>
                <c:pt idx="468">
                  <c:v>0.32500000000000001</c:v>
                </c:pt>
                <c:pt idx="469">
                  <c:v>0.32569444444444445</c:v>
                </c:pt>
                <c:pt idx="470">
                  <c:v>0.3263888888888889</c:v>
                </c:pt>
                <c:pt idx="471">
                  <c:v>0.32708333333333334</c:v>
                </c:pt>
                <c:pt idx="472">
                  <c:v>0.32777777777777778</c:v>
                </c:pt>
                <c:pt idx="473">
                  <c:v>0.32847222222222222</c:v>
                </c:pt>
                <c:pt idx="474">
                  <c:v>0.32916666666666666</c:v>
                </c:pt>
                <c:pt idx="475">
                  <c:v>0.3298611111111111</c:v>
                </c:pt>
                <c:pt idx="476">
                  <c:v>0.33055555555555555</c:v>
                </c:pt>
                <c:pt idx="477">
                  <c:v>0.33124999999999999</c:v>
                </c:pt>
                <c:pt idx="478">
                  <c:v>0.33194444444444443</c:v>
                </c:pt>
                <c:pt idx="479">
                  <c:v>0.33263888888888887</c:v>
                </c:pt>
                <c:pt idx="480">
                  <c:v>0.33333333333333331</c:v>
                </c:pt>
                <c:pt idx="481">
                  <c:v>0.33402777777777776</c:v>
                </c:pt>
                <c:pt idx="482">
                  <c:v>0.3347222222222222</c:v>
                </c:pt>
                <c:pt idx="483">
                  <c:v>0.33541666666666664</c:v>
                </c:pt>
                <c:pt idx="484">
                  <c:v>0.33611111111111114</c:v>
                </c:pt>
                <c:pt idx="485">
                  <c:v>0.33680555555555558</c:v>
                </c:pt>
                <c:pt idx="486">
                  <c:v>0.33750000000000002</c:v>
                </c:pt>
                <c:pt idx="487">
                  <c:v>0.33819444444444446</c:v>
                </c:pt>
                <c:pt idx="488">
                  <c:v>0.33888888888888891</c:v>
                </c:pt>
                <c:pt idx="489">
                  <c:v>0.33958333333333335</c:v>
                </c:pt>
                <c:pt idx="490">
                  <c:v>0.34027777777777779</c:v>
                </c:pt>
                <c:pt idx="491">
                  <c:v>0.34097222222222223</c:v>
                </c:pt>
                <c:pt idx="492">
                  <c:v>0.34166666666666667</c:v>
                </c:pt>
                <c:pt idx="493">
                  <c:v>0.34236111111111112</c:v>
                </c:pt>
                <c:pt idx="494">
                  <c:v>0.34305555555555556</c:v>
                </c:pt>
                <c:pt idx="495">
                  <c:v>0.34375</c:v>
                </c:pt>
                <c:pt idx="496">
                  <c:v>0.34444444444444444</c:v>
                </c:pt>
                <c:pt idx="497">
                  <c:v>0.34513888888888888</c:v>
                </c:pt>
                <c:pt idx="498">
                  <c:v>0.34583333333333333</c:v>
                </c:pt>
                <c:pt idx="499">
                  <c:v>0.34652777777777777</c:v>
                </c:pt>
                <c:pt idx="500">
                  <c:v>0.34722222222222221</c:v>
                </c:pt>
                <c:pt idx="501">
                  <c:v>0.34791666666666665</c:v>
                </c:pt>
                <c:pt idx="502">
                  <c:v>0.34861111111111109</c:v>
                </c:pt>
                <c:pt idx="503">
                  <c:v>0.34930555555555554</c:v>
                </c:pt>
                <c:pt idx="504">
                  <c:v>0.35</c:v>
                </c:pt>
                <c:pt idx="505">
                  <c:v>0.35069444444444442</c:v>
                </c:pt>
                <c:pt idx="506">
                  <c:v>0.35138888888888886</c:v>
                </c:pt>
                <c:pt idx="507">
                  <c:v>0.35208333333333336</c:v>
                </c:pt>
                <c:pt idx="508">
                  <c:v>0.3527777777777778</c:v>
                </c:pt>
                <c:pt idx="509">
                  <c:v>0.35347222222222224</c:v>
                </c:pt>
                <c:pt idx="510">
                  <c:v>0.35416666666666669</c:v>
                </c:pt>
                <c:pt idx="511">
                  <c:v>0.35486111111111113</c:v>
                </c:pt>
                <c:pt idx="512">
                  <c:v>0.35555555555555557</c:v>
                </c:pt>
                <c:pt idx="513">
                  <c:v>0.35625000000000001</c:v>
                </c:pt>
                <c:pt idx="514">
                  <c:v>0.35694444444444445</c:v>
                </c:pt>
                <c:pt idx="515">
                  <c:v>0.3576388888888889</c:v>
                </c:pt>
                <c:pt idx="516">
                  <c:v>0.35833333333333334</c:v>
                </c:pt>
                <c:pt idx="517">
                  <c:v>0.35902777777777778</c:v>
                </c:pt>
                <c:pt idx="518">
                  <c:v>0.35972222222222222</c:v>
                </c:pt>
                <c:pt idx="519">
                  <c:v>0.36041666666666666</c:v>
                </c:pt>
                <c:pt idx="520">
                  <c:v>0.3611111111111111</c:v>
                </c:pt>
                <c:pt idx="521">
                  <c:v>0.36180555555555555</c:v>
                </c:pt>
                <c:pt idx="522">
                  <c:v>0.36249999999999999</c:v>
                </c:pt>
                <c:pt idx="523">
                  <c:v>0.36319444444444443</c:v>
                </c:pt>
                <c:pt idx="524">
                  <c:v>0.36388888888888887</c:v>
                </c:pt>
                <c:pt idx="525">
                  <c:v>0.36458333333333331</c:v>
                </c:pt>
                <c:pt idx="526">
                  <c:v>0.36527777777777776</c:v>
                </c:pt>
                <c:pt idx="527">
                  <c:v>0.3659722222222222</c:v>
                </c:pt>
                <c:pt idx="528">
                  <c:v>0.36666666666666664</c:v>
                </c:pt>
                <c:pt idx="529">
                  <c:v>0.36736111111111114</c:v>
                </c:pt>
                <c:pt idx="530">
                  <c:v>0.36805555555555558</c:v>
                </c:pt>
                <c:pt idx="531">
                  <c:v>0.36875000000000002</c:v>
                </c:pt>
                <c:pt idx="532">
                  <c:v>0.36944444444444446</c:v>
                </c:pt>
                <c:pt idx="533">
                  <c:v>0.37013888888888891</c:v>
                </c:pt>
                <c:pt idx="534">
                  <c:v>0.37083333333333335</c:v>
                </c:pt>
                <c:pt idx="535">
                  <c:v>0.37152777777777779</c:v>
                </c:pt>
                <c:pt idx="536">
                  <c:v>0.37222222222222223</c:v>
                </c:pt>
                <c:pt idx="537">
                  <c:v>0.37291666666666667</c:v>
                </c:pt>
                <c:pt idx="538">
                  <c:v>0.37361111111111112</c:v>
                </c:pt>
                <c:pt idx="539">
                  <c:v>0.37430555555555556</c:v>
                </c:pt>
                <c:pt idx="540">
                  <c:v>0.375</c:v>
                </c:pt>
                <c:pt idx="541">
                  <c:v>0.37569444444444444</c:v>
                </c:pt>
                <c:pt idx="542">
                  <c:v>0.37638888888888888</c:v>
                </c:pt>
                <c:pt idx="543">
                  <c:v>0.37708333333333333</c:v>
                </c:pt>
                <c:pt idx="544">
                  <c:v>0.37777777777777777</c:v>
                </c:pt>
                <c:pt idx="545">
                  <c:v>0.37847222222222221</c:v>
                </c:pt>
                <c:pt idx="546">
                  <c:v>0.37916666666666665</c:v>
                </c:pt>
                <c:pt idx="547">
                  <c:v>0.37986111111111109</c:v>
                </c:pt>
                <c:pt idx="548">
                  <c:v>0.38055555555555554</c:v>
                </c:pt>
                <c:pt idx="549">
                  <c:v>0.38124999999999998</c:v>
                </c:pt>
                <c:pt idx="550">
                  <c:v>0.38194444444444442</c:v>
                </c:pt>
                <c:pt idx="551">
                  <c:v>0.38263888888888886</c:v>
                </c:pt>
                <c:pt idx="552">
                  <c:v>0.38333333333333336</c:v>
                </c:pt>
                <c:pt idx="553">
                  <c:v>0.3840277777777778</c:v>
                </c:pt>
                <c:pt idx="554">
                  <c:v>0.38472222222222224</c:v>
                </c:pt>
                <c:pt idx="555">
                  <c:v>0.38541666666666669</c:v>
                </c:pt>
                <c:pt idx="556">
                  <c:v>0.38611111111111113</c:v>
                </c:pt>
                <c:pt idx="557">
                  <c:v>0.38680555555555557</c:v>
                </c:pt>
                <c:pt idx="558">
                  <c:v>0.38750000000000001</c:v>
                </c:pt>
                <c:pt idx="559">
                  <c:v>0.38819444444444445</c:v>
                </c:pt>
                <c:pt idx="560">
                  <c:v>0.3888888888888889</c:v>
                </c:pt>
                <c:pt idx="561">
                  <c:v>0.38958333333333334</c:v>
                </c:pt>
                <c:pt idx="562">
                  <c:v>0.39027777777777778</c:v>
                </c:pt>
                <c:pt idx="563">
                  <c:v>0.39097222222222222</c:v>
                </c:pt>
                <c:pt idx="564">
                  <c:v>0.39166666666666666</c:v>
                </c:pt>
                <c:pt idx="565">
                  <c:v>0.3923611111111111</c:v>
                </c:pt>
                <c:pt idx="566">
                  <c:v>0.39305555555555555</c:v>
                </c:pt>
                <c:pt idx="567">
                  <c:v>0.39374999999999999</c:v>
                </c:pt>
                <c:pt idx="568">
                  <c:v>0.39444444444444443</c:v>
                </c:pt>
                <c:pt idx="569">
                  <c:v>0.39513888888888887</c:v>
                </c:pt>
                <c:pt idx="570">
                  <c:v>0.39583333333333331</c:v>
                </c:pt>
                <c:pt idx="571">
                  <c:v>0.39652777777777776</c:v>
                </c:pt>
                <c:pt idx="572">
                  <c:v>0.3972222222222222</c:v>
                </c:pt>
                <c:pt idx="573">
                  <c:v>0.39791666666666664</c:v>
                </c:pt>
                <c:pt idx="574">
                  <c:v>0.39861111111111114</c:v>
                </c:pt>
                <c:pt idx="575">
                  <c:v>0.39930555555555558</c:v>
                </c:pt>
                <c:pt idx="576">
                  <c:v>0.4</c:v>
                </c:pt>
                <c:pt idx="577">
                  <c:v>0.40069444444444446</c:v>
                </c:pt>
                <c:pt idx="578">
                  <c:v>0.40138888888888891</c:v>
                </c:pt>
                <c:pt idx="579">
                  <c:v>0.40208333333333335</c:v>
                </c:pt>
                <c:pt idx="580">
                  <c:v>0.40277777777777779</c:v>
                </c:pt>
                <c:pt idx="581">
                  <c:v>0.40347222222222223</c:v>
                </c:pt>
                <c:pt idx="582">
                  <c:v>0.40416666666666667</c:v>
                </c:pt>
                <c:pt idx="583">
                  <c:v>0.40486111111111112</c:v>
                </c:pt>
                <c:pt idx="584">
                  <c:v>0.40555555555555556</c:v>
                </c:pt>
                <c:pt idx="585">
                  <c:v>0.40625</c:v>
                </c:pt>
                <c:pt idx="586">
                  <c:v>0.40694444444444444</c:v>
                </c:pt>
                <c:pt idx="587">
                  <c:v>0.40763888888888888</c:v>
                </c:pt>
                <c:pt idx="588">
                  <c:v>0.40833333333333333</c:v>
                </c:pt>
                <c:pt idx="589">
                  <c:v>0.40902777777777777</c:v>
                </c:pt>
                <c:pt idx="590">
                  <c:v>0.40972222222222221</c:v>
                </c:pt>
                <c:pt idx="591">
                  <c:v>0.41041666666666665</c:v>
                </c:pt>
                <c:pt idx="592">
                  <c:v>0.41111111111111109</c:v>
                </c:pt>
                <c:pt idx="593">
                  <c:v>0.41180555555555554</c:v>
                </c:pt>
                <c:pt idx="594">
                  <c:v>0.41249999999999998</c:v>
                </c:pt>
                <c:pt idx="595">
                  <c:v>0.41319444444444442</c:v>
                </c:pt>
                <c:pt idx="596">
                  <c:v>0.41388888888888886</c:v>
                </c:pt>
                <c:pt idx="597">
                  <c:v>0.41458333333333336</c:v>
                </c:pt>
                <c:pt idx="598">
                  <c:v>0.4152777777777778</c:v>
                </c:pt>
                <c:pt idx="599">
                  <c:v>0.41597222222222224</c:v>
                </c:pt>
                <c:pt idx="600">
                  <c:v>0.41666666666666669</c:v>
                </c:pt>
                <c:pt idx="601">
                  <c:v>0.41736111111111113</c:v>
                </c:pt>
                <c:pt idx="602">
                  <c:v>0.41805555555555557</c:v>
                </c:pt>
                <c:pt idx="603">
                  <c:v>0.41875000000000001</c:v>
                </c:pt>
                <c:pt idx="604">
                  <c:v>0.41944444444444445</c:v>
                </c:pt>
                <c:pt idx="605">
                  <c:v>0.4201388888888889</c:v>
                </c:pt>
                <c:pt idx="606">
                  <c:v>0.42083333333333334</c:v>
                </c:pt>
                <c:pt idx="607">
                  <c:v>0.42152777777777778</c:v>
                </c:pt>
                <c:pt idx="608">
                  <c:v>0.42222222222222222</c:v>
                </c:pt>
                <c:pt idx="609">
                  <c:v>0.42291666666666666</c:v>
                </c:pt>
                <c:pt idx="610">
                  <c:v>0.4236111111111111</c:v>
                </c:pt>
                <c:pt idx="611">
                  <c:v>0.42430555555555555</c:v>
                </c:pt>
                <c:pt idx="612">
                  <c:v>0.42499999999999999</c:v>
                </c:pt>
                <c:pt idx="613">
                  <c:v>0.42569444444444443</c:v>
                </c:pt>
                <c:pt idx="614">
                  <c:v>0.42638888888888887</c:v>
                </c:pt>
                <c:pt idx="615">
                  <c:v>0.42708333333333331</c:v>
                </c:pt>
                <c:pt idx="616">
                  <c:v>0.42777777777777776</c:v>
                </c:pt>
                <c:pt idx="617">
                  <c:v>0.4284722222222222</c:v>
                </c:pt>
                <c:pt idx="618">
                  <c:v>0.42916666666666664</c:v>
                </c:pt>
                <c:pt idx="619">
                  <c:v>0.42986111111111114</c:v>
                </c:pt>
                <c:pt idx="620">
                  <c:v>0.43055555555555558</c:v>
                </c:pt>
                <c:pt idx="621">
                  <c:v>0.43125000000000002</c:v>
                </c:pt>
                <c:pt idx="622">
                  <c:v>0.43194444444444446</c:v>
                </c:pt>
                <c:pt idx="623">
                  <c:v>0.43263888888888891</c:v>
                </c:pt>
                <c:pt idx="624">
                  <c:v>0.43333333333333335</c:v>
                </c:pt>
                <c:pt idx="625">
                  <c:v>0.43402777777777779</c:v>
                </c:pt>
                <c:pt idx="626">
                  <c:v>0.43472222222222223</c:v>
                </c:pt>
                <c:pt idx="627">
                  <c:v>0.43541666666666667</c:v>
                </c:pt>
                <c:pt idx="628">
                  <c:v>0.43611111111111112</c:v>
                </c:pt>
                <c:pt idx="629">
                  <c:v>0.43680555555555556</c:v>
                </c:pt>
                <c:pt idx="630">
                  <c:v>0.4375</c:v>
                </c:pt>
                <c:pt idx="631">
                  <c:v>0.43819444444444444</c:v>
                </c:pt>
                <c:pt idx="632">
                  <c:v>0.43888888888888888</c:v>
                </c:pt>
                <c:pt idx="633">
                  <c:v>0.43958333333333333</c:v>
                </c:pt>
                <c:pt idx="634">
                  <c:v>0.44027777777777777</c:v>
                </c:pt>
                <c:pt idx="635">
                  <c:v>0.44097222222222221</c:v>
                </c:pt>
                <c:pt idx="636">
                  <c:v>0.44166666666666665</c:v>
                </c:pt>
                <c:pt idx="637">
                  <c:v>0.44236111111111109</c:v>
                </c:pt>
                <c:pt idx="638">
                  <c:v>0.44305555555555554</c:v>
                </c:pt>
                <c:pt idx="639">
                  <c:v>0.44374999999999998</c:v>
                </c:pt>
                <c:pt idx="640">
                  <c:v>0.44444444444444442</c:v>
                </c:pt>
                <c:pt idx="641">
                  <c:v>0.44513888888888886</c:v>
                </c:pt>
                <c:pt idx="642">
                  <c:v>0.44583333333333336</c:v>
                </c:pt>
                <c:pt idx="643">
                  <c:v>0.4465277777777778</c:v>
                </c:pt>
                <c:pt idx="644">
                  <c:v>0.44722222222222224</c:v>
                </c:pt>
                <c:pt idx="645">
                  <c:v>0.44791666666666669</c:v>
                </c:pt>
                <c:pt idx="646">
                  <c:v>0.44861111111111113</c:v>
                </c:pt>
                <c:pt idx="647">
                  <c:v>0.44930555555555557</c:v>
                </c:pt>
                <c:pt idx="648">
                  <c:v>0.45</c:v>
                </c:pt>
                <c:pt idx="649">
                  <c:v>0.45069444444444445</c:v>
                </c:pt>
                <c:pt idx="650">
                  <c:v>0.4513888888888889</c:v>
                </c:pt>
                <c:pt idx="651">
                  <c:v>0.45208333333333334</c:v>
                </c:pt>
                <c:pt idx="652">
                  <c:v>0.45277777777777778</c:v>
                </c:pt>
                <c:pt idx="653">
                  <c:v>0.45347222222222222</c:v>
                </c:pt>
                <c:pt idx="654">
                  <c:v>0.45416666666666666</c:v>
                </c:pt>
                <c:pt idx="655">
                  <c:v>0.4548611111111111</c:v>
                </c:pt>
                <c:pt idx="656">
                  <c:v>0.45555555555555555</c:v>
                </c:pt>
                <c:pt idx="657">
                  <c:v>0.45624999999999999</c:v>
                </c:pt>
                <c:pt idx="658">
                  <c:v>0.45694444444444443</c:v>
                </c:pt>
                <c:pt idx="659">
                  <c:v>0.45763888888888887</c:v>
                </c:pt>
                <c:pt idx="660">
                  <c:v>0.45833333333333331</c:v>
                </c:pt>
                <c:pt idx="661">
                  <c:v>0.45902777777777776</c:v>
                </c:pt>
                <c:pt idx="662">
                  <c:v>0.4597222222222222</c:v>
                </c:pt>
                <c:pt idx="663">
                  <c:v>0.46041666666666664</c:v>
                </c:pt>
                <c:pt idx="664">
                  <c:v>0.46111111111111114</c:v>
                </c:pt>
                <c:pt idx="665">
                  <c:v>0.46180555555555558</c:v>
                </c:pt>
                <c:pt idx="666">
                  <c:v>0.46250000000000002</c:v>
                </c:pt>
                <c:pt idx="667">
                  <c:v>0.46319444444444446</c:v>
                </c:pt>
                <c:pt idx="668">
                  <c:v>0.46388888888888891</c:v>
                </c:pt>
                <c:pt idx="669">
                  <c:v>0.46458333333333335</c:v>
                </c:pt>
                <c:pt idx="670">
                  <c:v>0.46527777777777779</c:v>
                </c:pt>
                <c:pt idx="671">
                  <c:v>0.46597222222222223</c:v>
                </c:pt>
                <c:pt idx="672">
                  <c:v>0.46666666666666667</c:v>
                </c:pt>
                <c:pt idx="673">
                  <c:v>0.46736111111111112</c:v>
                </c:pt>
                <c:pt idx="674">
                  <c:v>0.46805555555555556</c:v>
                </c:pt>
                <c:pt idx="675">
                  <c:v>0.46875</c:v>
                </c:pt>
                <c:pt idx="676">
                  <c:v>0.46944444444444444</c:v>
                </c:pt>
                <c:pt idx="677">
                  <c:v>0.47013888888888888</c:v>
                </c:pt>
                <c:pt idx="678">
                  <c:v>0.47083333333333333</c:v>
                </c:pt>
                <c:pt idx="679">
                  <c:v>0.47152777777777777</c:v>
                </c:pt>
                <c:pt idx="680">
                  <c:v>0.47222222222222221</c:v>
                </c:pt>
                <c:pt idx="681">
                  <c:v>0.47291666666666665</c:v>
                </c:pt>
                <c:pt idx="682">
                  <c:v>0.47361111111111109</c:v>
                </c:pt>
                <c:pt idx="683">
                  <c:v>0.47430555555555554</c:v>
                </c:pt>
                <c:pt idx="684">
                  <c:v>0.47499999999999998</c:v>
                </c:pt>
                <c:pt idx="685">
                  <c:v>0.47569444444444442</c:v>
                </c:pt>
                <c:pt idx="686">
                  <c:v>0.47638888888888886</c:v>
                </c:pt>
                <c:pt idx="687">
                  <c:v>0.47708333333333336</c:v>
                </c:pt>
                <c:pt idx="688">
                  <c:v>0.4777777777777778</c:v>
                </c:pt>
                <c:pt idx="689">
                  <c:v>0.47847222222222224</c:v>
                </c:pt>
                <c:pt idx="690">
                  <c:v>0.47916666666666669</c:v>
                </c:pt>
                <c:pt idx="691">
                  <c:v>0.47986111111111113</c:v>
                </c:pt>
                <c:pt idx="692">
                  <c:v>0.48055555555555557</c:v>
                </c:pt>
                <c:pt idx="693">
                  <c:v>0.48125000000000001</c:v>
                </c:pt>
                <c:pt idx="694">
                  <c:v>0.48194444444444445</c:v>
                </c:pt>
                <c:pt idx="695">
                  <c:v>0.4826388888888889</c:v>
                </c:pt>
                <c:pt idx="696">
                  <c:v>0.48333333333333334</c:v>
                </c:pt>
                <c:pt idx="697">
                  <c:v>0.48402777777777778</c:v>
                </c:pt>
                <c:pt idx="698">
                  <c:v>0.48472222222222222</c:v>
                </c:pt>
                <c:pt idx="699">
                  <c:v>0.48541666666666666</c:v>
                </c:pt>
                <c:pt idx="700">
                  <c:v>0.4861111111111111</c:v>
                </c:pt>
                <c:pt idx="701">
                  <c:v>0.48680555555555555</c:v>
                </c:pt>
                <c:pt idx="702">
                  <c:v>0.48749999999999999</c:v>
                </c:pt>
                <c:pt idx="703">
                  <c:v>0.48819444444444443</c:v>
                </c:pt>
                <c:pt idx="704">
                  <c:v>0.48888888888888887</c:v>
                </c:pt>
                <c:pt idx="705">
                  <c:v>0.48958333333333331</c:v>
                </c:pt>
                <c:pt idx="706">
                  <c:v>0.49027777777777776</c:v>
                </c:pt>
                <c:pt idx="707">
                  <c:v>0.4909722222222222</c:v>
                </c:pt>
                <c:pt idx="708">
                  <c:v>0.49166666666666664</c:v>
                </c:pt>
                <c:pt idx="709">
                  <c:v>0.49236111111111114</c:v>
                </c:pt>
                <c:pt idx="710">
                  <c:v>0.49305555555555558</c:v>
                </c:pt>
                <c:pt idx="711">
                  <c:v>0.49375000000000002</c:v>
                </c:pt>
                <c:pt idx="712">
                  <c:v>0.49444444444444446</c:v>
                </c:pt>
                <c:pt idx="713">
                  <c:v>0.49513888888888891</c:v>
                </c:pt>
                <c:pt idx="714">
                  <c:v>0.49583333333333335</c:v>
                </c:pt>
                <c:pt idx="715">
                  <c:v>0.49652777777777779</c:v>
                </c:pt>
                <c:pt idx="716">
                  <c:v>0.49722222222222223</c:v>
                </c:pt>
                <c:pt idx="717">
                  <c:v>0.49791666666666667</c:v>
                </c:pt>
                <c:pt idx="718">
                  <c:v>0.49861111111111112</c:v>
                </c:pt>
                <c:pt idx="719">
                  <c:v>0.49930555555555556</c:v>
                </c:pt>
                <c:pt idx="720">
                  <c:v>0.5</c:v>
                </c:pt>
                <c:pt idx="721">
                  <c:v>0.50069444444444444</c:v>
                </c:pt>
                <c:pt idx="722">
                  <c:v>0.50138888888888888</c:v>
                </c:pt>
                <c:pt idx="723">
                  <c:v>0.50208333333333333</c:v>
                </c:pt>
                <c:pt idx="724">
                  <c:v>0.50277777777777777</c:v>
                </c:pt>
                <c:pt idx="725">
                  <c:v>0.50347222222222221</c:v>
                </c:pt>
                <c:pt idx="726">
                  <c:v>0.50416666666666665</c:v>
                </c:pt>
                <c:pt idx="727">
                  <c:v>0.50486111111111109</c:v>
                </c:pt>
                <c:pt idx="728">
                  <c:v>0.50555555555555554</c:v>
                </c:pt>
                <c:pt idx="729">
                  <c:v>0.50624999999999998</c:v>
                </c:pt>
                <c:pt idx="730">
                  <c:v>0.50694444444444442</c:v>
                </c:pt>
                <c:pt idx="731">
                  <c:v>0.50763888888888886</c:v>
                </c:pt>
                <c:pt idx="732">
                  <c:v>0.5083333333333333</c:v>
                </c:pt>
                <c:pt idx="733">
                  <c:v>0.50902777777777775</c:v>
                </c:pt>
                <c:pt idx="734">
                  <c:v>0.50972222222222219</c:v>
                </c:pt>
                <c:pt idx="735">
                  <c:v>0.51041666666666663</c:v>
                </c:pt>
                <c:pt idx="736">
                  <c:v>0.51111111111111107</c:v>
                </c:pt>
                <c:pt idx="737">
                  <c:v>0.51180555555555551</c:v>
                </c:pt>
                <c:pt idx="738">
                  <c:v>0.51249999999999996</c:v>
                </c:pt>
                <c:pt idx="739">
                  <c:v>0.5131944444444444</c:v>
                </c:pt>
                <c:pt idx="740">
                  <c:v>0.51388888888888884</c:v>
                </c:pt>
                <c:pt idx="741">
                  <c:v>0.51458333333333328</c:v>
                </c:pt>
                <c:pt idx="742">
                  <c:v>0.51527777777777772</c:v>
                </c:pt>
                <c:pt idx="743">
                  <c:v>0.51597222222222228</c:v>
                </c:pt>
                <c:pt idx="744">
                  <c:v>0.51666666666666672</c:v>
                </c:pt>
                <c:pt idx="745">
                  <c:v>0.51736111111111116</c:v>
                </c:pt>
                <c:pt idx="746">
                  <c:v>0.5180555555555556</c:v>
                </c:pt>
                <c:pt idx="747">
                  <c:v>0.51875000000000004</c:v>
                </c:pt>
                <c:pt idx="748">
                  <c:v>0.51944444444444449</c:v>
                </c:pt>
                <c:pt idx="749">
                  <c:v>0.52013888888888893</c:v>
                </c:pt>
                <c:pt idx="750">
                  <c:v>0.52083333333333337</c:v>
                </c:pt>
                <c:pt idx="751">
                  <c:v>0.52152777777777781</c:v>
                </c:pt>
                <c:pt idx="752">
                  <c:v>0.52222222222222225</c:v>
                </c:pt>
                <c:pt idx="753">
                  <c:v>0.5229166666666667</c:v>
                </c:pt>
                <c:pt idx="754">
                  <c:v>0.52361111111111114</c:v>
                </c:pt>
                <c:pt idx="755">
                  <c:v>0.52430555555555558</c:v>
                </c:pt>
                <c:pt idx="756">
                  <c:v>0.52500000000000002</c:v>
                </c:pt>
                <c:pt idx="757">
                  <c:v>0.52569444444444446</c:v>
                </c:pt>
                <c:pt idx="758">
                  <c:v>0.52638888888888891</c:v>
                </c:pt>
                <c:pt idx="759">
                  <c:v>0.52708333333333335</c:v>
                </c:pt>
                <c:pt idx="760">
                  <c:v>0.52777777777777779</c:v>
                </c:pt>
                <c:pt idx="761">
                  <c:v>0.52847222222222223</c:v>
                </c:pt>
                <c:pt idx="762">
                  <c:v>0.52916666666666667</c:v>
                </c:pt>
                <c:pt idx="763">
                  <c:v>0.52986111111111112</c:v>
                </c:pt>
                <c:pt idx="764">
                  <c:v>0.53055555555555556</c:v>
                </c:pt>
                <c:pt idx="765">
                  <c:v>0.53125</c:v>
                </c:pt>
                <c:pt idx="766">
                  <c:v>0.53194444444444444</c:v>
                </c:pt>
                <c:pt idx="767">
                  <c:v>0.53263888888888888</c:v>
                </c:pt>
                <c:pt idx="768">
                  <c:v>0.53333333333333333</c:v>
                </c:pt>
                <c:pt idx="769">
                  <c:v>0.53402777777777777</c:v>
                </c:pt>
                <c:pt idx="770">
                  <c:v>0.53472222222222221</c:v>
                </c:pt>
                <c:pt idx="771">
                  <c:v>0.53541666666666665</c:v>
                </c:pt>
                <c:pt idx="772">
                  <c:v>0.53611111111111109</c:v>
                </c:pt>
                <c:pt idx="773">
                  <c:v>0.53680555555555554</c:v>
                </c:pt>
                <c:pt idx="774">
                  <c:v>0.53749999999999998</c:v>
                </c:pt>
                <c:pt idx="775">
                  <c:v>0.53819444444444442</c:v>
                </c:pt>
                <c:pt idx="776">
                  <c:v>0.53888888888888886</c:v>
                </c:pt>
                <c:pt idx="777">
                  <c:v>0.5395833333333333</c:v>
                </c:pt>
                <c:pt idx="778">
                  <c:v>0.54027777777777775</c:v>
                </c:pt>
                <c:pt idx="779">
                  <c:v>0.54097222222222219</c:v>
                </c:pt>
                <c:pt idx="780">
                  <c:v>0.54166666666666663</c:v>
                </c:pt>
                <c:pt idx="781">
                  <c:v>0.54236111111111107</c:v>
                </c:pt>
                <c:pt idx="782">
                  <c:v>0.54305555555555551</c:v>
                </c:pt>
                <c:pt idx="783">
                  <c:v>0.54374999999999996</c:v>
                </c:pt>
                <c:pt idx="784">
                  <c:v>0.5444444444444444</c:v>
                </c:pt>
                <c:pt idx="785">
                  <c:v>0.54513888888888884</c:v>
                </c:pt>
                <c:pt idx="786">
                  <c:v>0.54583333333333328</c:v>
                </c:pt>
                <c:pt idx="787">
                  <c:v>0.54652777777777772</c:v>
                </c:pt>
                <c:pt idx="788">
                  <c:v>0.54722222222222228</c:v>
                </c:pt>
                <c:pt idx="789">
                  <c:v>0.54791666666666672</c:v>
                </c:pt>
                <c:pt idx="790">
                  <c:v>0.54861111111111116</c:v>
                </c:pt>
                <c:pt idx="791">
                  <c:v>0.5493055555555556</c:v>
                </c:pt>
                <c:pt idx="792">
                  <c:v>0.55000000000000004</c:v>
                </c:pt>
                <c:pt idx="793">
                  <c:v>0.55069444444444449</c:v>
                </c:pt>
                <c:pt idx="794">
                  <c:v>0.55138888888888893</c:v>
                </c:pt>
                <c:pt idx="795">
                  <c:v>0.55208333333333337</c:v>
                </c:pt>
                <c:pt idx="796">
                  <c:v>0.55277777777777781</c:v>
                </c:pt>
                <c:pt idx="797">
                  <c:v>0.55347222222222225</c:v>
                </c:pt>
                <c:pt idx="798">
                  <c:v>0.5541666666666667</c:v>
                </c:pt>
                <c:pt idx="799">
                  <c:v>0.55486111111111114</c:v>
                </c:pt>
                <c:pt idx="800">
                  <c:v>0.55555555555555558</c:v>
                </c:pt>
                <c:pt idx="801">
                  <c:v>0.55625000000000002</c:v>
                </c:pt>
                <c:pt idx="802">
                  <c:v>0.55694444444444446</c:v>
                </c:pt>
                <c:pt idx="803">
                  <c:v>0.55763888888888891</c:v>
                </c:pt>
                <c:pt idx="804">
                  <c:v>0.55833333333333335</c:v>
                </c:pt>
                <c:pt idx="805">
                  <c:v>0.55902777777777779</c:v>
                </c:pt>
                <c:pt idx="806">
                  <c:v>0.55972222222222223</c:v>
                </c:pt>
                <c:pt idx="807">
                  <c:v>0.56041666666666667</c:v>
                </c:pt>
                <c:pt idx="808">
                  <c:v>0.56111111111111112</c:v>
                </c:pt>
                <c:pt idx="809">
                  <c:v>0.56180555555555556</c:v>
                </c:pt>
                <c:pt idx="810">
                  <c:v>0.5625</c:v>
                </c:pt>
                <c:pt idx="811">
                  <c:v>0.56319444444444444</c:v>
                </c:pt>
                <c:pt idx="812">
                  <c:v>0.56388888888888888</c:v>
                </c:pt>
                <c:pt idx="813">
                  <c:v>0.56458333333333333</c:v>
                </c:pt>
                <c:pt idx="814">
                  <c:v>0.56527777777777777</c:v>
                </c:pt>
                <c:pt idx="815">
                  <c:v>0.56597222222222221</c:v>
                </c:pt>
                <c:pt idx="816">
                  <c:v>0.56666666666666665</c:v>
                </c:pt>
                <c:pt idx="817">
                  <c:v>0.56736111111111109</c:v>
                </c:pt>
                <c:pt idx="818">
                  <c:v>0.56805555555555554</c:v>
                </c:pt>
                <c:pt idx="819">
                  <c:v>0.56874999999999998</c:v>
                </c:pt>
                <c:pt idx="820">
                  <c:v>0.56944444444444442</c:v>
                </c:pt>
                <c:pt idx="821">
                  <c:v>0.57013888888888886</c:v>
                </c:pt>
                <c:pt idx="822">
                  <c:v>0.5708333333333333</c:v>
                </c:pt>
                <c:pt idx="823">
                  <c:v>0.57152777777777775</c:v>
                </c:pt>
                <c:pt idx="824">
                  <c:v>0.57222222222222219</c:v>
                </c:pt>
                <c:pt idx="825">
                  <c:v>0.57291666666666663</c:v>
                </c:pt>
                <c:pt idx="826">
                  <c:v>0.57361111111111107</c:v>
                </c:pt>
                <c:pt idx="827">
                  <c:v>0.57430555555555551</c:v>
                </c:pt>
                <c:pt idx="828">
                  <c:v>0.57499999999999996</c:v>
                </c:pt>
                <c:pt idx="829">
                  <c:v>0.5756944444444444</c:v>
                </c:pt>
                <c:pt idx="830">
                  <c:v>0.57638888888888884</c:v>
                </c:pt>
                <c:pt idx="831">
                  <c:v>0.57708333333333328</c:v>
                </c:pt>
                <c:pt idx="832">
                  <c:v>0.57777777777777772</c:v>
                </c:pt>
                <c:pt idx="833">
                  <c:v>0.57847222222222228</c:v>
                </c:pt>
                <c:pt idx="834">
                  <c:v>0.57916666666666672</c:v>
                </c:pt>
                <c:pt idx="835">
                  <c:v>0.57986111111111116</c:v>
                </c:pt>
                <c:pt idx="836">
                  <c:v>0.5805555555555556</c:v>
                </c:pt>
                <c:pt idx="837">
                  <c:v>0.58125000000000004</c:v>
                </c:pt>
                <c:pt idx="838">
                  <c:v>0.58194444444444449</c:v>
                </c:pt>
                <c:pt idx="839">
                  <c:v>0.58263888888888893</c:v>
                </c:pt>
                <c:pt idx="840">
                  <c:v>0.58333333333333337</c:v>
                </c:pt>
                <c:pt idx="841">
                  <c:v>0.58402777777777781</c:v>
                </c:pt>
                <c:pt idx="842">
                  <c:v>0.58472222222222225</c:v>
                </c:pt>
                <c:pt idx="843">
                  <c:v>0.5854166666666667</c:v>
                </c:pt>
                <c:pt idx="844">
                  <c:v>0.58611111111111114</c:v>
                </c:pt>
                <c:pt idx="845">
                  <c:v>0.58680555555555558</c:v>
                </c:pt>
                <c:pt idx="846">
                  <c:v>0.58750000000000002</c:v>
                </c:pt>
                <c:pt idx="847">
                  <c:v>0.58819444444444446</c:v>
                </c:pt>
                <c:pt idx="848">
                  <c:v>0.58888888888888891</c:v>
                </c:pt>
                <c:pt idx="849">
                  <c:v>0.58958333333333335</c:v>
                </c:pt>
                <c:pt idx="850">
                  <c:v>0.59027777777777779</c:v>
                </c:pt>
                <c:pt idx="851">
                  <c:v>0.59097222222222223</c:v>
                </c:pt>
                <c:pt idx="852">
                  <c:v>0.59166666666666667</c:v>
                </c:pt>
                <c:pt idx="853">
                  <c:v>0.59236111111111112</c:v>
                </c:pt>
                <c:pt idx="854">
                  <c:v>0.59305555555555556</c:v>
                </c:pt>
                <c:pt idx="855">
                  <c:v>0.59375</c:v>
                </c:pt>
                <c:pt idx="856">
                  <c:v>0.59444444444444444</c:v>
                </c:pt>
                <c:pt idx="857">
                  <c:v>0.59513888888888888</c:v>
                </c:pt>
                <c:pt idx="858">
                  <c:v>0.59583333333333333</c:v>
                </c:pt>
                <c:pt idx="859">
                  <c:v>0.59652777777777777</c:v>
                </c:pt>
                <c:pt idx="860">
                  <c:v>0.59722222222222221</c:v>
                </c:pt>
                <c:pt idx="861">
                  <c:v>0.59791666666666665</c:v>
                </c:pt>
                <c:pt idx="862">
                  <c:v>0.59861111111111109</c:v>
                </c:pt>
                <c:pt idx="863">
                  <c:v>0.59930555555555554</c:v>
                </c:pt>
                <c:pt idx="864">
                  <c:v>0.6</c:v>
                </c:pt>
                <c:pt idx="865">
                  <c:v>0.60069444444444442</c:v>
                </c:pt>
                <c:pt idx="866">
                  <c:v>0.60138888888888886</c:v>
                </c:pt>
                <c:pt idx="867">
                  <c:v>0.6020833333333333</c:v>
                </c:pt>
                <c:pt idx="868">
                  <c:v>0.60277777777777775</c:v>
                </c:pt>
                <c:pt idx="869">
                  <c:v>0.60347222222222219</c:v>
                </c:pt>
                <c:pt idx="870">
                  <c:v>0.60416666666666663</c:v>
                </c:pt>
                <c:pt idx="871">
                  <c:v>0.60486111111111107</c:v>
                </c:pt>
                <c:pt idx="872">
                  <c:v>0.60555555555555551</c:v>
                </c:pt>
                <c:pt idx="873">
                  <c:v>0.60624999999999996</c:v>
                </c:pt>
                <c:pt idx="874">
                  <c:v>0.6069444444444444</c:v>
                </c:pt>
                <c:pt idx="875">
                  <c:v>0.60763888888888884</c:v>
                </c:pt>
                <c:pt idx="876">
                  <c:v>0.60833333333333328</c:v>
                </c:pt>
                <c:pt idx="877">
                  <c:v>0.60902777777777772</c:v>
                </c:pt>
                <c:pt idx="878">
                  <c:v>0.60972222222222228</c:v>
                </c:pt>
                <c:pt idx="879">
                  <c:v>0.61041666666666672</c:v>
                </c:pt>
                <c:pt idx="880">
                  <c:v>0.61111111111111116</c:v>
                </c:pt>
                <c:pt idx="881">
                  <c:v>0.6118055555555556</c:v>
                </c:pt>
                <c:pt idx="882">
                  <c:v>0.61250000000000004</c:v>
                </c:pt>
                <c:pt idx="883">
                  <c:v>0.61319444444444449</c:v>
                </c:pt>
                <c:pt idx="884">
                  <c:v>0.61388888888888893</c:v>
                </c:pt>
                <c:pt idx="885">
                  <c:v>0.61458333333333337</c:v>
                </c:pt>
                <c:pt idx="886">
                  <c:v>0.61527777777777781</c:v>
                </c:pt>
                <c:pt idx="887">
                  <c:v>0.61597222222222225</c:v>
                </c:pt>
                <c:pt idx="888">
                  <c:v>0.6166666666666667</c:v>
                </c:pt>
                <c:pt idx="889">
                  <c:v>0.61736111111111114</c:v>
                </c:pt>
                <c:pt idx="890">
                  <c:v>0.61805555555555558</c:v>
                </c:pt>
                <c:pt idx="891">
                  <c:v>0.61875000000000002</c:v>
                </c:pt>
                <c:pt idx="892">
                  <c:v>0.61944444444444446</c:v>
                </c:pt>
                <c:pt idx="893">
                  <c:v>0.62013888888888891</c:v>
                </c:pt>
                <c:pt idx="894">
                  <c:v>0.62083333333333335</c:v>
                </c:pt>
                <c:pt idx="895">
                  <c:v>0.62152777777777779</c:v>
                </c:pt>
                <c:pt idx="896">
                  <c:v>0.62222222222222223</c:v>
                </c:pt>
                <c:pt idx="897">
                  <c:v>0.62291666666666667</c:v>
                </c:pt>
                <c:pt idx="898">
                  <c:v>0.62361111111111112</c:v>
                </c:pt>
                <c:pt idx="899">
                  <c:v>0.62430555555555556</c:v>
                </c:pt>
                <c:pt idx="900">
                  <c:v>0.625</c:v>
                </c:pt>
                <c:pt idx="901">
                  <c:v>0.62569444444444444</c:v>
                </c:pt>
                <c:pt idx="902">
                  <c:v>0.62638888888888888</c:v>
                </c:pt>
                <c:pt idx="903">
                  <c:v>0.62708333333333333</c:v>
                </c:pt>
                <c:pt idx="904">
                  <c:v>0.62777777777777777</c:v>
                </c:pt>
                <c:pt idx="905">
                  <c:v>0.62847222222222221</c:v>
                </c:pt>
                <c:pt idx="906">
                  <c:v>0.62916666666666665</c:v>
                </c:pt>
                <c:pt idx="907">
                  <c:v>0.62986111111111109</c:v>
                </c:pt>
                <c:pt idx="908">
                  <c:v>0.63055555555555554</c:v>
                </c:pt>
                <c:pt idx="909">
                  <c:v>0.63124999999999998</c:v>
                </c:pt>
                <c:pt idx="910">
                  <c:v>0.63194444444444442</c:v>
                </c:pt>
                <c:pt idx="911">
                  <c:v>0.63263888888888886</c:v>
                </c:pt>
                <c:pt idx="912">
                  <c:v>0.6333333333333333</c:v>
                </c:pt>
                <c:pt idx="913">
                  <c:v>0.63402777777777775</c:v>
                </c:pt>
                <c:pt idx="914">
                  <c:v>0.63472222222222219</c:v>
                </c:pt>
                <c:pt idx="915">
                  <c:v>0.63541666666666663</c:v>
                </c:pt>
                <c:pt idx="916">
                  <c:v>0.63611111111111107</c:v>
                </c:pt>
                <c:pt idx="917">
                  <c:v>0.63680555555555551</c:v>
                </c:pt>
                <c:pt idx="918">
                  <c:v>0.63749999999999996</c:v>
                </c:pt>
                <c:pt idx="919">
                  <c:v>0.6381944444444444</c:v>
                </c:pt>
                <c:pt idx="920">
                  <c:v>0.63888888888888884</c:v>
                </c:pt>
                <c:pt idx="921">
                  <c:v>0.63958333333333328</c:v>
                </c:pt>
                <c:pt idx="922">
                  <c:v>0.64027777777777772</c:v>
                </c:pt>
                <c:pt idx="923">
                  <c:v>0.64097222222222228</c:v>
                </c:pt>
                <c:pt idx="924">
                  <c:v>0.64166666666666672</c:v>
                </c:pt>
                <c:pt idx="925">
                  <c:v>0.64236111111111116</c:v>
                </c:pt>
                <c:pt idx="926">
                  <c:v>0.6430555555555556</c:v>
                </c:pt>
                <c:pt idx="927">
                  <c:v>0.64375000000000004</c:v>
                </c:pt>
                <c:pt idx="928">
                  <c:v>0.64444444444444449</c:v>
                </c:pt>
                <c:pt idx="929">
                  <c:v>0.64513888888888893</c:v>
                </c:pt>
                <c:pt idx="930">
                  <c:v>0.64583333333333337</c:v>
                </c:pt>
                <c:pt idx="931">
                  <c:v>0.64652777777777781</c:v>
                </c:pt>
                <c:pt idx="932">
                  <c:v>0.64722222222222225</c:v>
                </c:pt>
                <c:pt idx="933">
                  <c:v>0.6479166666666667</c:v>
                </c:pt>
                <c:pt idx="934">
                  <c:v>0.64861111111111114</c:v>
                </c:pt>
                <c:pt idx="935">
                  <c:v>0.64930555555555558</c:v>
                </c:pt>
                <c:pt idx="936">
                  <c:v>0.65</c:v>
                </c:pt>
                <c:pt idx="937">
                  <c:v>0.65069444444444446</c:v>
                </c:pt>
                <c:pt idx="938">
                  <c:v>0.65138888888888891</c:v>
                </c:pt>
                <c:pt idx="939">
                  <c:v>0.65208333333333335</c:v>
                </c:pt>
                <c:pt idx="940">
                  <c:v>0.65277777777777779</c:v>
                </c:pt>
                <c:pt idx="941">
                  <c:v>0.65347222222222223</c:v>
                </c:pt>
                <c:pt idx="942">
                  <c:v>0.65416666666666667</c:v>
                </c:pt>
                <c:pt idx="943">
                  <c:v>0.65486111111111112</c:v>
                </c:pt>
                <c:pt idx="944">
                  <c:v>0.65555555555555556</c:v>
                </c:pt>
                <c:pt idx="945">
                  <c:v>0.65625</c:v>
                </c:pt>
                <c:pt idx="946">
                  <c:v>0.65694444444444444</c:v>
                </c:pt>
                <c:pt idx="947">
                  <c:v>0.65763888888888888</c:v>
                </c:pt>
                <c:pt idx="948">
                  <c:v>0.65833333333333333</c:v>
                </c:pt>
                <c:pt idx="949">
                  <c:v>0.65902777777777777</c:v>
                </c:pt>
                <c:pt idx="950">
                  <c:v>0.65972222222222221</c:v>
                </c:pt>
                <c:pt idx="951">
                  <c:v>0.66041666666666665</c:v>
                </c:pt>
                <c:pt idx="952">
                  <c:v>0.66111111111111109</c:v>
                </c:pt>
                <c:pt idx="953">
                  <c:v>0.66180555555555554</c:v>
                </c:pt>
                <c:pt idx="954">
                  <c:v>0.66249999999999998</c:v>
                </c:pt>
                <c:pt idx="955">
                  <c:v>0.66319444444444442</c:v>
                </c:pt>
                <c:pt idx="956">
                  <c:v>0.66388888888888886</c:v>
                </c:pt>
                <c:pt idx="957">
                  <c:v>0.6645833333333333</c:v>
                </c:pt>
                <c:pt idx="958">
                  <c:v>0.66527777777777775</c:v>
                </c:pt>
                <c:pt idx="959">
                  <c:v>0.66597222222222219</c:v>
                </c:pt>
                <c:pt idx="960">
                  <c:v>0.66666666666666663</c:v>
                </c:pt>
                <c:pt idx="961">
                  <c:v>0.66736111111111107</c:v>
                </c:pt>
                <c:pt idx="962">
                  <c:v>0.66805555555555551</c:v>
                </c:pt>
                <c:pt idx="963">
                  <c:v>0.66874999999999996</c:v>
                </c:pt>
                <c:pt idx="964">
                  <c:v>0.6694444444444444</c:v>
                </c:pt>
                <c:pt idx="965">
                  <c:v>0.67013888888888884</c:v>
                </c:pt>
                <c:pt idx="966">
                  <c:v>0.67083333333333328</c:v>
                </c:pt>
                <c:pt idx="967">
                  <c:v>0.67152777777777772</c:v>
                </c:pt>
                <c:pt idx="968">
                  <c:v>0.67222222222222228</c:v>
                </c:pt>
                <c:pt idx="969">
                  <c:v>0.67291666666666672</c:v>
                </c:pt>
                <c:pt idx="970">
                  <c:v>0.67361111111111116</c:v>
                </c:pt>
                <c:pt idx="971">
                  <c:v>0.6743055555555556</c:v>
                </c:pt>
                <c:pt idx="972">
                  <c:v>0.67500000000000004</c:v>
                </c:pt>
                <c:pt idx="973">
                  <c:v>0.67569444444444449</c:v>
                </c:pt>
                <c:pt idx="974">
                  <c:v>0.67638888888888893</c:v>
                </c:pt>
                <c:pt idx="975">
                  <c:v>0.67708333333333337</c:v>
                </c:pt>
                <c:pt idx="976">
                  <c:v>0.67777777777777781</c:v>
                </c:pt>
                <c:pt idx="977">
                  <c:v>0.67847222222222225</c:v>
                </c:pt>
                <c:pt idx="978">
                  <c:v>0.6791666666666667</c:v>
                </c:pt>
                <c:pt idx="979">
                  <c:v>0.67986111111111114</c:v>
                </c:pt>
                <c:pt idx="980">
                  <c:v>0.68055555555555558</c:v>
                </c:pt>
                <c:pt idx="981">
                  <c:v>0.68125000000000002</c:v>
                </c:pt>
                <c:pt idx="982">
                  <c:v>0.68194444444444446</c:v>
                </c:pt>
                <c:pt idx="983">
                  <c:v>0.68263888888888891</c:v>
                </c:pt>
                <c:pt idx="984">
                  <c:v>0.68333333333333335</c:v>
                </c:pt>
                <c:pt idx="985">
                  <c:v>0.68402777777777779</c:v>
                </c:pt>
                <c:pt idx="986">
                  <c:v>0.68472222222222223</c:v>
                </c:pt>
                <c:pt idx="987">
                  <c:v>0.68541666666666667</c:v>
                </c:pt>
                <c:pt idx="988">
                  <c:v>0.68611111111111112</c:v>
                </c:pt>
                <c:pt idx="989">
                  <c:v>0.68680555555555556</c:v>
                </c:pt>
                <c:pt idx="990">
                  <c:v>0.6875</c:v>
                </c:pt>
                <c:pt idx="991">
                  <c:v>0.68819444444444444</c:v>
                </c:pt>
                <c:pt idx="992">
                  <c:v>0.68888888888888888</c:v>
                </c:pt>
                <c:pt idx="993">
                  <c:v>0.68958333333333333</c:v>
                </c:pt>
                <c:pt idx="994">
                  <c:v>0.69027777777777777</c:v>
                </c:pt>
                <c:pt idx="995">
                  <c:v>0.69097222222222221</c:v>
                </c:pt>
                <c:pt idx="996">
                  <c:v>0.69166666666666665</c:v>
                </c:pt>
                <c:pt idx="997">
                  <c:v>0.69236111111111109</c:v>
                </c:pt>
                <c:pt idx="998">
                  <c:v>0.69305555555555554</c:v>
                </c:pt>
                <c:pt idx="999">
                  <c:v>0.69374999999999998</c:v>
                </c:pt>
                <c:pt idx="1000">
                  <c:v>0.69444444444444442</c:v>
                </c:pt>
                <c:pt idx="1001">
                  <c:v>0.69513888888888886</c:v>
                </c:pt>
                <c:pt idx="1002">
                  <c:v>0.6958333333333333</c:v>
                </c:pt>
                <c:pt idx="1003">
                  <c:v>0.69652777777777775</c:v>
                </c:pt>
                <c:pt idx="1004">
                  <c:v>0.69722222222222219</c:v>
                </c:pt>
                <c:pt idx="1005">
                  <c:v>0.69791666666666663</c:v>
                </c:pt>
                <c:pt idx="1006">
                  <c:v>0.69861111111111107</c:v>
                </c:pt>
                <c:pt idx="1007">
                  <c:v>0.69930555555555551</c:v>
                </c:pt>
                <c:pt idx="1008">
                  <c:v>0.7</c:v>
                </c:pt>
                <c:pt idx="1009">
                  <c:v>0.7006944444444444</c:v>
                </c:pt>
                <c:pt idx="1010">
                  <c:v>0.70138888888888884</c:v>
                </c:pt>
                <c:pt idx="1011">
                  <c:v>0.70208333333333328</c:v>
                </c:pt>
                <c:pt idx="1012">
                  <c:v>0.70277777777777772</c:v>
                </c:pt>
                <c:pt idx="1013">
                  <c:v>0.70347222222222228</c:v>
                </c:pt>
                <c:pt idx="1014">
                  <c:v>0.70416666666666672</c:v>
                </c:pt>
                <c:pt idx="1015">
                  <c:v>0.70486111111111116</c:v>
                </c:pt>
                <c:pt idx="1016">
                  <c:v>0.7055555555555556</c:v>
                </c:pt>
                <c:pt idx="1017">
                  <c:v>0.70625000000000004</c:v>
                </c:pt>
                <c:pt idx="1018">
                  <c:v>0.70694444444444449</c:v>
                </c:pt>
                <c:pt idx="1019">
                  <c:v>0.70763888888888893</c:v>
                </c:pt>
                <c:pt idx="1020">
                  <c:v>0.70833333333333337</c:v>
                </c:pt>
                <c:pt idx="1021">
                  <c:v>0.70902777777777781</c:v>
                </c:pt>
                <c:pt idx="1022">
                  <c:v>0.70972222222222225</c:v>
                </c:pt>
                <c:pt idx="1023">
                  <c:v>0.7104166666666667</c:v>
                </c:pt>
                <c:pt idx="1024">
                  <c:v>0.71111111111111114</c:v>
                </c:pt>
                <c:pt idx="1025">
                  <c:v>0.71180555555555558</c:v>
                </c:pt>
                <c:pt idx="1026">
                  <c:v>0.71250000000000002</c:v>
                </c:pt>
                <c:pt idx="1027">
                  <c:v>0.71319444444444446</c:v>
                </c:pt>
                <c:pt idx="1028">
                  <c:v>0.71388888888888891</c:v>
                </c:pt>
                <c:pt idx="1029">
                  <c:v>0.71458333333333335</c:v>
                </c:pt>
                <c:pt idx="1030">
                  <c:v>0.71527777777777779</c:v>
                </c:pt>
                <c:pt idx="1031">
                  <c:v>0.71597222222222223</c:v>
                </c:pt>
                <c:pt idx="1032">
                  <c:v>0.71666666666666667</c:v>
                </c:pt>
                <c:pt idx="1033">
                  <c:v>0.71736111111111112</c:v>
                </c:pt>
                <c:pt idx="1034">
                  <c:v>0.71805555555555556</c:v>
                </c:pt>
                <c:pt idx="1035">
                  <c:v>0.71875</c:v>
                </c:pt>
                <c:pt idx="1036">
                  <c:v>0.71944444444444444</c:v>
                </c:pt>
                <c:pt idx="1037">
                  <c:v>0.72013888888888888</c:v>
                </c:pt>
                <c:pt idx="1038">
                  <c:v>0.72083333333333333</c:v>
                </c:pt>
                <c:pt idx="1039">
                  <c:v>0.72152777777777777</c:v>
                </c:pt>
                <c:pt idx="1040">
                  <c:v>0.72222222222222221</c:v>
                </c:pt>
                <c:pt idx="1041">
                  <c:v>0.72291666666666665</c:v>
                </c:pt>
                <c:pt idx="1042">
                  <c:v>0.72361111111111109</c:v>
                </c:pt>
                <c:pt idx="1043">
                  <c:v>0.72430555555555554</c:v>
                </c:pt>
                <c:pt idx="1044">
                  <c:v>0.72499999999999998</c:v>
                </c:pt>
                <c:pt idx="1045">
                  <c:v>0.72569444444444442</c:v>
                </c:pt>
                <c:pt idx="1046">
                  <c:v>0.72638888888888886</c:v>
                </c:pt>
                <c:pt idx="1047">
                  <c:v>0.7270833333333333</c:v>
                </c:pt>
                <c:pt idx="1048">
                  <c:v>0.72777777777777775</c:v>
                </c:pt>
                <c:pt idx="1049">
                  <c:v>0.72847222222222219</c:v>
                </c:pt>
                <c:pt idx="1050">
                  <c:v>0.72916666666666663</c:v>
                </c:pt>
                <c:pt idx="1051">
                  <c:v>0.72986111111111107</c:v>
                </c:pt>
                <c:pt idx="1052">
                  <c:v>0.73055555555555551</c:v>
                </c:pt>
                <c:pt idx="1053">
                  <c:v>0.73124999999999996</c:v>
                </c:pt>
                <c:pt idx="1054">
                  <c:v>0.7319444444444444</c:v>
                </c:pt>
                <c:pt idx="1055">
                  <c:v>0.73263888888888884</c:v>
                </c:pt>
                <c:pt idx="1056">
                  <c:v>0.73333333333333328</c:v>
                </c:pt>
                <c:pt idx="1057">
                  <c:v>0.73402777777777772</c:v>
                </c:pt>
                <c:pt idx="1058">
                  <c:v>0.73472222222222228</c:v>
                </c:pt>
                <c:pt idx="1059">
                  <c:v>0.73541666666666672</c:v>
                </c:pt>
                <c:pt idx="1060">
                  <c:v>0.73611111111111116</c:v>
                </c:pt>
                <c:pt idx="1061">
                  <c:v>0.7368055555555556</c:v>
                </c:pt>
                <c:pt idx="1062">
                  <c:v>0.73750000000000004</c:v>
                </c:pt>
                <c:pt idx="1063">
                  <c:v>0.73819444444444449</c:v>
                </c:pt>
                <c:pt idx="1064">
                  <c:v>0.73888888888888893</c:v>
                </c:pt>
                <c:pt idx="1065">
                  <c:v>0.73958333333333337</c:v>
                </c:pt>
                <c:pt idx="1066">
                  <c:v>0.74027777777777781</c:v>
                </c:pt>
                <c:pt idx="1067">
                  <c:v>0.74097222222222225</c:v>
                </c:pt>
                <c:pt idx="1068">
                  <c:v>0.7416666666666667</c:v>
                </c:pt>
                <c:pt idx="1069">
                  <c:v>0.74236111111111114</c:v>
                </c:pt>
                <c:pt idx="1070">
                  <c:v>0.74305555555555558</c:v>
                </c:pt>
                <c:pt idx="1071">
                  <c:v>0.74375000000000002</c:v>
                </c:pt>
                <c:pt idx="1072">
                  <c:v>0.74444444444444446</c:v>
                </c:pt>
                <c:pt idx="1073">
                  <c:v>0.74513888888888891</c:v>
                </c:pt>
                <c:pt idx="1074">
                  <c:v>0.74583333333333335</c:v>
                </c:pt>
                <c:pt idx="1075">
                  <c:v>0.74652777777777779</c:v>
                </c:pt>
                <c:pt idx="1076">
                  <c:v>0.74722222222222223</c:v>
                </c:pt>
                <c:pt idx="1077">
                  <c:v>0.74791666666666667</c:v>
                </c:pt>
                <c:pt idx="1078">
                  <c:v>0.74861111111111112</c:v>
                </c:pt>
                <c:pt idx="1079">
                  <c:v>0.74930555555555556</c:v>
                </c:pt>
                <c:pt idx="1080">
                  <c:v>0.75</c:v>
                </c:pt>
                <c:pt idx="1081">
                  <c:v>0.75069444444444444</c:v>
                </c:pt>
                <c:pt idx="1082">
                  <c:v>0.75138888888888888</c:v>
                </c:pt>
                <c:pt idx="1083">
                  <c:v>0.75208333333333333</c:v>
                </c:pt>
                <c:pt idx="1084">
                  <c:v>0.75277777777777777</c:v>
                </c:pt>
                <c:pt idx="1085">
                  <c:v>0.75347222222222221</c:v>
                </c:pt>
                <c:pt idx="1086">
                  <c:v>0.75416666666666665</c:v>
                </c:pt>
                <c:pt idx="1087">
                  <c:v>0.75486111111111109</c:v>
                </c:pt>
                <c:pt idx="1088">
                  <c:v>0.75555555555555554</c:v>
                </c:pt>
                <c:pt idx="1089">
                  <c:v>0.75624999999999998</c:v>
                </c:pt>
                <c:pt idx="1090">
                  <c:v>0.75694444444444442</c:v>
                </c:pt>
                <c:pt idx="1091">
                  <c:v>0.75763888888888886</c:v>
                </c:pt>
                <c:pt idx="1092">
                  <c:v>0.7583333333333333</c:v>
                </c:pt>
                <c:pt idx="1093">
                  <c:v>0.75902777777777775</c:v>
                </c:pt>
                <c:pt idx="1094">
                  <c:v>0.75972222222222219</c:v>
                </c:pt>
                <c:pt idx="1095">
                  <c:v>0.76041666666666663</c:v>
                </c:pt>
                <c:pt idx="1096">
                  <c:v>0.76111111111111107</c:v>
                </c:pt>
                <c:pt idx="1097">
                  <c:v>0.76180555555555551</c:v>
                </c:pt>
                <c:pt idx="1098">
                  <c:v>0.76249999999999996</c:v>
                </c:pt>
                <c:pt idx="1099">
                  <c:v>0.7631944444444444</c:v>
                </c:pt>
                <c:pt idx="1100">
                  <c:v>0.76388888888888884</c:v>
                </c:pt>
                <c:pt idx="1101">
                  <c:v>0.76458333333333328</c:v>
                </c:pt>
                <c:pt idx="1102">
                  <c:v>0.76527777777777772</c:v>
                </c:pt>
                <c:pt idx="1103">
                  <c:v>0.76597222222222228</c:v>
                </c:pt>
                <c:pt idx="1104">
                  <c:v>0.76666666666666672</c:v>
                </c:pt>
                <c:pt idx="1105">
                  <c:v>0.76736111111111116</c:v>
                </c:pt>
                <c:pt idx="1106">
                  <c:v>0.7680555555555556</c:v>
                </c:pt>
                <c:pt idx="1107">
                  <c:v>0.76875000000000004</c:v>
                </c:pt>
                <c:pt idx="1108">
                  <c:v>0.76944444444444449</c:v>
                </c:pt>
                <c:pt idx="1109">
                  <c:v>0.77013888888888893</c:v>
                </c:pt>
                <c:pt idx="1110">
                  <c:v>0.77083333333333337</c:v>
                </c:pt>
                <c:pt idx="1111">
                  <c:v>0.77152777777777781</c:v>
                </c:pt>
                <c:pt idx="1112">
                  <c:v>0.77222222222222225</c:v>
                </c:pt>
                <c:pt idx="1113">
                  <c:v>0.7729166666666667</c:v>
                </c:pt>
                <c:pt idx="1114">
                  <c:v>0.77361111111111114</c:v>
                </c:pt>
                <c:pt idx="1115">
                  <c:v>0.77430555555555558</c:v>
                </c:pt>
                <c:pt idx="1116">
                  <c:v>0.77500000000000002</c:v>
                </c:pt>
                <c:pt idx="1117">
                  <c:v>0.77569444444444446</c:v>
                </c:pt>
                <c:pt idx="1118">
                  <c:v>0.77638888888888891</c:v>
                </c:pt>
                <c:pt idx="1119">
                  <c:v>0.77708333333333335</c:v>
                </c:pt>
                <c:pt idx="1120">
                  <c:v>0.77777777777777779</c:v>
                </c:pt>
                <c:pt idx="1121">
                  <c:v>0.77847222222222223</c:v>
                </c:pt>
                <c:pt idx="1122">
                  <c:v>0.77916666666666667</c:v>
                </c:pt>
                <c:pt idx="1123">
                  <c:v>0.77986111111111112</c:v>
                </c:pt>
                <c:pt idx="1124">
                  <c:v>0.78055555555555556</c:v>
                </c:pt>
                <c:pt idx="1125">
                  <c:v>0.78125</c:v>
                </c:pt>
                <c:pt idx="1126">
                  <c:v>0.78194444444444444</c:v>
                </c:pt>
                <c:pt idx="1127">
                  <c:v>0.78263888888888888</c:v>
                </c:pt>
                <c:pt idx="1128">
                  <c:v>0.78333333333333333</c:v>
                </c:pt>
                <c:pt idx="1129">
                  <c:v>0.78402777777777777</c:v>
                </c:pt>
                <c:pt idx="1130">
                  <c:v>0.78472222222222221</c:v>
                </c:pt>
                <c:pt idx="1131">
                  <c:v>0.78541666666666665</c:v>
                </c:pt>
                <c:pt idx="1132">
                  <c:v>0.78611111111111109</c:v>
                </c:pt>
                <c:pt idx="1133">
                  <c:v>0.78680555555555554</c:v>
                </c:pt>
                <c:pt idx="1134">
                  <c:v>0.78749999999999998</c:v>
                </c:pt>
                <c:pt idx="1135">
                  <c:v>0.78819444444444442</c:v>
                </c:pt>
                <c:pt idx="1136">
                  <c:v>0.78888888888888886</c:v>
                </c:pt>
                <c:pt idx="1137">
                  <c:v>0.7895833333333333</c:v>
                </c:pt>
                <c:pt idx="1138">
                  <c:v>0.79027777777777775</c:v>
                </c:pt>
                <c:pt idx="1139">
                  <c:v>0.79097222222222219</c:v>
                </c:pt>
                <c:pt idx="1140">
                  <c:v>0.79166666666666663</c:v>
                </c:pt>
                <c:pt idx="1141">
                  <c:v>0.79236111111111107</c:v>
                </c:pt>
                <c:pt idx="1142">
                  <c:v>0.79305555555555551</c:v>
                </c:pt>
                <c:pt idx="1143">
                  <c:v>0.79374999999999996</c:v>
                </c:pt>
                <c:pt idx="1144">
                  <c:v>0.7944444444444444</c:v>
                </c:pt>
                <c:pt idx="1145">
                  <c:v>0.79513888888888884</c:v>
                </c:pt>
                <c:pt idx="1146">
                  <c:v>0.79583333333333328</c:v>
                </c:pt>
                <c:pt idx="1147">
                  <c:v>0.79652777777777772</c:v>
                </c:pt>
                <c:pt idx="1148">
                  <c:v>0.79722222222222228</c:v>
                </c:pt>
                <c:pt idx="1149">
                  <c:v>0.79791666666666672</c:v>
                </c:pt>
                <c:pt idx="1150">
                  <c:v>0.79861111111111116</c:v>
                </c:pt>
                <c:pt idx="1151">
                  <c:v>0.7993055555555556</c:v>
                </c:pt>
                <c:pt idx="1152">
                  <c:v>0.8</c:v>
                </c:pt>
                <c:pt idx="1153">
                  <c:v>0.80069444444444449</c:v>
                </c:pt>
                <c:pt idx="1154">
                  <c:v>0.80138888888888893</c:v>
                </c:pt>
                <c:pt idx="1155">
                  <c:v>0.80208333333333337</c:v>
                </c:pt>
                <c:pt idx="1156">
                  <c:v>0.80277777777777781</c:v>
                </c:pt>
                <c:pt idx="1157">
                  <c:v>0.80347222222222225</c:v>
                </c:pt>
                <c:pt idx="1158">
                  <c:v>0.8041666666666667</c:v>
                </c:pt>
                <c:pt idx="1159">
                  <c:v>0.80486111111111114</c:v>
                </c:pt>
                <c:pt idx="1160">
                  <c:v>0.80555555555555558</c:v>
                </c:pt>
                <c:pt idx="1161">
                  <c:v>0.80625000000000002</c:v>
                </c:pt>
                <c:pt idx="1162">
                  <c:v>0.80694444444444446</c:v>
                </c:pt>
                <c:pt idx="1163">
                  <c:v>0.80763888888888891</c:v>
                </c:pt>
                <c:pt idx="1164">
                  <c:v>0.80833333333333335</c:v>
                </c:pt>
                <c:pt idx="1165">
                  <c:v>0.80902777777777779</c:v>
                </c:pt>
                <c:pt idx="1166">
                  <c:v>0.80972222222222223</c:v>
                </c:pt>
                <c:pt idx="1167">
                  <c:v>0.81041666666666667</c:v>
                </c:pt>
                <c:pt idx="1168">
                  <c:v>0.81111111111111112</c:v>
                </c:pt>
                <c:pt idx="1169">
                  <c:v>0.81180555555555556</c:v>
                </c:pt>
                <c:pt idx="1170">
                  <c:v>0.8125</c:v>
                </c:pt>
                <c:pt idx="1171">
                  <c:v>0.81319444444444444</c:v>
                </c:pt>
                <c:pt idx="1172">
                  <c:v>0.81388888888888888</c:v>
                </c:pt>
                <c:pt idx="1173">
                  <c:v>0.81458333333333333</c:v>
                </c:pt>
                <c:pt idx="1174">
                  <c:v>0.81527777777777777</c:v>
                </c:pt>
                <c:pt idx="1175">
                  <c:v>0.81597222222222221</c:v>
                </c:pt>
                <c:pt idx="1176">
                  <c:v>0.81666666666666665</c:v>
                </c:pt>
                <c:pt idx="1177">
                  <c:v>0.81736111111111109</c:v>
                </c:pt>
                <c:pt idx="1178">
                  <c:v>0.81805555555555554</c:v>
                </c:pt>
                <c:pt idx="1179">
                  <c:v>0.81874999999999998</c:v>
                </c:pt>
                <c:pt idx="1180">
                  <c:v>0.81944444444444442</c:v>
                </c:pt>
                <c:pt idx="1181">
                  <c:v>0.82013888888888886</c:v>
                </c:pt>
                <c:pt idx="1182">
                  <c:v>0.8208333333333333</c:v>
                </c:pt>
                <c:pt idx="1183">
                  <c:v>0.82152777777777775</c:v>
                </c:pt>
                <c:pt idx="1184">
                  <c:v>0.82222222222222219</c:v>
                </c:pt>
                <c:pt idx="1185">
                  <c:v>0.82291666666666663</c:v>
                </c:pt>
                <c:pt idx="1186">
                  <c:v>0.82361111111111107</c:v>
                </c:pt>
                <c:pt idx="1187">
                  <c:v>0.82430555555555551</c:v>
                </c:pt>
                <c:pt idx="1188">
                  <c:v>0.82499999999999996</c:v>
                </c:pt>
                <c:pt idx="1189">
                  <c:v>0.8256944444444444</c:v>
                </c:pt>
                <c:pt idx="1190">
                  <c:v>0.82638888888888884</c:v>
                </c:pt>
                <c:pt idx="1191">
                  <c:v>0.82708333333333328</c:v>
                </c:pt>
                <c:pt idx="1192">
                  <c:v>0.82777777777777772</c:v>
                </c:pt>
                <c:pt idx="1193">
                  <c:v>0.82847222222222228</c:v>
                </c:pt>
                <c:pt idx="1194">
                  <c:v>0.82916666666666672</c:v>
                </c:pt>
                <c:pt idx="1195">
                  <c:v>0.82986111111111116</c:v>
                </c:pt>
                <c:pt idx="1196">
                  <c:v>0.8305555555555556</c:v>
                </c:pt>
                <c:pt idx="1197">
                  <c:v>0.83125000000000004</c:v>
                </c:pt>
                <c:pt idx="1198">
                  <c:v>0.83194444444444449</c:v>
                </c:pt>
                <c:pt idx="1199">
                  <c:v>0.83263888888888893</c:v>
                </c:pt>
                <c:pt idx="1200">
                  <c:v>0.83333333333333337</c:v>
                </c:pt>
                <c:pt idx="1201">
                  <c:v>0.83402777777777781</c:v>
                </c:pt>
                <c:pt idx="1202">
                  <c:v>0.83472222222222225</c:v>
                </c:pt>
                <c:pt idx="1203">
                  <c:v>0.8354166666666667</c:v>
                </c:pt>
                <c:pt idx="1204">
                  <c:v>0.83611111111111114</c:v>
                </c:pt>
                <c:pt idx="1205">
                  <c:v>0.83680555555555558</c:v>
                </c:pt>
                <c:pt idx="1206">
                  <c:v>0.83750000000000002</c:v>
                </c:pt>
                <c:pt idx="1207">
                  <c:v>0.83819444444444446</c:v>
                </c:pt>
                <c:pt idx="1208">
                  <c:v>0.83888888888888891</c:v>
                </c:pt>
                <c:pt idx="1209">
                  <c:v>0.83958333333333335</c:v>
                </c:pt>
                <c:pt idx="1210">
                  <c:v>0.84027777777777779</c:v>
                </c:pt>
                <c:pt idx="1211">
                  <c:v>0.84097222222222223</c:v>
                </c:pt>
                <c:pt idx="1212">
                  <c:v>0.84166666666666667</c:v>
                </c:pt>
                <c:pt idx="1213">
                  <c:v>0.84236111111111112</c:v>
                </c:pt>
                <c:pt idx="1214">
                  <c:v>0.84305555555555556</c:v>
                </c:pt>
                <c:pt idx="1215">
                  <c:v>0.84375</c:v>
                </c:pt>
                <c:pt idx="1216">
                  <c:v>0.84444444444444444</c:v>
                </c:pt>
                <c:pt idx="1217">
                  <c:v>0.84513888888888888</c:v>
                </c:pt>
                <c:pt idx="1218">
                  <c:v>0.84583333333333333</c:v>
                </c:pt>
                <c:pt idx="1219">
                  <c:v>0.84652777777777777</c:v>
                </c:pt>
                <c:pt idx="1220">
                  <c:v>0.84722222222222221</c:v>
                </c:pt>
                <c:pt idx="1221">
                  <c:v>0.84791666666666665</c:v>
                </c:pt>
                <c:pt idx="1222">
                  <c:v>0.84861111111111109</c:v>
                </c:pt>
                <c:pt idx="1223">
                  <c:v>0.84930555555555554</c:v>
                </c:pt>
                <c:pt idx="1224">
                  <c:v>0.85</c:v>
                </c:pt>
                <c:pt idx="1225">
                  <c:v>0.85069444444444442</c:v>
                </c:pt>
                <c:pt idx="1226">
                  <c:v>0.85138888888888886</c:v>
                </c:pt>
                <c:pt idx="1227">
                  <c:v>0.8520833333333333</c:v>
                </c:pt>
                <c:pt idx="1228">
                  <c:v>0.85277777777777775</c:v>
                </c:pt>
                <c:pt idx="1229">
                  <c:v>0.85347222222222219</c:v>
                </c:pt>
                <c:pt idx="1230">
                  <c:v>0.85416666666666663</c:v>
                </c:pt>
                <c:pt idx="1231">
                  <c:v>0.85486111111111107</c:v>
                </c:pt>
                <c:pt idx="1232">
                  <c:v>0.85555555555555551</c:v>
                </c:pt>
                <c:pt idx="1233">
                  <c:v>0.85624999999999996</c:v>
                </c:pt>
                <c:pt idx="1234">
                  <c:v>0.8569444444444444</c:v>
                </c:pt>
                <c:pt idx="1235">
                  <c:v>0.85763888888888884</c:v>
                </c:pt>
                <c:pt idx="1236">
                  <c:v>0.85833333333333328</c:v>
                </c:pt>
                <c:pt idx="1237">
                  <c:v>0.85902777777777772</c:v>
                </c:pt>
                <c:pt idx="1238">
                  <c:v>0.85972222222222228</c:v>
                </c:pt>
                <c:pt idx="1239">
                  <c:v>0.86041666666666672</c:v>
                </c:pt>
                <c:pt idx="1240">
                  <c:v>0.86111111111111116</c:v>
                </c:pt>
                <c:pt idx="1241">
                  <c:v>0.8618055555555556</c:v>
                </c:pt>
                <c:pt idx="1242">
                  <c:v>0.86250000000000004</c:v>
                </c:pt>
                <c:pt idx="1243">
                  <c:v>0.86319444444444449</c:v>
                </c:pt>
                <c:pt idx="1244">
                  <c:v>0.86388888888888893</c:v>
                </c:pt>
                <c:pt idx="1245">
                  <c:v>0.86458333333333337</c:v>
                </c:pt>
                <c:pt idx="1246">
                  <c:v>0.86527777777777781</c:v>
                </c:pt>
                <c:pt idx="1247">
                  <c:v>0.86597222222222225</c:v>
                </c:pt>
                <c:pt idx="1248">
                  <c:v>0.8666666666666667</c:v>
                </c:pt>
                <c:pt idx="1249">
                  <c:v>0.86736111111111114</c:v>
                </c:pt>
                <c:pt idx="1250">
                  <c:v>0.86805555555555558</c:v>
                </c:pt>
                <c:pt idx="1251">
                  <c:v>0.86875000000000002</c:v>
                </c:pt>
                <c:pt idx="1252">
                  <c:v>0.86944444444444446</c:v>
                </c:pt>
                <c:pt idx="1253">
                  <c:v>0.87013888888888891</c:v>
                </c:pt>
                <c:pt idx="1254">
                  <c:v>0.87083333333333335</c:v>
                </c:pt>
                <c:pt idx="1255">
                  <c:v>0.87152777777777779</c:v>
                </c:pt>
                <c:pt idx="1256">
                  <c:v>0.87222222222222223</c:v>
                </c:pt>
                <c:pt idx="1257">
                  <c:v>0.87291666666666667</c:v>
                </c:pt>
                <c:pt idx="1258">
                  <c:v>0.87361111111111112</c:v>
                </c:pt>
                <c:pt idx="1259">
                  <c:v>0.87430555555555556</c:v>
                </c:pt>
                <c:pt idx="1260">
                  <c:v>0.875</c:v>
                </c:pt>
                <c:pt idx="1261">
                  <c:v>0.87569444444444444</c:v>
                </c:pt>
                <c:pt idx="1262">
                  <c:v>0.87638888888888888</c:v>
                </c:pt>
                <c:pt idx="1263">
                  <c:v>0.87708333333333333</c:v>
                </c:pt>
                <c:pt idx="1264">
                  <c:v>0.87777777777777777</c:v>
                </c:pt>
                <c:pt idx="1265">
                  <c:v>0.87847222222222221</c:v>
                </c:pt>
                <c:pt idx="1266">
                  <c:v>0.87916666666666665</c:v>
                </c:pt>
                <c:pt idx="1267">
                  <c:v>0.87986111111111109</c:v>
                </c:pt>
                <c:pt idx="1268">
                  <c:v>0.88055555555555554</c:v>
                </c:pt>
                <c:pt idx="1269">
                  <c:v>0.88124999999999998</c:v>
                </c:pt>
                <c:pt idx="1270">
                  <c:v>0.88194444444444442</c:v>
                </c:pt>
                <c:pt idx="1271">
                  <c:v>0.88263888888888886</c:v>
                </c:pt>
                <c:pt idx="1272">
                  <c:v>0.8833333333333333</c:v>
                </c:pt>
                <c:pt idx="1273">
                  <c:v>0.88402777777777775</c:v>
                </c:pt>
                <c:pt idx="1274">
                  <c:v>0.88472222222222219</c:v>
                </c:pt>
                <c:pt idx="1275">
                  <c:v>0.88541666666666663</c:v>
                </c:pt>
                <c:pt idx="1276">
                  <c:v>0.88611111111111107</c:v>
                </c:pt>
                <c:pt idx="1277">
                  <c:v>0.88680555555555551</c:v>
                </c:pt>
                <c:pt idx="1278">
                  <c:v>0.88749999999999996</c:v>
                </c:pt>
                <c:pt idx="1279">
                  <c:v>0.8881944444444444</c:v>
                </c:pt>
                <c:pt idx="1280">
                  <c:v>0.88888888888888884</c:v>
                </c:pt>
                <c:pt idx="1281">
                  <c:v>0.88958333333333328</c:v>
                </c:pt>
                <c:pt idx="1282">
                  <c:v>0.89027777777777772</c:v>
                </c:pt>
                <c:pt idx="1283">
                  <c:v>0.89097222222222228</c:v>
                </c:pt>
                <c:pt idx="1284">
                  <c:v>0.89166666666666672</c:v>
                </c:pt>
                <c:pt idx="1285">
                  <c:v>0.89236111111111116</c:v>
                </c:pt>
                <c:pt idx="1286">
                  <c:v>0.8930555555555556</c:v>
                </c:pt>
                <c:pt idx="1287">
                  <c:v>0.89375000000000004</c:v>
                </c:pt>
                <c:pt idx="1288">
                  <c:v>0.89444444444444449</c:v>
                </c:pt>
                <c:pt idx="1289">
                  <c:v>0.89513888888888893</c:v>
                </c:pt>
                <c:pt idx="1290">
                  <c:v>0.89583333333333337</c:v>
                </c:pt>
                <c:pt idx="1291">
                  <c:v>0.89652777777777781</c:v>
                </c:pt>
                <c:pt idx="1292">
                  <c:v>0.89722222222222225</c:v>
                </c:pt>
                <c:pt idx="1293">
                  <c:v>0.8979166666666667</c:v>
                </c:pt>
                <c:pt idx="1294">
                  <c:v>0.89861111111111114</c:v>
                </c:pt>
                <c:pt idx="1295">
                  <c:v>0.89930555555555558</c:v>
                </c:pt>
                <c:pt idx="1296">
                  <c:v>0.9</c:v>
                </c:pt>
                <c:pt idx="1297">
                  <c:v>0.90069444444444446</c:v>
                </c:pt>
                <c:pt idx="1298">
                  <c:v>0.90138888888888891</c:v>
                </c:pt>
                <c:pt idx="1299">
                  <c:v>0.90208333333333335</c:v>
                </c:pt>
                <c:pt idx="1300">
                  <c:v>0.90277777777777779</c:v>
                </c:pt>
                <c:pt idx="1301">
                  <c:v>0.90347222222222223</c:v>
                </c:pt>
                <c:pt idx="1302">
                  <c:v>0.90416666666666667</c:v>
                </c:pt>
                <c:pt idx="1303">
                  <c:v>0.90486111111111112</c:v>
                </c:pt>
                <c:pt idx="1304">
                  <c:v>0.90555555555555556</c:v>
                </c:pt>
                <c:pt idx="1305">
                  <c:v>0.90625</c:v>
                </c:pt>
                <c:pt idx="1306">
                  <c:v>0.90694444444444444</c:v>
                </c:pt>
                <c:pt idx="1307">
                  <c:v>0.90763888888888888</c:v>
                </c:pt>
                <c:pt idx="1308">
                  <c:v>0.90833333333333333</c:v>
                </c:pt>
                <c:pt idx="1309">
                  <c:v>0.90902777777777777</c:v>
                </c:pt>
                <c:pt idx="1310">
                  <c:v>0.90972222222222221</c:v>
                </c:pt>
                <c:pt idx="1311">
                  <c:v>0.91041666666666665</c:v>
                </c:pt>
                <c:pt idx="1312">
                  <c:v>0.91111111111111109</c:v>
                </c:pt>
                <c:pt idx="1313">
                  <c:v>0.91180555555555554</c:v>
                </c:pt>
                <c:pt idx="1314">
                  <c:v>0.91249999999999998</c:v>
                </c:pt>
                <c:pt idx="1315">
                  <c:v>0.91319444444444442</c:v>
                </c:pt>
                <c:pt idx="1316">
                  <c:v>0.91388888888888886</c:v>
                </c:pt>
                <c:pt idx="1317">
                  <c:v>0.9145833333333333</c:v>
                </c:pt>
                <c:pt idx="1318">
                  <c:v>0.91527777777777775</c:v>
                </c:pt>
                <c:pt idx="1319">
                  <c:v>0.91597222222222219</c:v>
                </c:pt>
                <c:pt idx="1320">
                  <c:v>0.91666666666666663</c:v>
                </c:pt>
                <c:pt idx="1321">
                  <c:v>0.91736111111111107</c:v>
                </c:pt>
                <c:pt idx="1322">
                  <c:v>0.91805555555555551</c:v>
                </c:pt>
                <c:pt idx="1323">
                  <c:v>0.91874999999999996</c:v>
                </c:pt>
                <c:pt idx="1324">
                  <c:v>0.9194444444444444</c:v>
                </c:pt>
                <c:pt idx="1325">
                  <c:v>0.92013888888888884</c:v>
                </c:pt>
                <c:pt idx="1326">
                  <c:v>0.92083333333333328</c:v>
                </c:pt>
                <c:pt idx="1327">
                  <c:v>0.92152777777777772</c:v>
                </c:pt>
                <c:pt idx="1328">
                  <c:v>0.92222222222222228</c:v>
                </c:pt>
                <c:pt idx="1329">
                  <c:v>0.92291666666666672</c:v>
                </c:pt>
                <c:pt idx="1330">
                  <c:v>0.92361111111111116</c:v>
                </c:pt>
                <c:pt idx="1331">
                  <c:v>0.9243055555555556</c:v>
                </c:pt>
                <c:pt idx="1332">
                  <c:v>0.92500000000000004</c:v>
                </c:pt>
                <c:pt idx="1333">
                  <c:v>0.92569444444444449</c:v>
                </c:pt>
                <c:pt idx="1334">
                  <c:v>0.92638888888888893</c:v>
                </c:pt>
                <c:pt idx="1335">
                  <c:v>0.92708333333333337</c:v>
                </c:pt>
                <c:pt idx="1336">
                  <c:v>0.92777777777777781</c:v>
                </c:pt>
                <c:pt idx="1337">
                  <c:v>0.92847222222222225</c:v>
                </c:pt>
                <c:pt idx="1338">
                  <c:v>0.9291666666666667</c:v>
                </c:pt>
                <c:pt idx="1339">
                  <c:v>0.92986111111111114</c:v>
                </c:pt>
                <c:pt idx="1340">
                  <c:v>0.93055555555555558</c:v>
                </c:pt>
                <c:pt idx="1341">
                  <c:v>0.93125000000000002</c:v>
                </c:pt>
                <c:pt idx="1342">
                  <c:v>0.93194444444444446</c:v>
                </c:pt>
                <c:pt idx="1343">
                  <c:v>0.93263888888888891</c:v>
                </c:pt>
                <c:pt idx="1344">
                  <c:v>0.93333333333333335</c:v>
                </c:pt>
                <c:pt idx="1345">
                  <c:v>0.93402777777777779</c:v>
                </c:pt>
                <c:pt idx="1346">
                  <c:v>0.93472222222222223</c:v>
                </c:pt>
                <c:pt idx="1347">
                  <c:v>0.93541666666666667</c:v>
                </c:pt>
                <c:pt idx="1348">
                  <c:v>0.93611111111111112</c:v>
                </c:pt>
                <c:pt idx="1349">
                  <c:v>0.93680555555555556</c:v>
                </c:pt>
                <c:pt idx="1350">
                  <c:v>0.9375</c:v>
                </c:pt>
                <c:pt idx="1351">
                  <c:v>0.93819444444444444</c:v>
                </c:pt>
                <c:pt idx="1352">
                  <c:v>0.93888888888888888</c:v>
                </c:pt>
                <c:pt idx="1353">
                  <c:v>0.93958333333333333</c:v>
                </c:pt>
                <c:pt idx="1354">
                  <c:v>0.94027777777777777</c:v>
                </c:pt>
                <c:pt idx="1355">
                  <c:v>0.94097222222222221</c:v>
                </c:pt>
                <c:pt idx="1356">
                  <c:v>0.94166666666666665</c:v>
                </c:pt>
                <c:pt idx="1357">
                  <c:v>0.94236111111111109</c:v>
                </c:pt>
                <c:pt idx="1358">
                  <c:v>0.94305555555555554</c:v>
                </c:pt>
                <c:pt idx="1359">
                  <c:v>0.94374999999999998</c:v>
                </c:pt>
                <c:pt idx="1360">
                  <c:v>0.94444444444444442</c:v>
                </c:pt>
                <c:pt idx="1361">
                  <c:v>0.94513888888888886</c:v>
                </c:pt>
                <c:pt idx="1362">
                  <c:v>0.9458333333333333</c:v>
                </c:pt>
                <c:pt idx="1363">
                  <c:v>0.94652777777777775</c:v>
                </c:pt>
                <c:pt idx="1364">
                  <c:v>0.94722222222222219</c:v>
                </c:pt>
                <c:pt idx="1365">
                  <c:v>0.94791666666666663</c:v>
                </c:pt>
                <c:pt idx="1366">
                  <c:v>0.94861111111111107</c:v>
                </c:pt>
                <c:pt idx="1367">
                  <c:v>0.94930555555555551</c:v>
                </c:pt>
                <c:pt idx="1368">
                  <c:v>0.95</c:v>
                </c:pt>
                <c:pt idx="1369">
                  <c:v>0.9506944444444444</c:v>
                </c:pt>
                <c:pt idx="1370">
                  <c:v>0.95138888888888884</c:v>
                </c:pt>
                <c:pt idx="1371">
                  <c:v>0.95208333333333328</c:v>
                </c:pt>
                <c:pt idx="1372">
                  <c:v>0.95277777777777772</c:v>
                </c:pt>
                <c:pt idx="1373">
                  <c:v>0.95347222222222228</c:v>
                </c:pt>
                <c:pt idx="1374">
                  <c:v>0.95416666666666672</c:v>
                </c:pt>
                <c:pt idx="1375">
                  <c:v>0.95486111111111116</c:v>
                </c:pt>
                <c:pt idx="1376">
                  <c:v>0.9555555555555556</c:v>
                </c:pt>
                <c:pt idx="1377">
                  <c:v>0.95625000000000004</c:v>
                </c:pt>
                <c:pt idx="1378">
                  <c:v>0.95694444444444449</c:v>
                </c:pt>
                <c:pt idx="1379">
                  <c:v>0.95763888888888893</c:v>
                </c:pt>
                <c:pt idx="1380">
                  <c:v>0.95833333333333337</c:v>
                </c:pt>
                <c:pt idx="1381">
                  <c:v>0.95902777777777781</c:v>
                </c:pt>
                <c:pt idx="1382">
                  <c:v>0.95972222222222225</c:v>
                </c:pt>
                <c:pt idx="1383">
                  <c:v>0.9604166666666667</c:v>
                </c:pt>
                <c:pt idx="1384">
                  <c:v>0.96111111111111114</c:v>
                </c:pt>
                <c:pt idx="1385">
                  <c:v>0.96180555555555558</c:v>
                </c:pt>
                <c:pt idx="1386">
                  <c:v>0.96250000000000002</c:v>
                </c:pt>
                <c:pt idx="1387">
                  <c:v>0.96319444444444446</c:v>
                </c:pt>
                <c:pt idx="1388">
                  <c:v>0.96388888888888891</c:v>
                </c:pt>
                <c:pt idx="1389">
                  <c:v>0.96458333333333335</c:v>
                </c:pt>
                <c:pt idx="1390">
                  <c:v>0.96527777777777779</c:v>
                </c:pt>
                <c:pt idx="1391">
                  <c:v>0.96597222222222223</c:v>
                </c:pt>
                <c:pt idx="1392">
                  <c:v>0.96666666666666667</c:v>
                </c:pt>
                <c:pt idx="1393">
                  <c:v>0.96736111111111112</c:v>
                </c:pt>
                <c:pt idx="1394">
                  <c:v>0.96805555555555556</c:v>
                </c:pt>
                <c:pt idx="1395">
                  <c:v>0.96875</c:v>
                </c:pt>
                <c:pt idx="1396">
                  <c:v>0.96944444444444444</c:v>
                </c:pt>
                <c:pt idx="1397">
                  <c:v>0.97013888888888888</c:v>
                </c:pt>
                <c:pt idx="1398">
                  <c:v>0.97083333333333333</c:v>
                </c:pt>
                <c:pt idx="1399">
                  <c:v>0.97152777777777777</c:v>
                </c:pt>
                <c:pt idx="1400">
                  <c:v>0.97222222222222221</c:v>
                </c:pt>
                <c:pt idx="1401">
                  <c:v>0.97291666666666665</c:v>
                </c:pt>
                <c:pt idx="1402">
                  <c:v>0.97361111111111109</c:v>
                </c:pt>
                <c:pt idx="1403">
                  <c:v>0.97430555555555554</c:v>
                </c:pt>
                <c:pt idx="1404">
                  <c:v>0.97499999999999998</c:v>
                </c:pt>
                <c:pt idx="1405">
                  <c:v>0.97569444444444442</c:v>
                </c:pt>
                <c:pt idx="1406">
                  <c:v>0.97638888888888886</c:v>
                </c:pt>
                <c:pt idx="1407">
                  <c:v>0.9770833333333333</c:v>
                </c:pt>
                <c:pt idx="1408">
                  <c:v>0.97777777777777775</c:v>
                </c:pt>
                <c:pt idx="1409">
                  <c:v>0.97847222222222219</c:v>
                </c:pt>
                <c:pt idx="1410">
                  <c:v>0.97916666666666663</c:v>
                </c:pt>
                <c:pt idx="1411">
                  <c:v>0.97986111111111107</c:v>
                </c:pt>
                <c:pt idx="1412">
                  <c:v>0.98055555555555551</c:v>
                </c:pt>
                <c:pt idx="1413">
                  <c:v>0.98124999999999996</c:v>
                </c:pt>
                <c:pt idx="1414">
                  <c:v>0.9819444444444444</c:v>
                </c:pt>
                <c:pt idx="1415">
                  <c:v>0.98263888888888884</c:v>
                </c:pt>
                <c:pt idx="1416">
                  <c:v>0.98333333333333328</c:v>
                </c:pt>
                <c:pt idx="1417">
                  <c:v>0.98402777777777772</c:v>
                </c:pt>
                <c:pt idx="1418">
                  <c:v>0.98472222222222228</c:v>
                </c:pt>
                <c:pt idx="1419">
                  <c:v>0.98541666666666672</c:v>
                </c:pt>
                <c:pt idx="1420">
                  <c:v>0.98611111111111116</c:v>
                </c:pt>
                <c:pt idx="1421">
                  <c:v>0.9868055555555556</c:v>
                </c:pt>
                <c:pt idx="1422">
                  <c:v>0.98750000000000004</c:v>
                </c:pt>
                <c:pt idx="1423">
                  <c:v>0.98819444444444449</c:v>
                </c:pt>
                <c:pt idx="1424">
                  <c:v>0.98888888888888893</c:v>
                </c:pt>
                <c:pt idx="1425">
                  <c:v>0.98958333333333337</c:v>
                </c:pt>
                <c:pt idx="1426">
                  <c:v>0.99027777777777781</c:v>
                </c:pt>
                <c:pt idx="1427">
                  <c:v>0.99097222222222225</c:v>
                </c:pt>
                <c:pt idx="1428">
                  <c:v>0.9916666666666667</c:v>
                </c:pt>
                <c:pt idx="1429">
                  <c:v>0.99236111111111114</c:v>
                </c:pt>
                <c:pt idx="1430">
                  <c:v>0.99305555555555558</c:v>
                </c:pt>
                <c:pt idx="1431">
                  <c:v>0.99375000000000002</c:v>
                </c:pt>
                <c:pt idx="1432">
                  <c:v>0.99444444444444446</c:v>
                </c:pt>
                <c:pt idx="1433">
                  <c:v>0.99513888888888891</c:v>
                </c:pt>
                <c:pt idx="1434">
                  <c:v>0.99583333333333335</c:v>
                </c:pt>
                <c:pt idx="1435">
                  <c:v>0.99652777777777779</c:v>
                </c:pt>
                <c:pt idx="1436">
                  <c:v>0.99722222222222223</c:v>
                </c:pt>
                <c:pt idx="1437">
                  <c:v>0.99791666666666667</c:v>
                </c:pt>
                <c:pt idx="1438">
                  <c:v>0.99861111111111112</c:v>
                </c:pt>
                <c:pt idx="1439">
                  <c:v>0.99930555555555556</c:v>
                </c:pt>
              </c:numCache>
            </c:numRef>
          </c:cat>
          <c:val>
            <c:numRef>
              <c:f>DailyView!$BM$11:$BM$1450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1.368050411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0.10603757799999999</c:v>
                </c:pt>
                <c:pt idx="626">
                  <c:v>1.932421505</c:v>
                </c:pt>
                <c:pt idx="627">
                  <c:v>3.1300000000000002E-4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6.8599999999999998E-4</c:v>
                </c:pt>
                <c:pt idx="632">
                  <c:v>5.0100000000000003E-4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4.35E-4</c:v>
                </c:pt>
                <c:pt idx="637">
                  <c:v>7.9000000000000001E-4</c:v>
                </c:pt>
                <c:pt idx="638">
                  <c:v>3.4699999999999998E-4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3.4600000000000001E-4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2.8600000000000001E-4</c:v>
                </c:pt>
                <c:pt idx="653">
                  <c:v>0</c:v>
                </c:pt>
                <c:pt idx="654">
                  <c:v>7.9799999999999999E-4</c:v>
                </c:pt>
                <c:pt idx="655">
                  <c:v>0</c:v>
                </c:pt>
                <c:pt idx="656">
                  <c:v>5.5800000000000001E-4</c:v>
                </c:pt>
                <c:pt idx="657">
                  <c:v>1.85E-4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5.3899999999999998E-4</c:v>
                </c:pt>
                <c:pt idx="670">
                  <c:v>0</c:v>
                </c:pt>
                <c:pt idx="671">
                  <c:v>0</c:v>
                </c:pt>
                <c:pt idx="672">
                  <c:v>4.2499999999999998E-4</c:v>
                </c:pt>
                <c:pt idx="673">
                  <c:v>4.5600000000000003E-4</c:v>
                </c:pt>
                <c:pt idx="674">
                  <c:v>3.8900000000000002E-4</c:v>
                </c:pt>
                <c:pt idx="675">
                  <c:v>3.6499999999999998E-4</c:v>
                </c:pt>
                <c:pt idx="676">
                  <c:v>3.0699999999999998E-4</c:v>
                </c:pt>
                <c:pt idx="677">
                  <c:v>0</c:v>
                </c:pt>
                <c:pt idx="678">
                  <c:v>5.7399999999999997E-4</c:v>
                </c:pt>
                <c:pt idx="679">
                  <c:v>0</c:v>
                </c:pt>
                <c:pt idx="680">
                  <c:v>3.2600000000000001E-4</c:v>
                </c:pt>
                <c:pt idx="681">
                  <c:v>4.8299999999999998E-4</c:v>
                </c:pt>
                <c:pt idx="682">
                  <c:v>0</c:v>
                </c:pt>
                <c:pt idx="683">
                  <c:v>0</c:v>
                </c:pt>
                <c:pt idx="684">
                  <c:v>7.1000000000000002E-4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4.8500000000000003E-4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3.2200000000000002E-4</c:v>
                </c:pt>
                <c:pt idx="696">
                  <c:v>0</c:v>
                </c:pt>
                <c:pt idx="697">
                  <c:v>0</c:v>
                </c:pt>
                <c:pt idx="698">
                  <c:v>5.3300000000000005E-4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5.0900000000000001E-4</c:v>
                </c:pt>
                <c:pt idx="705">
                  <c:v>2.32E-4</c:v>
                </c:pt>
                <c:pt idx="706">
                  <c:v>3.6099999999999999E-4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4.3199999999999998E-4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4.1199999999999999E-4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5.6700000000000001E-4</c:v>
                </c:pt>
                <c:pt idx="728">
                  <c:v>0</c:v>
                </c:pt>
                <c:pt idx="729">
                  <c:v>0</c:v>
                </c:pt>
                <c:pt idx="730">
                  <c:v>2.6699999999999998E-4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5.2300000000000003E-4</c:v>
                </c:pt>
                <c:pt idx="738">
                  <c:v>0</c:v>
                </c:pt>
                <c:pt idx="739">
                  <c:v>0</c:v>
                </c:pt>
                <c:pt idx="740">
                  <c:v>3.9899999999999999E-4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4.9700000000000005E-4</c:v>
                </c:pt>
                <c:pt idx="745">
                  <c:v>0</c:v>
                </c:pt>
                <c:pt idx="746">
                  <c:v>2.6600000000000001E-4</c:v>
                </c:pt>
                <c:pt idx="747">
                  <c:v>9.6799999999999995E-5</c:v>
                </c:pt>
                <c:pt idx="748">
                  <c:v>2.0100000000000001E-4</c:v>
                </c:pt>
                <c:pt idx="749">
                  <c:v>0</c:v>
                </c:pt>
                <c:pt idx="750">
                  <c:v>0</c:v>
                </c:pt>
                <c:pt idx="751">
                  <c:v>4.1599999999999997E-4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4.3300000000000001E-4</c:v>
                </c:pt>
                <c:pt idx="756">
                  <c:v>0</c:v>
                </c:pt>
                <c:pt idx="757">
                  <c:v>0</c:v>
                </c:pt>
                <c:pt idx="758">
                  <c:v>2.61E-4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1.1193900000000001E-3</c:v>
                </c:pt>
                <c:pt idx="764">
                  <c:v>0</c:v>
                </c:pt>
                <c:pt idx="765">
                  <c:v>0</c:v>
                </c:pt>
                <c:pt idx="766">
                  <c:v>6.4800000000000003E-4</c:v>
                </c:pt>
                <c:pt idx="767">
                  <c:v>4.0700000000000003E-4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4.5300000000000001E-4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2.63E-4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8.92E-4</c:v>
                </c:pt>
                <c:pt idx="795">
                  <c:v>2.8600000000000001E-4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5.6999999999999998E-4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5.5199999999999997E-4</c:v>
                </c:pt>
                <c:pt idx="805">
                  <c:v>0</c:v>
                </c:pt>
                <c:pt idx="806">
                  <c:v>1.5200000000000001E-4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2.5399999999999999E-4</c:v>
                </c:pt>
                <c:pt idx="814">
                  <c:v>4.28E-4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4.44E-4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4.1199999999999999E-5</c:v>
                </c:pt>
                <c:pt idx="828">
                  <c:v>1.27E-4</c:v>
                </c:pt>
                <c:pt idx="829">
                  <c:v>3.3E-4</c:v>
                </c:pt>
                <c:pt idx="830">
                  <c:v>0</c:v>
                </c:pt>
                <c:pt idx="831">
                  <c:v>3.7100000000000002E-4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4.6500000000000003E-4</c:v>
                </c:pt>
                <c:pt idx="837">
                  <c:v>4.37E-4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2.5500000000000002E-4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6.11E-4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2.5900000000000001E-4</c:v>
                </c:pt>
                <c:pt idx="872">
                  <c:v>0</c:v>
                </c:pt>
                <c:pt idx="873">
                  <c:v>6.2799999999999998E-4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2.6499999999999999E-4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0.63801920099999998</c:v>
                </c:pt>
                <c:pt idx="887">
                  <c:v>2.4041655450000001</c:v>
                </c:pt>
                <c:pt idx="888">
                  <c:v>1.7959820000000001E-2</c:v>
                </c:pt>
                <c:pt idx="889">
                  <c:v>2.4399999999999999E-4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1.7200000000000001E-4</c:v>
                </c:pt>
                <c:pt idx="894">
                  <c:v>4.26E-4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3.5799999999999997E-4</c:v>
                </c:pt>
                <c:pt idx="912">
                  <c:v>0</c:v>
                </c:pt>
                <c:pt idx="913">
                  <c:v>0</c:v>
                </c:pt>
                <c:pt idx="914">
                  <c:v>4.9600000000000002E-4</c:v>
                </c:pt>
                <c:pt idx="915">
                  <c:v>4.35E-4</c:v>
                </c:pt>
                <c:pt idx="916">
                  <c:v>2.5799999999999998E-4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2.7500000000000002E-4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3.28E-4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4.6200000000000001E-4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4.0900000000000002E-4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2.8800000000000001E-4</c:v>
                </c:pt>
                <c:pt idx="953">
                  <c:v>0</c:v>
                </c:pt>
                <c:pt idx="954">
                  <c:v>0</c:v>
                </c:pt>
                <c:pt idx="955">
                  <c:v>3.9800000000000002E-4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3.3599999999999998E-4</c:v>
                </c:pt>
                <c:pt idx="963">
                  <c:v>5.1099999999999995E-4</c:v>
                </c:pt>
                <c:pt idx="964">
                  <c:v>0</c:v>
                </c:pt>
                <c:pt idx="965">
                  <c:v>0</c:v>
                </c:pt>
                <c:pt idx="966">
                  <c:v>5.3399999999999997E-4</c:v>
                </c:pt>
                <c:pt idx="967">
                  <c:v>3.57E-4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3.4600000000000001E-4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7.4100000000000001E-4</c:v>
                </c:pt>
                <c:pt idx="979">
                  <c:v>4.3199999999999998E-4</c:v>
                </c:pt>
                <c:pt idx="980">
                  <c:v>3.7599999999999998E-4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2.6699999999999998E-4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4.37E-4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5.2300000000000003E-4</c:v>
                </c:pt>
                <c:pt idx="994">
                  <c:v>0</c:v>
                </c:pt>
                <c:pt idx="995">
                  <c:v>0</c:v>
                </c:pt>
                <c:pt idx="996">
                  <c:v>3.5E-4</c:v>
                </c:pt>
                <c:pt idx="997">
                  <c:v>8.3900000000000001E-4</c:v>
                </c:pt>
                <c:pt idx="998">
                  <c:v>2.6800000000000001E-4</c:v>
                </c:pt>
                <c:pt idx="999">
                  <c:v>0</c:v>
                </c:pt>
                <c:pt idx="1000">
                  <c:v>2.7300000000000002E-4</c:v>
                </c:pt>
                <c:pt idx="1001">
                  <c:v>5.5599999999999996E-4</c:v>
                </c:pt>
                <c:pt idx="1002">
                  <c:v>3.4299999999999999E-4</c:v>
                </c:pt>
                <c:pt idx="1003">
                  <c:v>1.185937E-3</c:v>
                </c:pt>
                <c:pt idx="1004">
                  <c:v>7.2999999999999996E-4</c:v>
                </c:pt>
                <c:pt idx="1005">
                  <c:v>0</c:v>
                </c:pt>
                <c:pt idx="1006">
                  <c:v>4.4499999999999997E-4</c:v>
                </c:pt>
                <c:pt idx="1007">
                  <c:v>0</c:v>
                </c:pt>
                <c:pt idx="1008">
                  <c:v>3.7500000000000001E-4</c:v>
                </c:pt>
                <c:pt idx="1009">
                  <c:v>0</c:v>
                </c:pt>
                <c:pt idx="1010">
                  <c:v>6.1300000000000005E-4</c:v>
                </c:pt>
                <c:pt idx="1011">
                  <c:v>6.1600000000000001E-4</c:v>
                </c:pt>
                <c:pt idx="1012">
                  <c:v>2.6899999999999998E-4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2.2499999999999999E-4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7.5600000000000005E-4</c:v>
                </c:pt>
                <c:pt idx="1021">
                  <c:v>4.4099999999999999E-4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2.3800000000000001E-4</c:v>
                </c:pt>
                <c:pt idx="1028">
                  <c:v>0</c:v>
                </c:pt>
                <c:pt idx="1029">
                  <c:v>0</c:v>
                </c:pt>
                <c:pt idx="1030">
                  <c:v>5.7700000000000004E-4</c:v>
                </c:pt>
                <c:pt idx="1031">
                  <c:v>3.2899999999999997E-4</c:v>
                </c:pt>
                <c:pt idx="1032">
                  <c:v>0</c:v>
                </c:pt>
                <c:pt idx="1033">
                  <c:v>0</c:v>
                </c:pt>
                <c:pt idx="1034">
                  <c:v>4.4799999999999999E-4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5.2700000000000002E-4</c:v>
                </c:pt>
                <c:pt idx="1041">
                  <c:v>0</c:v>
                </c:pt>
                <c:pt idx="1042">
                  <c:v>0</c:v>
                </c:pt>
                <c:pt idx="1043">
                  <c:v>5.1000000000000004E-4</c:v>
                </c:pt>
                <c:pt idx="1044">
                  <c:v>2.61E-4</c:v>
                </c:pt>
                <c:pt idx="1045">
                  <c:v>0</c:v>
                </c:pt>
                <c:pt idx="1046">
                  <c:v>3.9100000000000002E-4</c:v>
                </c:pt>
                <c:pt idx="1047">
                  <c:v>3.5300000000000002E-4</c:v>
                </c:pt>
                <c:pt idx="1048">
                  <c:v>0</c:v>
                </c:pt>
                <c:pt idx="1049">
                  <c:v>0</c:v>
                </c:pt>
                <c:pt idx="1050">
                  <c:v>3.3E-4</c:v>
                </c:pt>
                <c:pt idx="1051">
                  <c:v>0</c:v>
                </c:pt>
                <c:pt idx="1052">
                  <c:v>4.4799999999999999E-4</c:v>
                </c:pt>
                <c:pt idx="1053">
                  <c:v>7.1699999999999997E-4</c:v>
                </c:pt>
                <c:pt idx="1054">
                  <c:v>0</c:v>
                </c:pt>
                <c:pt idx="1055">
                  <c:v>0</c:v>
                </c:pt>
                <c:pt idx="1056">
                  <c:v>3.4200000000000002E-4</c:v>
                </c:pt>
                <c:pt idx="1057">
                  <c:v>2.7599999999999999E-4</c:v>
                </c:pt>
                <c:pt idx="1058">
                  <c:v>0</c:v>
                </c:pt>
                <c:pt idx="1059">
                  <c:v>3.4600000000000001E-4</c:v>
                </c:pt>
                <c:pt idx="1060">
                  <c:v>4.5100000000000001E-4</c:v>
                </c:pt>
                <c:pt idx="1061">
                  <c:v>2.9500000000000001E-4</c:v>
                </c:pt>
                <c:pt idx="1062">
                  <c:v>0</c:v>
                </c:pt>
                <c:pt idx="1063">
                  <c:v>0</c:v>
                </c:pt>
                <c:pt idx="1064">
                  <c:v>6.2E-4</c:v>
                </c:pt>
                <c:pt idx="1065">
                  <c:v>4.6500000000000003E-4</c:v>
                </c:pt>
                <c:pt idx="1066">
                  <c:v>3.5E-4</c:v>
                </c:pt>
                <c:pt idx="1067">
                  <c:v>2.3000000000000001E-4</c:v>
                </c:pt>
                <c:pt idx="1068">
                  <c:v>0</c:v>
                </c:pt>
                <c:pt idx="1069">
                  <c:v>6.6799999999999997E-4</c:v>
                </c:pt>
                <c:pt idx="1070">
                  <c:v>0</c:v>
                </c:pt>
                <c:pt idx="1071">
                  <c:v>5.2400000000000005E-4</c:v>
                </c:pt>
                <c:pt idx="1072">
                  <c:v>0</c:v>
                </c:pt>
                <c:pt idx="1073">
                  <c:v>4.86E-4</c:v>
                </c:pt>
                <c:pt idx="1074">
                  <c:v>2.5900000000000001E-4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3.6000000000000002E-4</c:v>
                </c:pt>
                <c:pt idx="1079">
                  <c:v>4.9799999999999996E-4</c:v>
                </c:pt>
                <c:pt idx="1080">
                  <c:v>0</c:v>
                </c:pt>
                <c:pt idx="1081">
                  <c:v>4.7800000000000002E-4</c:v>
                </c:pt>
                <c:pt idx="1082">
                  <c:v>0</c:v>
                </c:pt>
                <c:pt idx="1083">
                  <c:v>0</c:v>
                </c:pt>
                <c:pt idx="1084">
                  <c:v>3.4299999999999999E-4</c:v>
                </c:pt>
                <c:pt idx="1085">
                  <c:v>3.9100000000000002E-4</c:v>
                </c:pt>
                <c:pt idx="1086">
                  <c:v>0</c:v>
                </c:pt>
                <c:pt idx="1087">
                  <c:v>8.9899999999999995E-4</c:v>
                </c:pt>
                <c:pt idx="1088">
                  <c:v>5.53E-4</c:v>
                </c:pt>
                <c:pt idx="1089">
                  <c:v>4.4099999999999999E-4</c:v>
                </c:pt>
                <c:pt idx="1090">
                  <c:v>0</c:v>
                </c:pt>
                <c:pt idx="1091">
                  <c:v>6.2699999999999995E-4</c:v>
                </c:pt>
                <c:pt idx="1092">
                  <c:v>7.2400000000000003E-4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2.2699999999999999E-4</c:v>
                </c:pt>
                <c:pt idx="1097">
                  <c:v>3.5E-4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3.6999999999999999E-4</c:v>
                </c:pt>
                <c:pt idx="1105">
                  <c:v>4.37E-4</c:v>
                </c:pt>
                <c:pt idx="1106">
                  <c:v>2.9399999999999999E-4</c:v>
                </c:pt>
                <c:pt idx="1107">
                  <c:v>0</c:v>
                </c:pt>
                <c:pt idx="1108">
                  <c:v>0</c:v>
                </c:pt>
                <c:pt idx="1109">
                  <c:v>2.5599999999999999E-4</c:v>
                </c:pt>
                <c:pt idx="1110">
                  <c:v>1.3999999999999999E-4</c:v>
                </c:pt>
                <c:pt idx="1111">
                  <c:v>3.5799999999999997E-4</c:v>
                </c:pt>
                <c:pt idx="1112">
                  <c:v>5.2499999999999997E-4</c:v>
                </c:pt>
                <c:pt idx="1113">
                  <c:v>4.35E-4</c:v>
                </c:pt>
                <c:pt idx="1114">
                  <c:v>0</c:v>
                </c:pt>
                <c:pt idx="1115">
                  <c:v>5.3300000000000005E-4</c:v>
                </c:pt>
                <c:pt idx="1116">
                  <c:v>2.7700000000000001E-4</c:v>
                </c:pt>
                <c:pt idx="1117">
                  <c:v>5.1999999999999995E-4</c:v>
                </c:pt>
                <c:pt idx="1118">
                  <c:v>5.4100000000000003E-4</c:v>
                </c:pt>
                <c:pt idx="1119">
                  <c:v>7.5100000000000004E-4</c:v>
                </c:pt>
                <c:pt idx="1120">
                  <c:v>0</c:v>
                </c:pt>
                <c:pt idx="1121">
                  <c:v>5.1800000000000001E-4</c:v>
                </c:pt>
                <c:pt idx="1122">
                  <c:v>5.8600000000000004E-4</c:v>
                </c:pt>
                <c:pt idx="1123">
                  <c:v>2.7500000000000002E-4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6.0300000000000002E-4</c:v>
                </c:pt>
                <c:pt idx="1128">
                  <c:v>0</c:v>
                </c:pt>
                <c:pt idx="1129">
                  <c:v>2.5500000000000002E-4</c:v>
                </c:pt>
                <c:pt idx="1130">
                  <c:v>3.5E-4</c:v>
                </c:pt>
                <c:pt idx="1131">
                  <c:v>0</c:v>
                </c:pt>
                <c:pt idx="1132">
                  <c:v>9.3400000000000004E-4</c:v>
                </c:pt>
                <c:pt idx="1133">
                  <c:v>7.3899999999999997E-4</c:v>
                </c:pt>
                <c:pt idx="1134">
                  <c:v>0</c:v>
                </c:pt>
                <c:pt idx="1135">
                  <c:v>0</c:v>
                </c:pt>
                <c:pt idx="1136">
                  <c:v>1.111E-3</c:v>
                </c:pt>
                <c:pt idx="1137">
                  <c:v>7.9100000000000004E-4</c:v>
                </c:pt>
                <c:pt idx="1138">
                  <c:v>4.3300000000000001E-4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4.7899999999999999E-4</c:v>
                </c:pt>
                <c:pt idx="1143">
                  <c:v>0</c:v>
                </c:pt>
                <c:pt idx="1144">
                  <c:v>2.4600000000000002E-4</c:v>
                </c:pt>
                <c:pt idx="1145">
                  <c:v>4.4299999999999998E-4</c:v>
                </c:pt>
                <c:pt idx="1146">
                  <c:v>2.6400000000000002E-4</c:v>
                </c:pt>
                <c:pt idx="1147">
                  <c:v>3.6200000000000002E-4</c:v>
                </c:pt>
                <c:pt idx="1148">
                  <c:v>0</c:v>
                </c:pt>
                <c:pt idx="1149">
                  <c:v>0</c:v>
                </c:pt>
                <c:pt idx="1150">
                  <c:v>3.4200000000000002E-4</c:v>
                </c:pt>
                <c:pt idx="1151">
                  <c:v>4.3399999999999998E-4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3.7800000000000003E-4</c:v>
                </c:pt>
                <c:pt idx="1159">
                  <c:v>0</c:v>
                </c:pt>
                <c:pt idx="1160">
                  <c:v>5.8399999999999999E-4</c:v>
                </c:pt>
                <c:pt idx="1161">
                  <c:v>6.02E-4</c:v>
                </c:pt>
                <c:pt idx="1162">
                  <c:v>5.8E-4</c:v>
                </c:pt>
                <c:pt idx="1163">
                  <c:v>0</c:v>
                </c:pt>
                <c:pt idx="1164">
                  <c:v>9.7099999999999997E-4</c:v>
                </c:pt>
                <c:pt idx="1165">
                  <c:v>5.9800000000000001E-4</c:v>
                </c:pt>
                <c:pt idx="1166">
                  <c:v>5.8500000000000002E-4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9.5100000000000002E-4</c:v>
                </c:pt>
                <c:pt idx="1172">
                  <c:v>1.6100000000000001E-4</c:v>
                </c:pt>
                <c:pt idx="1173">
                  <c:v>2.3599999999999999E-4</c:v>
                </c:pt>
                <c:pt idx="1174">
                  <c:v>0</c:v>
                </c:pt>
                <c:pt idx="1175">
                  <c:v>7.0299999999999996E-4</c:v>
                </c:pt>
                <c:pt idx="1176">
                  <c:v>0</c:v>
                </c:pt>
                <c:pt idx="1177">
                  <c:v>5.1199999999999998E-4</c:v>
                </c:pt>
                <c:pt idx="1178">
                  <c:v>4.1899999999999999E-4</c:v>
                </c:pt>
                <c:pt idx="1179">
                  <c:v>0</c:v>
                </c:pt>
                <c:pt idx="1180">
                  <c:v>0</c:v>
                </c:pt>
                <c:pt idx="1181">
                  <c:v>3.4499999999999998E-4</c:v>
                </c:pt>
                <c:pt idx="1182">
                  <c:v>2.8899999999999998E-4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4.5800000000000002E-4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5.9500000000000004E-4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3.77E-4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3.7100000000000002E-4</c:v>
                </c:pt>
                <c:pt idx="1205">
                  <c:v>0</c:v>
                </c:pt>
                <c:pt idx="1206">
                  <c:v>1.7799999999999999E-4</c:v>
                </c:pt>
                <c:pt idx="1207">
                  <c:v>4.0099999999999999E-4</c:v>
                </c:pt>
                <c:pt idx="1208">
                  <c:v>3.7300000000000001E-4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3.86E-4</c:v>
                </c:pt>
                <c:pt idx="1213">
                  <c:v>2.8499999999999999E-4</c:v>
                </c:pt>
                <c:pt idx="1214">
                  <c:v>2.7099999999999997E-4</c:v>
                </c:pt>
                <c:pt idx="1215">
                  <c:v>3.9599999999999998E-4</c:v>
                </c:pt>
                <c:pt idx="1216">
                  <c:v>3.4990550000000002E-2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6.0300000000000002E-4</c:v>
                </c:pt>
                <c:pt idx="1221">
                  <c:v>0</c:v>
                </c:pt>
                <c:pt idx="1222">
                  <c:v>0</c:v>
                </c:pt>
                <c:pt idx="1223">
                  <c:v>4.2700000000000002E-4</c:v>
                </c:pt>
                <c:pt idx="1224">
                  <c:v>0</c:v>
                </c:pt>
                <c:pt idx="1225">
                  <c:v>2.3000000000000001E-4</c:v>
                </c:pt>
                <c:pt idx="1226">
                  <c:v>2.5900000000000001E-4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2.7099999999999997E-4</c:v>
                </c:pt>
                <c:pt idx="1234">
                  <c:v>3.7599999999999998E-4</c:v>
                </c:pt>
                <c:pt idx="1235">
                  <c:v>0</c:v>
                </c:pt>
                <c:pt idx="1236">
                  <c:v>3.4900000000000003E-4</c:v>
                </c:pt>
                <c:pt idx="1237">
                  <c:v>4.44E-4</c:v>
                </c:pt>
                <c:pt idx="1238">
                  <c:v>0</c:v>
                </c:pt>
                <c:pt idx="1239">
                  <c:v>4.9299999999999995E-4</c:v>
                </c:pt>
                <c:pt idx="1240">
                  <c:v>0</c:v>
                </c:pt>
                <c:pt idx="1241">
                  <c:v>0</c:v>
                </c:pt>
                <c:pt idx="1242">
                  <c:v>2.04E-4</c:v>
                </c:pt>
                <c:pt idx="1243">
                  <c:v>9.1600000000000004E-4</c:v>
                </c:pt>
                <c:pt idx="1244">
                  <c:v>0</c:v>
                </c:pt>
                <c:pt idx="1245">
                  <c:v>0</c:v>
                </c:pt>
                <c:pt idx="1246">
                  <c:v>5.8299999999999997E-4</c:v>
                </c:pt>
                <c:pt idx="1247">
                  <c:v>0</c:v>
                </c:pt>
                <c:pt idx="1248">
                  <c:v>0</c:v>
                </c:pt>
                <c:pt idx="1249">
                  <c:v>3.5300000000000002E-4</c:v>
                </c:pt>
                <c:pt idx="1250">
                  <c:v>7.0299999999999996E-4</c:v>
                </c:pt>
                <c:pt idx="1251">
                  <c:v>0</c:v>
                </c:pt>
                <c:pt idx="1252">
                  <c:v>4.8500000000000003E-4</c:v>
                </c:pt>
                <c:pt idx="1253">
                  <c:v>3.0400000000000002E-4</c:v>
                </c:pt>
                <c:pt idx="1254">
                  <c:v>4.2999999999999999E-4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3.7500000000000001E-4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8.1300000000000003E-4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7.0408212999999997E-2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5.1199999999999998E-4</c:v>
                </c:pt>
                <c:pt idx="1274">
                  <c:v>2.9999999999999997E-4</c:v>
                </c:pt>
                <c:pt idx="1275">
                  <c:v>0</c:v>
                </c:pt>
                <c:pt idx="1276">
                  <c:v>2.9999999999999997E-4</c:v>
                </c:pt>
                <c:pt idx="1277">
                  <c:v>0</c:v>
                </c:pt>
                <c:pt idx="1278">
                  <c:v>1.078E-3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4.8000000000000001E-4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3.0200000000000002E-4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2.81E-4</c:v>
                </c:pt>
                <c:pt idx="1294">
                  <c:v>4.6999999999999999E-4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5.2999999999999998E-4</c:v>
                </c:pt>
                <c:pt idx="1304">
                  <c:v>5.0299999999999997E-4</c:v>
                </c:pt>
                <c:pt idx="1305">
                  <c:v>0</c:v>
                </c:pt>
                <c:pt idx="1306">
                  <c:v>3.5E-4</c:v>
                </c:pt>
                <c:pt idx="1307">
                  <c:v>0</c:v>
                </c:pt>
                <c:pt idx="1308">
                  <c:v>2.8699999999999998E-4</c:v>
                </c:pt>
                <c:pt idx="1309">
                  <c:v>2.8699999999999998E-4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6.8199999999999999E-4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4.9700000000000005E-4</c:v>
                </c:pt>
                <c:pt idx="1321">
                  <c:v>2.5700000000000001E-4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5.8799999999999998E-4</c:v>
                </c:pt>
                <c:pt idx="1327">
                  <c:v>0</c:v>
                </c:pt>
                <c:pt idx="1328">
                  <c:v>4.9200000000000003E-4</c:v>
                </c:pt>
                <c:pt idx="1329">
                  <c:v>0</c:v>
                </c:pt>
                <c:pt idx="1330">
                  <c:v>2.3499999999999999E-4</c:v>
                </c:pt>
                <c:pt idx="1331">
                  <c:v>0</c:v>
                </c:pt>
                <c:pt idx="1332">
                  <c:v>0</c:v>
                </c:pt>
                <c:pt idx="1333">
                  <c:v>6.3699999999999998E-4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4.0900000000000002E-4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3.5199999999999999E-4</c:v>
                </c:pt>
                <c:pt idx="1346">
                  <c:v>0</c:v>
                </c:pt>
                <c:pt idx="1347">
                  <c:v>0</c:v>
                </c:pt>
                <c:pt idx="1348">
                  <c:v>4.1599999999999997E-4</c:v>
                </c:pt>
                <c:pt idx="1349">
                  <c:v>4.2900000000000002E-4</c:v>
                </c:pt>
                <c:pt idx="1350">
                  <c:v>0</c:v>
                </c:pt>
                <c:pt idx="1351">
                  <c:v>3.57E-4</c:v>
                </c:pt>
                <c:pt idx="1352">
                  <c:v>3.6200000000000002E-4</c:v>
                </c:pt>
                <c:pt idx="1353">
                  <c:v>3.5100000000000002E-4</c:v>
                </c:pt>
                <c:pt idx="1354">
                  <c:v>3.68E-4</c:v>
                </c:pt>
                <c:pt idx="1355">
                  <c:v>0</c:v>
                </c:pt>
                <c:pt idx="1356">
                  <c:v>3.5300000000000002E-4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5.5000000000000003E-4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5.8900000000000001E-4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5.3300000000000005E-4</c:v>
                </c:pt>
                <c:pt idx="1392">
                  <c:v>3.8099999999999999E-4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3.9199999999999999E-4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3.9599999999999998E-4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4.6900000000000002E-4</c:v>
                </c:pt>
                <c:pt idx="1418">
                  <c:v>3.3799999999999998E-4</c:v>
                </c:pt>
                <c:pt idx="1419">
                  <c:v>5.3700000000000004E-4</c:v>
                </c:pt>
                <c:pt idx="1420">
                  <c:v>0</c:v>
                </c:pt>
                <c:pt idx="1421">
                  <c:v>5.2300000000000003E-4</c:v>
                </c:pt>
                <c:pt idx="1422">
                  <c:v>0</c:v>
                </c:pt>
                <c:pt idx="1423">
                  <c:v>7.9799999999999999E-4</c:v>
                </c:pt>
                <c:pt idx="1424">
                  <c:v>3.3E-4</c:v>
                </c:pt>
                <c:pt idx="1425">
                  <c:v>0</c:v>
                </c:pt>
                <c:pt idx="1426">
                  <c:v>2.6499999999999999E-4</c:v>
                </c:pt>
                <c:pt idx="1427">
                  <c:v>0</c:v>
                </c:pt>
                <c:pt idx="1428">
                  <c:v>3.39E-4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2.2900000000000001E-4</c:v>
                </c:pt>
                <c:pt idx="1433">
                  <c:v>0</c:v>
                </c:pt>
                <c:pt idx="1434">
                  <c:v>0</c:v>
                </c:pt>
                <c:pt idx="1435">
                  <c:v>3.8699999999999997E-4</c:v>
                </c:pt>
                <c:pt idx="1436">
                  <c:v>4.3399999999999998E-4</c:v>
                </c:pt>
                <c:pt idx="1437">
                  <c:v>1.65E-4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A7-4AE1-828F-4B43678F5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h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시간대별 이동거리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DailyView!$B$37</c:f>
              <c:strCache>
                <c:ptCount val="1"/>
                <c:pt idx="0">
                  <c:v>Distance_m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F8-480A-B2FC-00FA45191038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F8-480A-B2FC-00FA45191038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F8-480A-B2FC-00FA45191038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6F8-480A-B2FC-00FA45191038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6F8-480A-B2FC-00FA45191038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6F8-480A-B2FC-00FA45191038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6F8-480A-B2FC-00FA45191038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6F8-480A-B2FC-00FA45191038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6F8-480A-B2FC-00FA45191038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6F8-480A-B2FC-00FA45191038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6F8-480A-B2FC-00FA45191038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6F8-480A-B2FC-00FA45191038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6F8-480A-B2FC-00FA45191038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6F8-480A-B2FC-00FA45191038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56F8-480A-B2FC-00FA45191038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56F8-480A-B2FC-00FA45191038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56F8-480A-B2FC-00FA45191038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56F8-480A-B2FC-00FA45191038}"/>
              </c:ext>
            </c:extLst>
          </c:dPt>
          <c:dPt>
            <c:idx val="18"/>
            <c:invertIfNegative val="1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56F8-480A-B2FC-00FA45191038}"/>
              </c:ext>
            </c:extLst>
          </c:dPt>
          <c:dPt>
            <c:idx val="19"/>
            <c:invertIfNegative val="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56F8-480A-B2FC-00FA45191038}"/>
              </c:ext>
            </c:extLst>
          </c:dPt>
          <c:dPt>
            <c:idx val="20"/>
            <c:invertIfNegative val="1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56F8-480A-B2FC-00FA45191038}"/>
              </c:ext>
            </c:extLst>
          </c:dPt>
          <c:dPt>
            <c:idx val="21"/>
            <c:invertIfNegative val="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56F8-480A-B2FC-00FA45191038}"/>
              </c:ext>
            </c:extLst>
          </c:dPt>
          <c:dPt>
            <c:idx val="22"/>
            <c:invertIfNegative val="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56F8-480A-B2FC-00FA45191038}"/>
              </c:ext>
            </c:extLst>
          </c:dPt>
          <c:dPt>
            <c:idx val="23"/>
            <c:invertIfNegative val="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56F8-480A-B2FC-00FA45191038}"/>
              </c:ext>
            </c:extLst>
          </c:dPt>
          <c:cat>
            <c:numRef>
              <c:f>DailyView!$A$38:$A$61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DailyView!$B$38:$B$61</c:f>
              <c:numCache>
                <c:formatCode>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1.368050411</c:v>
                </c:pt>
                <c:pt idx="10">
                  <c:v>2.0437040829999993</c:v>
                </c:pt>
                <c:pt idx="11">
                  <c:v>7.4480000000000015E-3</c:v>
                </c:pt>
                <c:pt idx="12">
                  <c:v>6.9661900000000006E-3</c:v>
                </c:pt>
                <c:pt idx="13">
                  <c:v>5.6121999999999995E-3</c:v>
                </c:pt>
                <c:pt idx="14">
                  <c:v>3.063004566</c:v>
                </c:pt>
                <c:pt idx="15">
                  <c:v>3.7070000000000002E-3</c:v>
                </c:pt>
                <c:pt idx="16">
                  <c:v>1.1947936999999999E-2</c:v>
                </c:pt>
                <c:pt idx="17">
                  <c:v>1.2496E-2</c:v>
                </c:pt>
                <c:pt idx="18">
                  <c:v>1.7064999999999997E-2</c:v>
                </c:pt>
                <c:pt idx="19">
                  <c:v>1.1913999999999999E-2</c:v>
                </c:pt>
                <c:pt idx="20">
                  <c:v>4.5456550000000012E-2</c:v>
                </c:pt>
                <c:pt idx="21">
                  <c:v>7.758321299999997E-2</c:v>
                </c:pt>
                <c:pt idx="22">
                  <c:v>6.6530000000000001E-3</c:v>
                </c:pt>
                <c:pt idx="23">
                  <c:v>7.1050000000000011E-3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B-4C4D-A9EE-C37EC590C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장소별 체류 비율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DailyView!$B$63</c:f>
              <c:strCache>
                <c:ptCount val="1"/>
                <c:pt idx="0">
                  <c:v>Minutes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tx>
                <c:rich>
                  <a:bodyPr/>
                  <a:lstStyle/>
                  <a:p>
                    <a:fld id="{082D076A-45DE-43B4-BA48-3338BD7AE518}" type="CATEGORYNAME">
                      <a:rPr lang="en-US" altLang="ko-KR" baseline="0"/>
                      <a:pPr/>
                      <a:t>[범주 이름]</a:t>
                    </a:fld>
                    <a:endParaRPr lang="en-US" altLang="ko-KR" baseline="0"/>
                  </a:p>
                  <a:p>
                    <a:fld id="{D90A8245-50C1-42AF-B9DF-9920EC75769B}" type="PERCENTAGE">
                      <a:rPr lang="en-US" altLang="ko-KR" baseline="0"/>
                      <a:pPr/>
                      <a:t>[백분율]</a:t>
                    </a:fld>
                    <a:endParaRPr lang="ko-KR" altLang="en-US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274-4DB8-926C-25B61472E078}"/>
                </c:ext>
              </c:extLst>
            </c:dLbl>
            <c:dLbl>
              <c:idx val="1"/>
              <c:layout>
                <c:manualLayout>
                  <c:x val="0.20525252525252524"/>
                  <c:y val="0.18142857142857133"/>
                </c:manualLayout>
              </c:layout>
              <c:tx>
                <c:rich>
                  <a:bodyPr/>
                  <a:lstStyle/>
                  <a:p>
                    <a:fld id="{F58B1436-14C1-4187-B9D9-9B75229F7461}" type="CATEGORYNAME">
                      <a:rPr lang="en-US" altLang="ko-KR" baseline="0"/>
                      <a:pPr/>
                      <a:t>[범주 이름]</a:t>
                    </a:fld>
                    <a:endParaRPr lang="en-US" altLang="ko-KR" baseline="0"/>
                  </a:p>
                  <a:p>
                    <a:fld id="{755775D1-5609-40B3-A2B9-C53135658F4F}" type="PERCENTAGE">
                      <a:rPr lang="en-US" altLang="ko-KR" baseline="0"/>
                      <a:pPr/>
                      <a:t>[백분율]</a:t>
                    </a:fld>
                    <a:endParaRPr lang="ko-KR" altLang="en-US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274-4DB8-926C-25B61472E078}"/>
                </c:ext>
              </c:extLst>
            </c:dLbl>
            <c:dLbl>
              <c:idx val="2"/>
              <c:layout>
                <c:manualLayout>
                  <c:x val="4.169191919191919E-2"/>
                  <c:y val="0.18142857142857124"/>
                </c:manualLayout>
              </c:layout>
              <c:tx>
                <c:rich>
                  <a:bodyPr/>
                  <a:lstStyle/>
                  <a:p>
                    <a:fld id="{95EBEAD5-DA2A-4340-AE94-3C2665D0D598}" type="CATEGORYNAME">
                      <a:rPr lang="en-US" altLang="ko-KR" baseline="0"/>
                      <a:pPr/>
                      <a:t>[범주 이름]</a:t>
                    </a:fld>
                    <a:endParaRPr lang="en-US" altLang="ko-KR" baseline="0"/>
                  </a:p>
                  <a:p>
                    <a:fld id="{BDFD79DD-1568-4831-A7E1-8E3DFD98040F}" type="PERCENTAGE">
                      <a:rPr lang="en-US" altLang="ko-KR" baseline="0"/>
                      <a:pPr/>
                      <a:t>[백분율]</a:t>
                    </a:fld>
                    <a:endParaRPr lang="ko-KR" altLang="en-US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F274-4DB8-926C-25B61472E078}"/>
                </c:ext>
              </c:extLst>
            </c:dLbl>
            <c:dLbl>
              <c:idx val="3"/>
              <c:layout>
                <c:manualLayout>
                  <c:x val="-9.6212121212121277E-2"/>
                  <c:y val="0.1915079365079364"/>
                </c:manualLayout>
              </c:layout>
              <c:tx>
                <c:rich>
                  <a:bodyPr/>
                  <a:lstStyle/>
                  <a:p>
                    <a:fld id="{52BD1987-6005-4CB0-9220-FC48F9B1EE0F}" type="CATEGORYNAME">
                      <a:rPr lang="ko-KR" altLang="en-US" baseline="0"/>
                      <a:pPr/>
                      <a:t>[범주 이름]</a:t>
                    </a:fld>
                    <a:endParaRPr lang="ko-KR" altLang="en-US" baseline="0"/>
                  </a:p>
                  <a:p>
                    <a:fld id="{20F3DF1B-BDA0-4764-B3B0-328C1DFFC3EE}" type="PERCENTAGE">
                      <a:rPr lang="en-US" altLang="ko-KR" baseline="0"/>
                      <a:pPr/>
                      <a:t>[백분율]</a:t>
                    </a:fld>
                    <a:endParaRPr lang="ko-KR" altLang="en-US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274-4DB8-926C-25B61472E078}"/>
                </c:ext>
              </c:extLst>
            </c:dLbl>
            <c:dLbl>
              <c:idx val="4"/>
              <c:layout>
                <c:manualLayout>
                  <c:x val="-0.27260101010101012"/>
                  <c:y val="0.15119047619047629"/>
                </c:manualLayout>
              </c:layout>
              <c:tx>
                <c:rich>
                  <a:bodyPr/>
                  <a:lstStyle/>
                  <a:p>
                    <a:fld id="{8DDBA565-E589-4232-BBF7-050DB173E5FD}" type="CATEGORYNAME">
                      <a:rPr lang="ko-KR" altLang="en-US" baseline="0"/>
                      <a:pPr/>
                      <a:t>[범주 이름]</a:t>
                    </a:fld>
                    <a:endParaRPr lang="ko-KR" altLang="en-US" baseline="0"/>
                  </a:p>
                  <a:p>
                    <a:fld id="{DD669EE2-2E8C-4573-A853-12E8236D916E}" type="PERCENTAGE">
                      <a:rPr lang="en-US" altLang="ko-KR" baseline="0"/>
                      <a:pPr/>
                      <a:t>[백분율]</a:t>
                    </a:fld>
                    <a:endParaRPr lang="ko-KR" altLang="en-US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274-4DB8-926C-25B61472E07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829519F-56AC-49F2-A672-10B2FA11CC1B}" type="CATEGORYNAME">
                      <a:rPr lang="ko-KR" altLang="en-US" baseline="0"/>
                      <a:pPr/>
                      <a:t>[범주 이름]</a:t>
                    </a:fld>
                    <a:endParaRPr lang="ko-KR" altLang="en-US" baseline="0"/>
                  </a:p>
                  <a:p>
                    <a:fld id="{251BA451-AFBB-4508-8F29-091C92E10619}" type="PERCENTAGE">
                      <a:rPr lang="en-US" altLang="ko-KR" baseline="0"/>
                      <a:pPr/>
                      <a:t>[백분율]</a:t>
                    </a:fld>
                    <a:endParaRPr lang="ko-KR" altLang="en-US"/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274-4DB8-926C-25B61472E07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DailyView!$A$64:$A$69</c:f>
              <c:strCache>
                <c:ptCount val="6"/>
                <c:pt idx="0">
                  <c:v>침실A</c:v>
                </c:pt>
                <c:pt idx="1">
                  <c:v>침실B</c:v>
                </c:pt>
                <c:pt idx="2">
                  <c:v>거실A</c:v>
                </c:pt>
                <c:pt idx="3">
                  <c:v>화장실</c:v>
                </c:pt>
                <c:pt idx="4">
                  <c:v>주방</c:v>
                </c:pt>
                <c:pt idx="5">
                  <c:v>외출</c:v>
                </c:pt>
              </c:strCache>
            </c:strRef>
          </c:cat>
          <c:val>
            <c:numRef>
              <c:f>DailyView!$B$64:$B$69</c:f>
              <c:numCache>
                <c:formatCode>General</c:formatCode>
                <c:ptCount val="6"/>
                <c:pt idx="0">
                  <c:v>505</c:v>
                </c:pt>
                <c:pt idx="1">
                  <c:v>380</c:v>
                </c:pt>
                <c:pt idx="2">
                  <c:v>150</c:v>
                </c:pt>
                <c:pt idx="3">
                  <c:v>50</c:v>
                </c:pt>
                <c:pt idx="4">
                  <c:v>153</c:v>
                </c:pt>
                <c:pt idx="5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4-4DB8-926C-25B61472E07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413540</xdr:colOff>
      <xdr:row>36</xdr:row>
      <xdr:rowOff>99330</xdr:rowOff>
    </xdr:from>
    <xdr:ext cx="79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133764</xdr:colOff>
      <xdr:row>36</xdr:row>
      <xdr:rowOff>78685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171450</xdr:colOff>
      <xdr:row>62</xdr:row>
      <xdr:rowOff>19050</xdr:rowOff>
    </xdr:from>
    <xdr:ext cx="39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showGridLines="0" workbookViewId="0">
      <selection activeCell="A14" sqref="A14"/>
    </sheetView>
  </sheetViews>
  <sheetFormatPr defaultRowHeight="16.899999999999999" x14ac:dyDescent="0.6"/>
  <cols>
    <col min="1" max="1" width="110" customWidth="1"/>
  </cols>
  <sheetData>
    <row r="1" spans="1:1" ht="28.05" customHeight="1" x14ac:dyDescent="0.85">
      <c r="A1" s="1" t="s">
        <v>0</v>
      </c>
    </row>
    <row r="3" spans="1:1" x14ac:dyDescent="0.6">
      <c r="A3" s="2" t="s">
        <v>1</v>
      </c>
    </row>
    <row r="4" spans="1:1" x14ac:dyDescent="0.6">
      <c r="A4" s="2" t="s">
        <v>2</v>
      </c>
    </row>
    <row r="5" spans="1:1" x14ac:dyDescent="0.6">
      <c r="A5" s="2" t="s">
        <v>3</v>
      </c>
    </row>
    <row r="6" spans="1:1" x14ac:dyDescent="0.6">
      <c r="A6" s="2" t="s">
        <v>4</v>
      </c>
    </row>
    <row r="7" spans="1:1" x14ac:dyDescent="0.6">
      <c r="A7" s="2"/>
    </row>
    <row r="8" spans="1:1" x14ac:dyDescent="0.6">
      <c r="A8" s="2" t="s">
        <v>5</v>
      </c>
    </row>
  </sheetData>
  <phoneticPr fontId="9" type="noConversion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showGridLines="0" workbookViewId="0">
      <selection activeCell="A8" sqref="A8"/>
    </sheetView>
  </sheetViews>
  <sheetFormatPr defaultRowHeight="16.899999999999999" x14ac:dyDescent="0.6"/>
  <cols>
    <col min="1" max="1" width="10" customWidth="1"/>
    <col min="2" max="3" width="14" customWidth="1"/>
  </cols>
  <sheetData>
    <row r="1" spans="1:3" ht="28.05" customHeight="1" x14ac:dyDescent="0.85">
      <c r="A1" s="1" t="s">
        <v>6</v>
      </c>
    </row>
    <row r="3" spans="1:3" x14ac:dyDescent="0.6">
      <c r="A3" s="3" t="s">
        <v>7</v>
      </c>
      <c r="B3" s="3" t="s">
        <v>8</v>
      </c>
      <c r="C3" s="3" t="s">
        <v>9</v>
      </c>
    </row>
    <row r="4" spans="1:3" x14ac:dyDescent="0.6">
      <c r="A4" s="42" t="s">
        <v>10</v>
      </c>
      <c r="B4" s="5" t="s">
        <v>11</v>
      </c>
      <c r="C4" s="6"/>
    </row>
    <row r="5" spans="1:3" x14ac:dyDescent="0.6">
      <c r="A5" s="40" t="s">
        <v>12</v>
      </c>
      <c r="B5" s="5" t="s">
        <v>13</v>
      </c>
      <c r="C5" s="7"/>
    </row>
    <row r="6" spans="1:3" x14ac:dyDescent="0.6">
      <c r="A6" s="40" t="s">
        <v>14</v>
      </c>
      <c r="B6" s="5" t="s">
        <v>15</v>
      </c>
      <c r="C6" s="8"/>
    </row>
    <row r="7" spans="1:3" x14ac:dyDescent="0.6">
      <c r="A7" s="40" t="s">
        <v>16</v>
      </c>
      <c r="B7" s="5" t="s">
        <v>17</v>
      </c>
      <c r="C7" s="9"/>
    </row>
    <row r="8" spans="1:3" x14ac:dyDescent="0.6">
      <c r="A8" s="40" t="s">
        <v>18</v>
      </c>
      <c r="B8" s="5" t="s">
        <v>19</v>
      </c>
      <c r="C8" s="10"/>
    </row>
    <row r="9" spans="1:3" x14ac:dyDescent="0.6">
      <c r="A9" s="40" t="s">
        <v>20</v>
      </c>
      <c r="B9" s="5" t="s">
        <v>21</v>
      </c>
      <c r="C9" s="11"/>
    </row>
  </sheetData>
  <phoneticPr fontId="9" type="noConversion"/>
  <dataValidations count="1">
    <dataValidation type="list" allowBlank="1" sqref="A4:A9" xr:uid="{C63F8381-CFD8-4499-9228-35EDC3E00C9C}">
      <formula1>"00,01,0A,14,1E,FE"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41"/>
  <sheetViews>
    <sheetView workbookViewId="0">
      <pane xSplit="1" ySplit="1" topLeftCell="B2" activePane="bottomRight" state="frozen"/>
      <selection pane="topRight"/>
      <selection pane="bottomLeft"/>
      <selection pane="bottomRight" activeCell="F16" sqref="F16"/>
    </sheetView>
  </sheetViews>
  <sheetFormatPr defaultRowHeight="16.899999999999999" x14ac:dyDescent="0.6"/>
  <cols>
    <col min="1" max="1" width="14.6875" bestFit="1" customWidth="1"/>
    <col min="2" max="2" width="11.0625" bestFit="1" customWidth="1"/>
    <col min="3" max="3" width="14.8125" bestFit="1" customWidth="1"/>
    <col min="4" max="4" width="12.3125" style="41" bestFit="1" customWidth="1"/>
    <col min="5" max="5" width="15.9375" bestFit="1" customWidth="1"/>
    <col min="6" max="6" width="10.3125" bestFit="1" customWidth="1"/>
    <col min="7" max="7" width="18.1875" bestFit="1" customWidth="1"/>
  </cols>
  <sheetData>
    <row r="1" spans="1:9" x14ac:dyDescent="0.6">
      <c r="A1" s="3" t="s">
        <v>22</v>
      </c>
      <c r="B1" s="3" t="s">
        <v>23</v>
      </c>
      <c r="C1" s="3" t="s">
        <v>24</v>
      </c>
      <c r="D1" s="39" t="s">
        <v>7</v>
      </c>
      <c r="E1" s="3" t="s">
        <v>25</v>
      </c>
      <c r="F1" s="3" t="s">
        <v>26</v>
      </c>
      <c r="G1" s="39" t="s">
        <v>45</v>
      </c>
      <c r="I1" s="20" t="s">
        <v>46</v>
      </c>
    </row>
    <row r="2" spans="1:9" x14ac:dyDescent="0.6">
      <c r="A2" t="str">
        <f t="shared" ref="A2:A65" si="0">IF(B2="","",TEXT(B2,"yyyymmdd")&amp;"_"&amp;TEXT(C2,"0000"))</f>
        <v>20260123_0000</v>
      </c>
      <c r="B2" s="12">
        <v>46045</v>
      </c>
      <c r="C2" s="13">
        <v>0</v>
      </c>
      <c r="D2" s="4" t="str">
        <f>MID(I$1,$C2*2+1,2)</f>
        <v>14</v>
      </c>
      <c r="E2" s="14">
        <v>0</v>
      </c>
      <c r="F2">
        <f t="shared" ref="F2:F65" si="1">IF(C2="","",INT(C2/60))</f>
        <v>0</v>
      </c>
      <c r="G2" s="41" t="str">
        <f t="shared" ref="G2:G65" si="2">IF(D2="","",IF(LEN(UPPER(SUBSTITUTE(SUBSTITUTE(TRIM(D2),CHAR(160),"")," ","")))=1,"0"&amp;UPPER(SUBSTITUTE(SUBSTITUTE(TRIM(D2),CHAR(160),"")," ","")),UPPER(SUBSTITUTE(SUBSTITUTE(TRIM(D2),CHAR(160),"")," ",""))))</f>
        <v>14</v>
      </c>
    </row>
    <row r="3" spans="1:9" x14ac:dyDescent="0.6">
      <c r="A3" t="str">
        <f t="shared" si="0"/>
        <v>20260123_0001</v>
      </c>
      <c r="B3" s="12">
        <v>46045</v>
      </c>
      <c r="C3" s="13">
        <v>1</v>
      </c>
      <c r="D3" s="4" t="str">
        <f t="shared" ref="D3:D66" si="3">MID(I$1,$C3*2+1,2)</f>
        <v>00</v>
      </c>
      <c r="E3" s="14">
        <v>0</v>
      </c>
      <c r="F3">
        <f t="shared" si="1"/>
        <v>0</v>
      </c>
      <c r="G3" s="41" t="str">
        <f t="shared" si="2"/>
        <v>00</v>
      </c>
    </row>
    <row r="4" spans="1:9" x14ac:dyDescent="0.6">
      <c r="A4" t="str">
        <f t="shared" si="0"/>
        <v>20260123_0002</v>
      </c>
      <c r="B4" s="12">
        <v>46045</v>
      </c>
      <c r="C4" s="13">
        <v>2</v>
      </c>
      <c r="D4" s="4" t="str">
        <f t="shared" si="3"/>
        <v>00</v>
      </c>
      <c r="E4" s="14">
        <v>0</v>
      </c>
      <c r="F4">
        <f t="shared" si="1"/>
        <v>0</v>
      </c>
      <c r="G4" s="41" t="str">
        <f t="shared" si="2"/>
        <v>00</v>
      </c>
    </row>
    <row r="5" spans="1:9" x14ac:dyDescent="0.6">
      <c r="A5" t="str">
        <f t="shared" si="0"/>
        <v>20260123_0003</v>
      </c>
      <c r="B5" s="12">
        <v>46045</v>
      </c>
      <c r="C5" s="13">
        <v>3</v>
      </c>
      <c r="D5" s="4" t="str">
        <f t="shared" si="3"/>
        <v>00</v>
      </c>
      <c r="E5" s="14">
        <v>0</v>
      </c>
      <c r="F5">
        <f t="shared" si="1"/>
        <v>0</v>
      </c>
      <c r="G5" s="41" t="str">
        <f t="shared" si="2"/>
        <v>00</v>
      </c>
    </row>
    <row r="6" spans="1:9" x14ac:dyDescent="0.6">
      <c r="A6" t="str">
        <f t="shared" si="0"/>
        <v>20260123_0004</v>
      </c>
      <c r="B6" s="12">
        <v>46045</v>
      </c>
      <c r="C6" s="13">
        <v>4</v>
      </c>
      <c r="D6" s="4" t="str">
        <f t="shared" si="3"/>
        <v>01</v>
      </c>
      <c r="E6" s="14">
        <v>0</v>
      </c>
      <c r="F6">
        <f t="shared" si="1"/>
        <v>0</v>
      </c>
      <c r="G6" s="41" t="str">
        <f t="shared" si="2"/>
        <v>01</v>
      </c>
    </row>
    <row r="7" spans="1:9" x14ac:dyDescent="0.6">
      <c r="A7" t="str">
        <f t="shared" si="0"/>
        <v>20260123_0005</v>
      </c>
      <c r="B7" s="12">
        <v>46045</v>
      </c>
      <c r="C7" s="13">
        <v>5</v>
      </c>
      <c r="D7" s="4" t="str">
        <f t="shared" si="3"/>
        <v>01</v>
      </c>
      <c r="E7" s="14">
        <v>0</v>
      </c>
      <c r="F7">
        <f t="shared" si="1"/>
        <v>0</v>
      </c>
      <c r="G7" s="41" t="str">
        <f t="shared" si="2"/>
        <v>01</v>
      </c>
    </row>
    <row r="8" spans="1:9" x14ac:dyDescent="0.6">
      <c r="A8" t="str">
        <f t="shared" si="0"/>
        <v>20260123_0006</v>
      </c>
      <c r="B8" s="12">
        <v>46045</v>
      </c>
      <c r="C8" s="13">
        <v>6</v>
      </c>
      <c r="D8" s="4" t="str">
        <f t="shared" si="3"/>
        <v>01</v>
      </c>
      <c r="E8" s="14">
        <v>0</v>
      </c>
      <c r="F8">
        <f t="shared" si="1"/>
        <v>0</v>
      </c>
      <c r="G8" s="41" t="str">
        <f t="shared" si="2"/>
        <v>01</v>
      </c>
    </row>
    <row r="9" spans="1:9" x14ac:dyDescent="0.6">
      <c r="A9" t="str">
        <f t="shared" si="0"/>
        <v>20260123_0007</v>
      </c>
      <c r="B9" s="12">
        <v>46045</v>
      </c>
      <c r="C9" s="13">
        <v>7</v>
      </c>
      <c r="D9" s="4" t="str">
        <f t="shared" si="3"/>
        <v>01</v>
      </c>
      <c r="E9" s="14">
        <v>0</v>
      </c>
      <c r="F9">
        <f t="shared" si="1"/>
        <v>0</v>
      </c>
      <c r="G9" s="41" t="str">
        <f t="shared" si="2"/>
        <v>01</v>
      </c>
    </row>
    <row r="10" spans="1:9" x14ac:dyDescent="0.6">
      <c r="A10" t="str">
        <f t="shared" si="0"/>
        <v>20260123_0008</v>
      </c>
      <c r="B10" s="12">
        <v>46045</v>
      </c>
      <c r="C10" s="13">
        <v>8</v>
      </c>
      <c r="D10" s="4" t="str">
        <f t="shared" si="3"/>
        <v>01</v>
      </c>
      <c r="E10" s="14">
        <v>0</v>
      </c>
      <c r="F10">
        <f t="shared" si="1"/>
        <v>0</v>
      </c>
      <c r="G10" s="41" t="str">
        <f t="shared" si="2"/>
        <v>01</v>
      </c>
    </row>
    <row r="11" spans="1:9" x14ac:dyDescent="0.6">
      <c r="A11" t="str">
        <f t="shared" si="0"/>
        <v>20260123_0009</v>
      </c>
      <c r="B11" s="12">
        <v>46045</v>
      </c>
      <c r="C11" s="13">
        <v>9</v>
      </c>
      <c r="D11" s="4" t="str">
        <f t="shared" si="3"/>
        <v>01</v>
      </c>
      <c r="E11" s="14">
        <v>0</v>
      </c>
      <c r="F11">
        <f t="shared" si="1"/>
        <v>0</v>
      </c>
      <c r="G11" s="41" t="str">
        <f t="shared" si="2"/>
        <v>01</v>
      </c>
    </row>
    <row r="12" spans="1:9" x14ac:dyDescent="0.6">
      <c r="A12" t="str">
        <f t="shared" si="0"/>
        <v>20260123_0010</v>
      </c>
      <c r="B12" s="12">
        <v>46045</v>
      </c>
      <c r="C12" s="13">
        <v>10</v>
      </c>
      <c r="D12" s="4" t="str">
        <f t="shared" si="3"/>
        <v>00</v>
      </c>
      <c r="E12" s="14">
        <v>0</v>
      </c>
      <c r="F12">
        <f t="shared" si="1"/>
        <v>0</v>
      </c>
      <c r="G12" s="41" t="str">
        <f t="shared" si="2"/>
        <v>00</v>
      </c>
    </row>
    <row r="13" spans="1:9" x14ac:dyDescent="0.6">
      <c r="A13" t="str">
        <f t="shared" si="0"/>
        <v>20260123_0011</v>
      </c>
      <c r="B13" s="12">
        <v>46045</v>
      </c>
      <c r="C13" s="13">
        <v>11</v>
      </c>
      <c r="D13" s="4" t="str">
        <f t="shared" si="3"/>
        <v>00</v>
      </c>
      <c r="E13" s="14">
        <v>0</v>
      </c>
      <c r="F13">
        <f t="shared" si="1"/>
        <v>0</v>
      </c>
      <c r="G13" s="41" t="str">
        <f t="shared" si="2"/>
        <v>00</v>
      </c>
    </row>
    <row r="14" spans="1:9" x14ac:dyDescent="0.6">
      <c r="A14" t="str">
        <f t="shared" si="0"/>
        <v>20260123_0012</v>
      </c>
      <c r="B14" s="12">
        <v>46045</v>
      </c>
      <c r="C14" s="13">
        <v>12</v>
      </c>
      <c r="D14" s="4" t="str">
        <f t="shared" si="3"/>
        <v>00</v>
      </c>
      <c r="E14" s="14">
        <v>0</v>
      </c>
      <c r="F14">
        <f t="shared" si="1"/>
        <v>0</v>
      </c>
      <c r="G14" s="41" t="str">
        <f t="shared" si="2"/>
        <v>00</v>
      </c>
    </row>
    <row r="15" spans="1:9" x14ac:dyDescent="0.6">
      <c r="A15" t="str">
        <f t="shared" si="0"/>
        <v>20260123_0013</v>
      </c>
      <c r="B15" s="12">
        <v>46045</v>
      </c>
      <c r="C15" s="13">
        <v>13</v>
      </c>
      <c r="D15" s="4" t="str">
        <f t="shared" si="3"/>
        <v>01</v>
      </c>
      <c r="E15" s="14">
        <v>0</v>
      </c>
      <c r="F15">
        <f t="shared" si="1"/>
        <v>0</v>
      </c>
      <c r="G15" s="41" t="str">
        <f t="shared" si="2"/>
        <v>01</v>
      </c>
    </row>
    <row r="16" spans="1:9" x14ac:dyDescent="0.6">
      <c r="A16" t="str">
        <f t="shared" si="0"/>
        <v>20260123_0014</v>
      </c>
      <c r="B16" s="12">
        <v>46045</v>
      </c>
      <c r="C16" s="13">
        <v>14</v>
      </c>
      <c r="D16" s="4" t="str">
        <f t="shared" si="3"/>
        <v>01</v>
      </c>
      <c r="E16" s="14">
        <v>0</v>
      </c>
      <c r="F16">
        <f t="shared" si="1"/>
        <v>0</v>
      </c>
      <c r="G16" s="41" t="str">
        <f t="shared" si="2"/>
        <v>01</v>
      </c>
    </row>
    <row r="17" spans="1:7" x14ac:dyDescent="0.6">
      <c r="A17" t="str">
        <f t="shared" si="0"/>
        <v>20260123_0015</v>
      </c>
      <c r="B17" s="12">
        <v>46045</v>
      </c>
      <c r="C17" s="13">
        <v>15</v>
      </c>
      <c r="D17" s="4" t="str">
        <f t="shared" si="3"/>
        <v>01</v>
      </c>
      <c r="E17" s="14">
        <v>0</v>
      </c>
      <c r="F17">
        <f t="shared" si="1"/>
        <v>0</v>
      </c>
      <c r="G17" s="41" t="str">
        <f t="shared" si="2"/>
        <v>01</v>
      </c>
    </row>
    <row r="18" spans="1:7" x14ac:dyDescent="0.6">
      <c r="A18" t="str">
        <f t="shared" si="0"/>
        <v>20260123_0016</v>
      </c>
      <c r="B18" s="12">
        <v>46045</v>
      </c>
      <c r="C18" s="13">
        <v>16</v>
      </c>
      <c r="D18" s="4" t="str">
        <f t="shared" si="3"/>
        <v>01</v>
      </c>
      <c r="E18" s="14">
        <v>0</v>
      </c>
      <c r="F18">
        <f t="shared" si="1"/>
        <v>0</v>
      </c>
      <c r="G18" s="41" t="str">
        <f t="shared" si="2"/>
        <v>01</v>
      </c>
    </row>
    <row r="19" spans="1:7" x14ac:dyDescent="0.6">
      <c r="A19" t="str">
        <f t="shared" si="0"/>
        <v>20260123_0017</v>
      </c>
      <c r="B19" s="12">
        <v>46045</v>
      </c>
      <c r="C19" s="13">
        <v>17</v>
      </c>
      <c r="D19" s="4" t="str">
        <f t="shared" si="3"/>
        <v>01</v>
      </c>
      <c r="E19" s="14">
        <v>0</v>
      </c>
      <c r="F19">
        <f t="shared" si="1"/>
        <v>0</v>
      </c>
      <c r="G19" s="41" t="str">
        <f t="shared" si="2"/>
        <v>01</v>
      </c>
    </row>
    <row r="20" spans="1:7" x14ac:dyDescent="0.6">
      <c r="A20" t="str">
        <f t="shared" si="0"/>
        <v>20260123_0018</v>
      </c>
      <c r="B20" s="12">
        <v>46045</v>
      </c>
      <c r="C20" s="13">
        <v>18</v>
      </c>
      <c r="D20" s="4" t="str">
        <f t="shared" si="3"/>
        <v>01</v>
      </c>
      <c r="E20" s="14">
        <v>0</v>
      </c>
      <c r="F20">
        <f t="shared" si="1"/>
        <v>0</v>
      </c>
      <c r="G20" s="41" t="str">
        <f t="shared" si="2"/>
        <v>01</v>
      </c>
    </row>
    <row r="21" spans="1:7" x14ac:dyDescent="0.6">
      <c r="A21" t="str">
        <f t="shared" si="0"/>
        <v>20260123_0019</v>
      </c>
      <c r="B21" s="12">
        <v>46045</v>
      </c>
      <c r="C21" s="13">
        <v>19</v>
      </c>
      <c r="D21" s="4" t="str">
        <f t="shared" si="3"/>
        <v>01</v>
      </c>
      <c r="E21" s="14">
        <v>0</v>
      </c>
      <c r="F21">
        <f t="shared" si="1"/>
        <v>0</v>
      </c>
      <c r="G21" s="41" t="str">
        <f t="shared" si="2"/>
        <v>01</v>
      </c>
    </row>
    <row r="22" spans="1:7" x14ac:dyDescent="0.6">
      <c r="A22" t="str">
        <f t="shared" si="0"/>
        <v>20260123_0020</v>
      </c>
      <c r="B22" s="12">
        <v>46045</v>
      </c>
      <c r="C22" s="13">
        <v>20</v>
      </c>
      <c r="D22" s="4" t="str">
        <f t="shared" si="3"/>
        <v>01</v>
      </c>
      <c r="E22" s="14">
        <v>0</v>
      </c>
      <c r="F22">
        <f t="shared" si="1"/>
        <v>0</v>
      </c>
      <c r="G22" s="41" t="str">
        <f t="shared" si="2"/>
        <v>01</v>
      </c>
    </row>
    <row r="23" spans="1:7" x14ac:dyDescent="0.6">
      <c r="A23" t="str">
        <f t="shared" si="0"/>
        <v>20260123_0021</v>
      </c>
      <c r="B23" s="12">
        <v>46045</v>
      </c>
      <c r="C23" s="13">
        <v>21</v>
      </c>
      <c r="D23" s="4" t="str">
        <f t="shared" si="3"/>
        <v>01</v>
      </c>
      <c r="E23" s="14">
        <v>0</v>
      </c>
      <c r="F23">
        <f t="shared" si="1"/>
        <v>0</v>
      </c>
      <c r="G23" s="41" t="str">
        <f t="shared" si="2"/>
        <v>01</v>
      </c>
    </row>
    <row r="24" spans="1:7" x14ac:dyDescent="0.6">
      <c r="A24" t="str">
        <f t="shared" si="0"/>
        <v>20260123_0022</v>
      </c>
      <c r="B24" s="12">
        <v>46045</v>
      </c>
      <c r="C24" s="13">
        <v>22</v>
      </c>
      <c r="D24" s="4" t="str">
        <f t="shared" si="3"/>
        <v>01</v>
      </c>
      <c r="E24" s="14">
        <v>0</v>
      </c>
      <c r="F24">
        <f t="shared" si="1"/>
        <v>0</v>
      </c>
      <c r="G24" s="41" t="str">
        <f t="shared" si="2"/>
        <v>01</v>
      </c>
    </row>
    <row r="25" spans="1:7" x14ac:dyDescent="0.6">
      <c r="A25" t="str">
        <f t="shared" si="0"/>
        <v>20260123_0023</v>
      </c>
      <c r="B25" s="12">
        <v>46045</v>
      </c>
      <c r="C25" s="13">
        <v>23</v>
      </c>
      <c r="D25" s="4" t="str">
        <f t="shared" si="3"/>
        <v>01</v>
      </c>
      <c r="E25" s="14">
        <v>0</v>
      </c>
      <c r="F25">
        <f t="shared" si="1"/>
        <v>0</v>
      </c>
      <c r="G25" s="41" t="str">
        <f t="shared" si="2"/>
        <v>01</v>
      </c>
    </row>
    <row r="26" spans="1:7" x14ac:dyDescent="0.6">
      <c r="A26" t="str">
        <f t="shared" si="0"/>
        <v>20260123_0024</v>
      </c>
      <c r="B26" s="12">
        <v>46045</v>
      </c>
      <c r="C26" s="13">
        <v>24</v>
      </c>
      <c r="D26" s="4" t="str">
        <f t="shared" si="3"/>
        <v>01</v>
      </c>
      <c r="E26" s="14">
        <v>0</v>
      </c>
      <c r="F26">
        <f t="shared" si="1"/>
        <v>0</v>
      </c>
      <c r="G26" s="41" t="str">
        <f t="shared" si="2"/>
        <v>01</v>
      </c>
    </row>
    <row r="27" spans="1:7" x14ac:dyDescent="0.6">
      <c r="A27" t="str">
        <f t="shared" si="0"/>
        <v>20260123_0025</v>
      </c>
      <c r="B27" s="12">
        <v>46045</v>
      </c>
      <c r="C27" s="13">
        <v>25</v>
      </c>
      <c r="D27" s="4" t="str">
        <f t="shared" si="3"/>
        <v>01</v>
      </c>
      <c r="E27" s="14">
        <v>0</v>
      </c>
      <c r="F27">
        <f t="shared" si="1"/>
        <v>0</v>
      </c>
      <c r="G27" s="41" t="str">
        <f t="shared" si="2"/>
        <v>01</v>
      </c>
    </row>
    <row r="28" spans="1:7" x14ac:dyDescent="0.6">
      <c r="A28" t="str">
        <f t="shared" si="0"/>
        <v>20260123_0026</v>
      </c>
      <c r="B28" s="12">
        <v>46045</v>
      </c>
      <c r="C28" s="13">
        <v>26</v>
      </c>
      <c r="D28" s="4" t="str">
        <f t="shared" si="3"/>
        <v>01</v>
      </c>
      <c r="E28" s="14">
        <v>0</v>
      </c>
      <c r="F28">
        <f t="shared" si="1"/>
        <v>0</v>
      </c>
      <c r="G28" s="41" t="str">
        <f t="shared" si="2"/>
        <v>01</v>
      </c>
    </row>
    <row r="29" spans="1:7" x14ac:dyDescent="0.6">
      <c r="A29" t="str">
        <f t="shared" si="0"/>
        <v>20260123_0027</v>
      </c>
      <c r="B29" s="12">
        <v>46045</v>
      </c>
      <c r="C29" s="13">
        <v>27</v>
      </c>
      <c r="D29" s="4" t="str">
        <f t="shared" si="3"/>
        <v>01</v>
      </c>
      <c r="E29" s="14">
        <v>0</v>
      </c>
      <c r="F29">
        <f t="shared" si="1"/>
        <v>0</v>
      </c>
      <c r="G29" s="41" t="str">
        <f t="shared" si="2"/>
        <v>01</v>
      </c>
    </row>
    <row r="30" spans="1:7" x14ac:dyDescent="0.6">
      <c r="A30" t="str">
        <f t="shared" si="0"/>
        <v>20260123_0028</v>
      </c>
      <c r="B30" s="12">
        <v>46045</v>
      </c>
      <c r="C30" s="13">
        <v>28</v>
      </c>
      <c r="D30" s="4" t="str">
        <f t="shared" si="3"/>
        <v>1E</v>
      </c>
      <c r="E30" s="14">
        <v>0</v>
      </c>
      <c r="F30">
        <f t="shared" si="1"/>
        <v>0</v>
      </c>
      <c r="G30" s="41" t="str">
        <f t="shared" si="2"/>
        <v>1E</v>
      </c>
    </row>
    <row r="31" spans="1:7" x14ac:dyDescent="0.6">
      <c r="A31" t="str">
        <f t="shared" si="0"/>
        <v>20260123_0029</v>
      </c>
      <c r="B31" s="12">
        <v>46045</v>
      </c>
      <c r="C31" s="13">
        <v>29</v>
      </c>
      <c r="D31" s="4" t="str">
        <f t="shared" si="3"/>
        <v>00</v>
      </c>
      <c r="E31" s="14">
        <v>0</v>
      </c>
      <c r="F31">
        <f t="shared" si="1"/>
        <v>0</v>
      </c>
      <c r="G31" s="41" t="str">
        <f t="shared" si="2"/>
        <v>00</v>
      </c>
    </row>
    <row r="32" spans="1:7" x14ac:dyDescent="0.6">
      <c r="A32" t="str">
        <f t="shared" si="0"/>
        <v>20260123_0030</v>
      </c>
      <c r="B32" s="12">
        <v>46045</v>
      </c>
      <c r="C32" s="13">
        <v>30</v>
      </c>
      <c r="D32" s="4" t="str">
        <f t="shared" si="3"/>
        <v>01</v>
      </c>
      <c r="E32" s="14">
        <v>0</v>
      </c>
      <c r="F32">
        <f t="shared" si="1"/>
        <v>0</v>
      </c>
      <c r="G32" s="41" t="str">
        <f t="shared" si="2"/>
        <v>01</v>
      </c>
    </row>
    <row r="33" spans="1:7" x14ac:dyDescent="0.6">
      <c r="A33" t="str">
        <f t="shared" si="0"/>
        <v>20260123_0031</v>
      </c>
      <c r="B33" s="12">
        <v>46045</v>
      </c>
      <c r="C33" s="13">
        <v>31</v>
      </c>
      <c r="D33" s="4" t="str">
        <f t="shared" si="3"/>
        <v>01</v>
      </c>
      <c r="E33" s="14">
        <v>0</v>
      </c>
      <c r="F33">
        <f t="shared" si="1"/>
        <v>0</v>
      </c>
      <c r="G33" s="41" t="str">
        <f t="shared" si="2"/>
        <v>01</v>
      </c>
    </row>
    <row r="34" spans="1:7" x14ac:dyDescent="0.6">
      <c r="A34" t="str">
        <f t="shared" si="0"/>
        <v>20260123_0032</v>
      </c>
      <c r="B34" s="12">
        <v>46045</v>
      </c>
      <c r="C34" s="13">
        <v>32</v>
      </c>
      <c r="D34" s="4" t="str">
        <f t="shared" si="3"/>
        <v>01</v>
      </c>
      <c r="E34" s="14">
        <v>0</v>
      </c>
      <c r="F34">
        <f t="shared" si="1"/>
        <v>0</v>
      </c>
      <c r="G34" s="41" t="str">
        <f t="shared" si="2"/>
        <v>01</v>
      </c>
    </row>
    <row r="35" spans="1:7" x14ac:dyDescent="0.6">
      <c r="A35" t="str">
        <f t="shared" si="0"/>
        <v>20260123_0033</v>
      </c>
      <c r="B35" s="12">
        <v>46045</v>
      </c>
      <c r="C35" s="13">
        <v>33</v>
      </c>
      <c r="D35" s="4" t="str">
        <f t="shared" si="3"/>
        <v>01</v>
      </c>
      <c r="E35" s="14">
        <v>0</v>
      </c>
      <c r="F35">
        <f t="shared" si="1"/>
        <v>0</v>
      </c>
      <c r="G35" s="41" t="str">
        <f t="shared" si="2"/>
        <v>01</v>
      </c>
    </row>
    <row r="36" spans="1:7" x14ac:dyDescent="0.6">
      <c r="A36" t="str">
        <f t="shared" si="0"/>
        <v>20260123_0034</v>
      </c>
      <c r="B36" s="12">
        <v>46045</v>
      </c>
      <c r="C36" s="13">
        <v>34</v>
      </c>
      <c r="D36" s="4" t="str">
        <f t="shared" si="3"/>
        <v>01</v>
      </c>
      <c r="E36" s="14">
        <v>0</v>
      </c>
      <c r="F36">
        <f t="shared" si="1"/>
        <v>0</v>
      </c>
      <c r="G36" s="41" t="str">
        <f t="shared" si="2"/>
        <v>01</v>
      </c>
    </row>
    <row r="37" spans="1:7" x14ac:dyDescent="0.6">
      <c r="A37" t="str">
        <f t="shared" si="0"/>
        <v>20260123_0035</v>
      </c>
      <c r="B37" s="12">
        <v>46045</v>
      </c>
      <c r="C37" s="13">
        <v>35</v>
      </c>
      <c r="D37" s="4" t="str">
        <f t="shared" si="3"/>
        <v>1E</v>
      </c>
      <c r="E37" s="14">
        <v>0</v>
      </c>
      <c r="F37">
        <f t="shared" si="1"/>
        <v>0</v>
      </c>
      <c r="G37" s="41" t="str">
        <f t="shared" si="2"/>
        <v>1E</v>
      </c>
    </row>
    <row r="38" spans="1:7" x14ac:dyDescent="0.6">
      <c r="A38" t="str">
        <f t="shared" si="0"/>
        <v>20260123_0036</v>
      </c>
      <c r="B38" s="12">
        <v>46045</v>
      </c>
      <c r="C38" s="13">
        <v>36</v>
      </c>
      <c r="D38" s="4" t="str">
        <f t="shared" si="3"/>
        <v>01</v>
      </c>
      <c r="E38" s="14">
        <v>0</v>
      </c>
      <c r="F38">
        <f t="shared" si="1"/>
        <v>0</v>
      </c>
      <c r="G38" s="41" t="str">
        <f t="shared" si="2"/>
        <v>01</v>
      </c>
    </row>
    <row r="39" spans="1:7" x14ac:dyDescent="0.6">
      <c r="A39" t="str">
        <f t="shared" si="0"/>
        <v>20260123_0037</v>
      </c>
      <c r="B39" s="12">
        <v>46045</v>
      </c>
      <c r="C39" s="13">
        <v>37</v>
      </c>
      <c r="D39" s="4" t="str">
        <f t="shared" si="3"/>
        <v>01</v>
      </c>
      <c r="E39" s="14">
        <v>0</v>
      </c>
      <c r="F39">
        <f t="shared" si="1"/>
        <v>0</v>
      </c>
      <c r="G39" s="41" t="str">
        <f t="shared" si="2"/>
        <v>01</v>
      </c>
    </row>
    <row r="40" spans="1:7" x14ac:dyDescent="0.6">
      <c r="A40" t="str">
        <f t="shared" si="0"/>
        <v>20260123_0038</v>
      </c>
      <c r="B40" s="12">
        <v>46045</v>
      </c>
      <c r="C40" s="13">
        <v>38</v>
      </c>
      <c r="D40" s="4" t="str">
        <f t="shared" si="3"/>
        <v>01</v>
      </c>
      <c r="E40" s="14">
        <v>0</v>
      </c>
      <c r="F40">
        <f t="shared" si="1"/>
        <v>0</v>
      </c>
      <c r="G40" s="41" t="str">
        <f t="shared" si="2"/>
        <v>01</v>
      </c>
    </row>
    <row r="41" spans="1:7" x14ac:dyDescent="0.6">
      <c r="A41" t="str">
        <f t="shared" si="0"/>
        <v>20260123_0039</v>
      </c>
      <c r="B41" s="12">
        <v>46045</v>
      </c>
      <c r="C41" s="13">
        <v>39</v>
      </c>
      <c r="D41" s="4" t="str">
        <f t="shared" si="3"/>
        <v>0A</v>
      </c>
      <c r="E41" s="14">
        <v>0</v>
      </c>
      <c r="F41">
        <f t="shared" si="1"/>
        <v>0</v>
      </c>
      <c r="G41" s="41" t="str">
        <f t="shared" si="2"/>
        <v>0A</v>
      </c>
    </row>
    <row r="42" spans="1:7" x14ac:dyDescent="0.6">
      <c r="A42" t="str">
        <f t="shared" si="0"/>
        <v>20260123_0040</v>
      </c>
      <c r="B42" s="12">
        <v>46045</v>
      </c>
      <c r="C42" s="13">
        <v>40</v>
      </c>
      <c r="D42" s="4" t="str">
        <f t="shared" si="3"/>
        <v>00</v>
      </c>
      <c r="E42" s="14">
        <v>0</v>
      </c>
      <c r="F42">
        <f t="shared" si="1"/>
        <v>0</v>
      </c>
      <c r="G42" s="41" t="str">
        <f t="shared" si="2"/>
        <v>00</v>
      </c>
    </row>
    <row r="43" spans="1:7" x14ac:dyDescent="0.6">
      <c r="A43" t="str">
        <f t="shared" si="0"/>
        <v>20260123_0041</v>
      </c>
      <c r="B43" s="12">
        <v>46045</v>
      </c>
      <c r="C43" s="13">
        <v>41</v>
      </c>
      <c r="D43" s="4" t="str">
        <f t="shared" si="3"/>
        <v>01</v>
      </c>
      <c r="E43" s="14">
        <v>0</v>
      </c>
      <c r="F43">
        <f t="shared" si="1"/>
        <v>0</v>
      </c>
      <c r="G43" s="41" t="str">
        <f t="shared" si="2"/>
        <v>01</v>
      </c>
    </row>
    <row r="44" spans="1:7" x14ac:dyDescent="0.6">
      <c r="A44" t="str">
        <f t="shared" si="0"/>
        <v>20260123_0042</v>
      </c>
      <c r="B44" s="12">
        <v>46045</v>
      </c>
      <c r="C44" s="13">
        <v>42</v>
      </c>
      <c r="D44" s="4" t="str">
        <f t="shared" si="3"/>
        <v>01</v>
      </c>
      <c r="E44" s="14">
        <v>0</v>
      </c>
      <c r="F44">
        <f t="shared" si="1"/>
        <v>0</v>
      </c>
      <c r="G44" s="41" t="str">
        <f t="shared" si="2"/>
        <v>01</v>
      </c>
    </row>
    <row r="45" spans="1:7" x14ac:dyDescent="0.6">
      <c r="A45" t="str">
        <f t="shared" si="0"/>
        <v>20260123_0043</v>
      </c>
      <c r="B45" s="12">
        <v>46045</v>
      </c>
      <c r="C45" s="13">
        <v>43</v>
      </c>
      <c r="D45" s="4" t="str">
        <f t="shared" si="3"/>
        <v>01</v>
      </c>
      <c r="E45" s="14">
        <v>0</v>
      </c>
      <c r="F45">
        <f t="shared" si="1"/>
        <v>0</v>
      </c>
      <c r="G45" s="41" t="str">
        <f t="shared" si="2"/>
        <v>01</v>
      </c>
    </row>
    <row r="46" spans="1:7" x14ac:dyDescent="0.6">
      <c r="A46" t="str">
        <f t="shared" si="0"/>
        <v>20260123_0044</v>
      </c>
      <c r="B46" s="12">
        <v>46045</v>
      </c>
      <c r="C46" s="13">
        <v>44</v>
      </c>
      <c r="D46" s="4" t="str">
        <f t="shared" si="3"/>
        <v>01</v>
      </c>
      <c r="E46" s="14">
        <v>0</v>
      </c>
      <c r="F46">
        <f t="shared" si="1"/>
        <v>0</v>
      </c>
      <c r="G46" s="41" t="str">
        <f t="shared" si="2"/>
        <v>01</v>
      </c>
    </row>
    <row r="47" spans="1:7" x14ac:dyDescent="0.6">
      <c r="A47" t="str">
        <f t="shared" si="0"/>
        <v>20260123_0045</v>
      </c>
      <c r="B47" s="12">
        <v>46045</v>
      </c>
      <c r="C47" s="13">
        <v>45</v>
      </c>
      <c r="D47" s="4" t="str">
        <f t="shared" si="3"/>
        <v>01</v>
      </c>
      <c r="E47" s="14">
        <v>0</v>
      </c>
      <c r="F47">
        <f t="shared" si="1"/>
        <v>0</v>
      </c>
      <c r="G47" s="41" t="str">
        <f t="shared" si="2"/>
        <v>01</v>
      </c>
    </row>
    <row r="48" spans="1:7" x14ac:dyDescent="0.6">
      <c r="A48" t="str">
        <f t="shared" si="0"/>
        <v>20260123_0046</v>
      </c>
      <c r="B48" s="12">
        <v>46045</v>
      </c>
      <c r="C48" s="13">
        <v>46</v>
      </c>
      <c r="D48" s="4" t="str">
        <f t="shared" si="3"/>
        <v>01</v>
      </c>
      <c r="E48" s="14">
        <v>0</v>
      </c>
      <c r="F48">
        <f t="shared" si="1"/>
        <v>0</v>
      </c>
      <c r="G48" s="41" t="str">
        <f t="shared" si="2"/>
        <v>01</v>
      </c>
    </row>
    <row r="49" spans="1:7" x14ac:dyDescent="0.6">
      <c r="A49" t="str">
        <f t="shared" si="0"/>
        <v>20260123_0047</v>
      </c>
      <c r="B49" s="12">
        <v>46045</v>
      </c>
      <c r="C49" s="13">
        <v>47</v>
      </c>
      <c r="D49" s="4" t="str">
        <f t="shared" si="3"/>
        <v>01</v>
      </c>
      <c r="E49" s="14">
        <v>0</v>
      </c>
      <c r="F49">
        <f t="shared" si="1"/>
        <v>0</v>
      </c>
      <c r="G49" s="41" t="str">
        <f t="shared" si="2"/>
        <v>01</v>
      </c>
    </row>
    <row r="50" spans="1:7" x14ac:dyDescent="0.6">
      <c r="A50" t="str">
        <f t="shared" si="0"/>
        <v>20260123_0048</v>
      </c>
      <c r="B50" s="12">
        <v>46045</v>
      </c>
      <c r="C50" s="13">
        <v>48</v>
      </c>
      <c r="D50" s="4" t="str">
        <f t="shared" si="3"/>
        <v>01</v>
      </c>
      <c r="E50" s="14">
        <v>0</v>
      </c>
      <c r="F50">
        <f t="shared" si="1"/>
        <v>0</v>
      </c>
      <c r="G50" s="41" t="str">
        <f t="shared" si="2"/>
        <v>01</v>
      </c>
    </row>
    <row r="51" spans="1:7" x14ac:dyDescent="0.6">
      <c r="A51" t="str">
        <f t="shared" si="0"/>
        <v>20260123_0049</v>
      </c>
      <c r="B51" s="12">
        <v>46045</v>
      </c>
      <c r="C51" s="13">
        <v>49</v>
      </c>
      <c r="D51" s="4" t="str">
        <f t="shared" si="3"/>
        <v>01</v>
      </c>
      <c r="E51" s="14">
        <v>0</v>
      </c>
      <c r="F51">
        <f t="shared" si="1"/>
        <v>0</v>
      </c>
      <c r="G51" s="41" t="str">
        <f t="shared" si="2"/>
        <v>01</v>
      </c>
    </row>
    <row r="52" spans="1:7" x14ac:dyDescent="0.6">
      <c r="A52" t="str">
        <f t="shared" si="0"/>
        <v>20260123_0050</v>
      </c>
      <c r="B52" s="12">
        <v>46045</v>
      </c>
      <c r="C52" s="13">
        <v>50</v>
      </c>
      <c r="D52" s="4" t="str">
        <f t="shared" si="3"/>
        <v>01</v>
      </c>
      <c r="E52" s="14">
        <v>0</v>
      </c>
      <c r="F52">
        <f t="shared" si="1"/>
        <v>0</v>
      </c>
      <c r="G52" s="41" t="str">
        <f t="shared" si="2"/>
        <v>01</v>
      </c>
    </row>
    <row r="53" spans="1:7" x14ac:dyDescent="0.6">
      <c r="A53" t="str">
        <f t="shared" si="0"/>
        <v>20260123_0051</v>
      </c>
      <c r="B53" s="12">
        <v>46045</v>
      </c>
      <c r="C53" s="13">
        <v>51</v>
      </c>
      <c r="D53" s="4" t="str">
        <f t="shared" si="3"/>
        <v>01</v>
      </c>
      <c r="E53" s="14">
        <v>0</v>
      </c>
      <c r="F53">
        <f t="shared" si="1"/>
        <v>0</v>
      </c>
      <c r="G53" s="41" t="str">
        <f t="shared" si="2"/>
        <v>01</v>
      </c>
    </row>
    <row r="54" spans="1:7" x14ac:dyDescent="0.6">
      <c r="A54" t="str">
        <f t="shared" si="0"/>
        <v>20260123_0052</v>
      </c>
      <c r="B54" s="12">
        <v>46045</v>
      </c>
      <c r="C54" s="13">
        <v>52</v>
      </c>
      <c r="D54" s="4" t="str">
        <f t="shared" si="3"/>
        <v>01</v>
      </c>
      <c r="E54" s="14">
        <v>0</v>
      </c>
      <c r="F54">
        <f t="shared" si="1"/>
        <v>0</v>
      </c>
      <c r="G54" s="41" t="str">
        <f t="shared" si="2"/>
        <v>01</v>
      </c>
    </row>
    <row r="55" spans="1:7" x14ac:dyDescent="0.6">
      <c r="A55" t="str">
        <f t="shared" si="0"/>
        <v>20260123_0053</v>
      </c>
      <c r="B55" s="12">
        <v>46045</v>
      </c>
      <c r="C55" s="13">
        <v>53</v>
      </c>
      <c r="D55" s="4" t="str">
        <f t="shared" si="3"/>
        <v>01</v>
      </c>
      <c r="E55" s="14">
        <v>0</v>
      </c>
      <c r="F55">
        <f t="shared" si="1"/>
        <v>0</v>
      </c>
      <c r="G55" s="41" t="str">
        <f t="shared" si="2"/>
        <v>01</v>
      </c>
    </row>
    <row r="56" spans="1:7" x14ac:dyDescent="0.6">
      <c r="A56" t="str">
        <f t="shared" si="0"/>
        <v>20260123_0054</v>
      </c>
      <c r="B56" s="12">
        <v>46045</v>
      </c>
      <c r="C56" s="13">
        <v>54</v>
      </c>
      <c r="D56" s="4" t="str">
        <f t="shared" si="3"/>
        <v>01</v>
      </c>
      <c r="E56" s="14">
        <v>0</v>
      </c>
      <c r="F56">
        <f t="shared" si="1"/>
        <v>0</v>
      </c>
      <c r="G56" s="41" t="str">
        <f t="shared" si="2"/>
        <v>01</v>
      </c>
    </row>
    <row r="57" spans="1:7" x14ac:dyDescent="0.6">
      <c r="A57" t="str">
        <f t="shared" si="0"/>
        <v>20260123_0055</v>
      </c>
      <c r="B57" s="12">
        <v>46045</v>
      </c>
      <c r="C57" s="13">
        <v>55</v>
      </c>
      <c r="D57" s="4" t="str">
        <f t="shared" si="3"/>
        <v>01</v>
      </c>
      <c r="E57" s="14">
        <v>0</v>
      </c>
      <c r="F57">
        <f t="shared" si="1"/>
        <v>0</v>
      </c>
      <c r="G57" s="41" t="str">
        <f t="shared" si="2"/>
        <v>01</v>
      </c>
    </row>
    <row r="58" spans="1:7" x14ac:dyDescent="0.6">
      <c r="A58" t="str">
        <f t="shared" si="0"/>
        <v>20260123_0056</v>
      </c>
      <c r="B58" s="12">
        <v>46045</v>
      </c>
      <c r="C58" s="13">
        <v>56</v>
      </c>
      <c r="D58" s="4" t="str">
        <f t="shared" si="3"/>
        <v>01</v>
      </c>
      <c r="E58" s="14">
        <v>0</v>
      </c>
      <c r="F58">
        <f t="shared" si="1"/>
        <v>0</v>
      </c>
      <c r="G58" s="41" t="str">
        <f t="shared" si="2"/>
        <v>01</v>
      </c>
    </row>
    <row r="59" spans="1:7" x14ac:dyDescent="0.6">
      <c r="A59" t="str">
        <f t="shared" si="0"/>
        <v>20260123_0057</v>
      </c>
      <c r="B59" s="12">
        <v>46045</v>
      </c>
      <c r="C59" s="13">
        <v>57</v>
      </c>
      <c r="D59" s="4" t="str">
        <f t="shared" si="3"/>
        <v>01</v>
      </c>
      <c r="E59" s="14">
        <v>0</v>
      </c>
      <c r="F59">
        <f t="shared" si="1"/>
        <v>0</v>
      </c>
      <c r="G59" s="41" t="str">
        <f t="shared" si="2"/>
        <v>01</v>
      </c>
    </row>
    <row r="60" spans="1:7" x14ac:dyDescent="0.6">
      <c r="A60" t="str">
        <f t="shared" si="0"/>
        <v>20260123_0058</v>
      </c>
      <c r="B60" s="12">
        <v>46045</v>
      </c>
      <c r="C60" s="13">
        <v>58</v>
      </c>
      <c r="D60" s="4" t="str">
        <f t="shared" si="3"/>
        <v>01</v>
      </c>
      <c r="E60" s="14">
        <v>0</v>
      </c>
      <c r="F60">
        <f t="shared" si="1"/>
        <v>0</v>
      </c>
      <c r="G60" s="41" t="str">
        <f t="shared" si="2"/>
        <v>01</v>
      </c>
    </row>
    <row r="61" spans="1:7" x14ac:dyDescent="0.6">
      <c r="A61" t="str">
        <f t="shared" si="0"/>
        <v>20260123_0059</v>
      </c>
      <c r="B61" s="12">
        <v>46045</v>
      </c>
      <c r="C61" s="13">
        <v>59</v>
      </c>
      <c r="D61" s="4" t="str">
        <f t="shared" si="3"/>
        <v>01</v>
      </c>
      <c r="E61" s="14">
        <v>0</v>
      </c>
      <c r="F61">
        <f t="shared" si="1"/>
        <v>0</v>
      </c>
      <c r="G61" s="41" t="str">
        <f t="shared" si="2"/>
        <v>01</v>
      </c>
    </row>
    <row r="62" spans="1:7" x14ac:dyDescent="0.6">
      <c r="A62" t="str">
        <f t="shared" si="0"/>
        <v>20260123_0060</v>
      </c>
      <c r="B62" s="12">
        <v>46045</v>
      </c>
      <c r="C62" s="13">
        <v>60</v>
      </c>
      <c r="D62" s="4" t="str">
        <f t="shared" si="3"/>
        <v>01</v>
      </c>
      <c r="E62" s="14">
        <v>0</v>
      </c>
      <c r="F62">
        <f t="shared" si="1"/>
        <v>1</v>
      </c>
      <c r="G62" s="41" t="str">
        <f t="shared" si="2"/>
        <v>01</v>
      </c>
    </row>
    <row r="63" spans="1:7" x14ac:dyDescent="0.6">
      <c r="A63" t="str">
        <f t="shared" si="0"/>
        <v>20260123_0061</v>
      </c>
      <c r="B63" s="12">
        <v>46045</v>
      </c>
      <c r="C63" s="13">
        <v>61</v>
      </c>
      <c r="D63" s="4" t="str">
        <f t="shared" si="3"/>
        <v>01</v>
      </c>
      <c r="E63" s="14">
        <v>0</v>
      </c>
      <c r="F63">
        <f t="shared" si="1"/>
        <v>1</v>
      </c>
      <c r="G63" s="41" t="str">
        <f t="shared" si="2"/>
        <v>01</v>
      </c>
    </row>
    <row r="64" spans="1:7" x14ac:dyDescent="0.6">
      <c r="A64" t="str">
        <f t="shared" si="0"/>
        <v>20260123_0062</v>
      </c>
      <c r="B64" s="12">
        <v>46045</v>
      </c>
      <c r="C64" s="13">
        <v>62</v>
      </c>
      <c r="D64" s="4" t="str">
        <f t="shared" si="3"/>
        <v>01</v>
      </c>
      <c r="E64" s="14">
        <v>0</v>
      </c>
      <c r="F64">
        <f t="shared" si="1"/>
        <v>1</v>
      </c>
      <c r="G64" s="41" t="str">
        <f t="shared" si="2"/>
        <v>01</v>
      </c>
    </row>
    <row r="65" spans="1:7" x14ac:dyDescent="0.6">
      <c r="A65" t="str">
        <f t="shared" si="0"/>
        <v>20260123_0063</v>
      </c>
      <c r="B65" s="12">
        <v>46045</v>
      </c>
      <c r="C65" s="13">
        <v>63</v>
      </c>
      <c r="D65" s="4" t="str">
        <f t="shared" si="3"/>
        <v>01</v>
      </c>
      <c r="E65" s="14">
        <v>0</v>
      </c>
      <c r="F65">
        <f t="shared" si="1"/>
        <v>1</v>
      </c>
      <c r="G65" s="41" t="str">
        <f t="shared" si="2"/>
        <v>01</v>
      </c>
    </row>
    <row r="66" spans="1:7" x14ac:dyDescent="0.6">
      <c r="A66" t="str">
        <f t="shared" ref="A66:A129" si="4">IF(B66="","",TEXT(B66,"yyyymmdd")&amp;"_"&amp;TEXT(C66,"0000"))</f>
        <v>20260123_0064</v>
      </c>
      <c r="B66" s="12">
        <v>46045</v>
      </c>
      <c r="C66" s="13">
        <v>64</v>
      </c>
      <c r="D66" s="4" t="str">
        <f t="shared" si="3"/>
        <v>01</v>
      </c>
      <c r="E66" s="14">
        <v>0</v>
      </c>
      <c r="F66">
        <f t="shared" ref="F66:F129" si="5">IF(C66="","",INT(C66/60))</f>
        <v>1</v>
      </c>
      <c r="G66" s="41" t="str">
        <f t="shared" ref="G66:G129" si="6">IF(D66="","",IF(LEN(UPPER(SUBSTITUTE(SUBSTITUTE(TRIM(D66),CHAR(160),"")," ","")))=1,"0"&amp;UPPER(SUBSTITUTE(SUBSTITUTE(TRIM(D66),CHAR(160),"")," ","")),UPPER(SUBSTITUTE(SUBSTITUTE(TRIM(D66),CHAR(160),"")," ",""))))</f>
        <v>01</v>
      </c>
    </row>
    <row r="67" spans="1:7" x14ac:dyDescent="0.6">
      <c r="A67" t="str">
        <f t="shared" si="4"/>
        <v>20260123_0065</v>
      </c>
      <c r="B67" s="12">
        <v>46045</v>
      </c>
      <c r="C67" s="13">
        <v>65</v>
      </c>
      <c r="D67" s="4" t="str">
        <f t="shared" ref="D67:D130" si="7">MID(I$1,$C67*2+1,2)</f>
        <v>01</v>
      </c>
      <c r="E67" s="14">
        <v>0</v>
      </c>
      <c r="F67">
        <f t="shared" si="5"/>
        <v>1</v>
      </c>
      <c r="G67" s="41" t="str">
        <f t="shared" si="6"/>
        <v>01</v>
      </c>
    </row>
    <row r="68" spans="1:7" x14ac:dyDescent="0.6">
      <c r="A68" t="str">
        <f t="shared" si="4"/>
        <v>20260123_0066</v>
      </c>
      <c r="B68" s="12">
        <v>46045</v>
      </c>
      <c r="C68" s="13">
        <v>66</v>
      </c>
      <c r="D68" s="4" t="str">
        <f t="shared" si="7"/>
        <v>01</v>
      </c>
      <c r="E68" s="14">
        <v>0</v>
      </c>
      <c r="F68">
        <f t="shared" si="5"/>
        <v>1</v>
      </c>
      <c r="G68" s="41" t="str">
        <f t="shared" si="6"/>
        <v>01</v>
      </c>
    </row>
    <row r="69" spans="1:7" x14ac:dyDescent="0.6">
      <c r="A69" t="str">
        <f t="shared" si="4"/>
        <v>20260123_0067</v>
      </c>
      <c r="B69" s="12">
        <v>46045</v>
      </c>
      <c r="C69" s="13">
        <v>67</v>
      </c>
      <c r="D69" s="4" t="str">
        <f t="shared" si="7"/>
        <v>01</v>
      </c>
      <c r="E69" s="14">
        <v>0</v>
      </c>
      <c r="F69">
        <f t="shared" si="5"/>
        <v>1</v>
      </c>
      <c r="G69" s="41" t="str">
        <f t="shared" si="6"/>
        <v>01</v>
      </c>
    </row>
    <row r="70" spans="1:7" x14ac:dyDescent="0.6">
      <c r="A70" t="str">
        <f t="shared" si="4"/>
        <v>20260123_0068</v>
      </c>
      <c r="B70" s="12">
        <v>46045</v>
      </c>
      <c r="C70" s="13">
        <v>68</v>
      </c>
      <c r="D70" s="4" t="str">
        <f t="shared" si="7"/>
        <v>01</v>
      </c>
      <c r="E70" s="14">
        <v>0</v>
      </c>
      <c r="F70">
        <f t="shared" si="5"/>
        <v>1</v>
      </c>
      <c r="G70" s="41" t="str">
        <f t="shared" si="6"/>
        <v>01</v>
      </c>
    </row>
    <row r="71" spans="1:7" x14ac:dyDescent="0.6">
      <c r="A71" t="str">
        <f t="shared" si="4"/>
        <v>20260123_0069</v>
      </c>
      <c r="B71" s="12">
        <v>46045</v>
      </c>
      <c r="C71" s="13">
        <v>69</v>
      </c>
      <c r="D71" s="4" t="str">
        <f t="shared" si="7"/>
        <v>01</v>
      </c>
      <c r="E71" s="14">
        <v>0</v>
      </c>
      <c r="F71">
        <f t="shared" si="5"/>
        <v>1</v>
      </c>
      <c r="G71" s="41" t="str">
        <f t="shared" si="6"/>
        <v>01</v>
      </c>
    </row>
    <row r="72" spans="1:7" x14ac:dyDescent="0.6">
      <c r="A72" t="str">
        <f t="shared" si="4"/>
        <v>20260123_0070</v>
      </c>
      <c r="B72" s="12">
        <v>46045</v>
      </c>
      <c r="C72" s="13">
        <v>70</v>
      </c>
      <c r="D72" s="4" t="str">
        <f t="shared" si="7"/>
        <v>01</v>
      </c>
      <c r="E72" s="14">
        <v>0</v>
      </c>
      <c r="F72">
        <f t="shared" si="5"/>
        <v>1</v>
      </c>
      <c r="G72" s="41" t="str">
        <f t="shared" si="6"/>
        <v>01</v>
      </c>
    </row>
    <row r="73" spans="1:7" x14ac:dyDescent="0.6">
      <c r="A73" t="str">
        <f t="shared" si="4"/>
        <v>20260123_0071</v>
      </c>
      <c r="B73" s="12">
        <v>46045</v>
      </c>
      <c r="C73" s="13">
        <v>71</v>
      </c>
      <c r="D73" s="4" t="str">
        <f t="shared" si="7"/>
        <v>01</v>
      </c>
      <c r="E73" s="14">
        <v>0</v>
      </c>
      <c r="F73">
        <f t="shared" si="5"/>
        <v>1</v>
      </c>
      <c r="G73" s="41" t="str">
        <f t="shared" si="6"/>
        <v>01</v>
      </c>
    </row>
    <row r="74" spans="1:7" x14ac:dyDescent="0.6">
      <c r="A74" t="str">
        <f t="shared" si="4"/>
        <v>20260123_0072</v>
      </c>
      <c r="B74" s="12">
        <v>46045</v>
      </c>
      <c r="C74" s="13">
        <v>72</v>
      </c>
      <c r="D74" s="4" t="str">
        <f t="shared" si="7"/>
        <v>01</v>
      </c>
      <c r="E74" s="14">
        <v>0</v>
      </c>
      <c r="F74">
        <f t="shared" si="5"/>
        <v>1</v>
      </c>
      <c r="G74" s="41" t="str">
        <f t="shared" si="6"/>
        <v>01</v>
      </c>
    </row>
    <row r="75" spans="1:7" x14ac:dyDescent="0.6">
      <c r="A75" t="str">
        <f t="shared" si="4"/>
        <v>20260123_0073</v>
      </c>
      <c r="B75" s="12">
        <v>46045</v>
      </c>
      <c r="C75" s="13">
        <v>73</v>
      </c>
      <c r="D75" s="4" t="str">
        <f t="shared" si="7"/>
        <v>01</v>
      </c>
      <c r="E75" s="14">
        <v>0</v>
      </c>
      <c r="F75">
        <f t="shared" si="5"/>
        <v>1</v>
      </c>
      <c r="G75" s="41" t="str">
        <f t="shared" si="6"/>
        <v>01</v>
      </c>
    </row>
    <row r="76" spans="1:7" x14ac:dyDescent="0.6">
      <c r="A76" t="str">
        <f t="shared" si="4"/>
        <v>20260123_0074</v>
      </c>
      <c r="B76" s="12">
        <v>46045</v>
      </c>
      <c r="C76" s="13">
        <v>74</v>
      </c>
      <c r="D76" s="4" t="str">
        <f t="shared" si="7"/>
        <v>01</v>
      </c>
      <c r="E76" s="14">
        <v>0</v>
      </c>
      <c r="F76">
        <f t="shared" si="5"/>
        <v>1</v>
      </c>
      <c r="G76" s="41" t="str">
        <f t="shared" si="6"/>
        <v>01</v>
      </c>
    </row>
    <row r="77" spans="1:7" x14ac:dyDescent="0.6">
      <c r="A77" t="str">
        <f t="shared" si="4"/>
        <v>20260123_0075</v>
      </c>
      <c r="B77" s="12">
        <v>46045</v>
      </c>
      <c r="C77" s="13">
        <v>75</v>
      </c>
      <c r="D77" s="4" t="str">
        <f t="shared" si="7"/>
        <v>01</v>
      </c>
      <c r="E77" s="14">
        <v>0</v>
      </c>
      <c r="F77">
        <f t="shared" si="5"/>
        <v>1</v>
      </c>
      <c r="G77" s="41" t="str">
        <f t="shared" si="6"/>
        <v>01</v>
      </c>
    </row>
    <row r="78" spans="1:7" x14ac:dyDescent="0.6">
      <c r="A78" t="str">
        <f t="shared" si="4"/>
        <v>20260123_0076</v>
      </c>
      <c r="B78" s="12">
        <v>46045</v>
      </c>
      <c r="C78" s="13">
        <v>76</v>
      </c>
      <c r="D78" s="4" t="str">
        <f t="shared" si="7"/>
        <v>01</v>
      </c>
      <c r="E78" s="14">
        <v>0</v>
      </c>
      <c r="F78">
        <f t="shared" si="5"/>
        <v>1</v>
      </c>
      <c r="G78" s="41" t="str">
        <f t="shared" si="6"/>
        <v>01</v>
      </c>
    </row>
    <row r="79" spans="1:7" x14ac:dyDescent="0.6">
      <c r="A79" t="str">
        <f t="shared" si="4"/>
        <v>20260123_0077</v>
      </c>
      <c r="B79" s="12">
        <v>46045</v>
      </c>
      <c r="C79" s="13">
        <v>77</v>
      </c>
      <c r="D79" s="4" t="str">
        <f t="shared" si="7"/>
        <v>01</v>
      </c>
      <c r="E79" s="14">
        <v>0</v>
      </c>
      <c r="F79">
        <f t="shared" si="5"/>
        <v>1</v>
      </c>
      <c r="G79" s="41" t="str">
        <f t="shared" si="6"/>
        <v>01</v>
      </c>
    </row>
    <row r="80" spans="1:7" x14ac:dyDescent="0.6">
      <c r="A80" t="str">
        <f t="shared" si="4"/>
        <v>20260123_0078</v>
      </c>
      <c r="B80" s="12">
        <v>46045</v>
      </c>
      <c r="C80" s="13">
        <v>78</v>
      </c>
      <c r="D80" s="4" t="str">
        <f t="shared" si="7"/>
        <v>01</v>
      </c>
      <c r="E80" s="14">
        <v>0</v>
      </c>
      <c r="F80">
        <f t="shared" si="5"/>
        <v>1</v>
      </c>
      <c r="G80" s="41" t="str">
        <f t="shared" si="6"/>
        <v>01</v>
      </c>
    </row>
    <row r="81" spans="1:7" x14ac:dyDescent="0.6">
      <c r="A81" t="str">
        <f t="shared" si="4"/>
        <v>20260123_0079</v>
      </c>
      <c r="B81" s="12">
        <v>46045</v>
      </c>
      <c r="C81" s="13">
        <v>79</v>
      </c>
      <c r="D81" s="4" t="str">
        <f t="shared" si="7"/>
        <v>01</v>
      </c>
      <c r="E81" s="14">
        <v>0</v>
      </c>
      <c r="F81">
        <f t="shared" si="5"/>
        <v>1</v>
      </c>
      <c r="G81" s="41" t="str">
        <f t="shared" si="6"/>
        <v>01</v>
      </c>
    </row>
    <row r="82" spans="1:7" x14ac:dyDescent="0.6">
      <c r="A82" t="str">
        <f t="shared" si="4"/>
        <v>20260123_0080</v>
      </c>
      <c r="B82" s="12">
        <v>46045</v>
      </c>
      <c r="C82" s="13">
        <v>80</v>
      </c>
      <c r="D82" s="4" t="str">
        <f t="shared" si="7"/>
        <v>01</v>
      </c>
      <c r="E82" s="14">
        <v>0</v>
      </c>
      <c r="F82">
        <f t="shared" si="5"/>
        <v>1</v>
      </c>
      <c r="G82" s="41" t="str">
        <f t="shared" si="6"/>
        <v>01</v>
      </c>
    </row>
    <row r="83" spans="1:7" x14ac:dyDescent="0.6">
      <c r="A83" t="str">
        <f t="shared" si="4"/>
        <v>20260123_0081</v>
      </c>
      <c r="B83" s="12">
        <v>46045</v>
      </c>
      <c r="C83" s="13">
        <v>81</v>
      </c>
      <c r="D83" s="4" t="str">
        <f t="shared" si="7"/>
        <v>01</v>
      </c>
      <c r="E83" s="14">
        <v>0</v>
      </c>
      <c r="F83">
        <f t="shared" si="5"/>
        <v>1</v>
      </c>
      <c r="G83" s="41" t="str">
        <f t="shared" si="6"/>
        <v>01</v>
      </c>
    </row>
    <row r="84" spans="1:7" x14ac:dyDescent="0.6">
      <c r="A84" t="str">
        <f t="shared" si="4"/>
        <v>20260123_0082</v>
      </c>
      <c r="B84" s="12">
        <v>46045</v>
      </c>
      <c r="C84" s="13">
        <v>82</v>
      </c>
      <c r="D84" s="4" t="str">
        <f t="shared" si="7"/>
        <v>01</v>
      </c>
      <c r="E84" s="14">
        <v>0</v>
      </c>
      <c r="F84">
        <f t="shared" si="5"/>
        <v>1</v>
      </c>
      <c r="G84" s="41" t="str">
        <f t="shared" si="6"/>
        <v>01</v>
      </c>
    </row>
    <row r="85" spans="1:7" x14ac:dyDescent="0.6">
      <c r="A85" t="str">
        <f t="shared" si="4"/>
        <v>20260123_0083</v>
      </c>
      <c r="B85" s="12">
        <v>46045</v>
      </c>
      <c r="C85" s="13">
        <v>83</v>
      </c>
      <c r="D85" s="4" t="str">
        <f t="shared" si="7"/>
        <v>01</v>
      </c>
      <c r="E85" s="14">
        <v>0</v>
      </c>
      <c r="F85">
        <f t="shared" si="5"/>
        <v>1</v>
      </c>
      <c r="G85" s="41" t="str">
        <f t="shared" si="6"/>
        <v>01</v>
      </c>
    </row>
    <row r="86" spans="1:7" x14ac:dyDescent="0.6">
      <c r="A86" t="str">
        <f t="shared" si="4"/>
        <v>20260123_0084</v>
      </c>
      <c r="B86" s="12">
        <v>46045</v>
      </c>
      <c r="C86" s="13">
        <v>84</v>
      </c>
      <c r="D86" s="4" t="str">
        <f t="shared" si="7"/>
        <v>01</v>
      </c>
      <c r="E86" s="14">
        <v>0</v>
      </c>
      <c r="F86">
        <f t="shared" si="5"/>
        <v>1</v>
      </c>
      <c r="G86" s="41" t="str">
        <f t="shared" si="6"/>
        <v>01</v>
      </c>
    </row>
    <row r="87" spans="1:7" x14ac:dyDescent="0.6">
      <c r="A87" t="str">
        <f t="shared" si="4"/>
        <v>20260123_0085</v>
      </c>
      <c r="B87" s="12">
        <v>46045</v>
      </c>
      <c r="C87" s="13">
        <v>85</v>
      </c>
      <c r="D87" s="4" t="str">
        <f t="shared" si="7"/>
        <v>01</v>
      </c>
      <c r="E87" s="14">
        <v>0</v>
      </c>
      <c r="F87">
        <f t="shared" si="5"/>
        <v>1</v>
      </c>
      <c r="G87" s="41" t="str">
        <f t="shared" si="6"/>
        <v>01</v>
      </c>
    </row>
    <row r="88" spans="1:7" x14ac:dyDescent="0.6">
      <c r="A88" t="str">
        <f t="shared" si="4"/>
        <v>20260123_0086</v>
      </c>
      <c r="B88" s="12">
        <v>46045</v>
      </c>
      <c r="C88" s="13">
        <v>86</v>
      </c>
      <c r="D88" s="4" t="str">
        <f t="shared" si="7"/>
        <v>01</v>
      </c>
      <c r="E88" s="14">
        <v>0</v>
      </c>
      <c r="F88">
        <f t="shared" si="5"/>
        <v>1</v>
      </c>
      <c r="G88" s="41" t="str">
        <f t="shared" si="6"/>
        <v>01</v>
      </c>
    </row>
    <row r="89" spans="1:7" x14ac:dyDescent="0.6">
      <c r="A89" t="str">
        <f t="shared" si="4"/>
        <v>20260123_0087</v>
      </c>
      <c r="B89" s="12">
        <v>46045</v>
      </c>
      <c r="C89" s="13">
        <v>87</v>
      </c>
      <c r="D89" s="4" t="str">
        <f t="shared" si="7"/>
        <v>01</v>
      </c>
      <c r="E89" s="14">
        <v>0</v>
      </c>
      <c r="F89">
        <f t="shared" si="5"/>
        <v>1</v>
      </c>
      <c r="G89" s="41" t="str">
        <f t="shared" si="6"/>
        <v>01</v>
      </c>
    </row>
    <row r="90" spans="1:7" x14ac:dyDescent="0.6">
      <c r="A90" t="str">
        <f t="shared" si="4"/>
        <v>20260123_0088</v>
      </c>
      <c r="B90" s="12">
        <v>46045</v>
      </c>
      <c r="C90" s="13">
        <v>88</v>
      </c>
      <c r="D90" s="4" t="str">
        <f t="shared" si="7"/>
        <v>00</v>
      </c>
      <c r="E90" s="14">
        <v>0</v>
      </c>
      <c r="F90">
        <f t="shared" si="5"/>
        <v>1</v>
      </c>
      <c r="G90" s="41" t="str">
        <f t="shared" si="6"/>
        <v>00</v>
      </c>
    </row>
    <row r="91" spans="1:7" x14ac:dyDescent="0.6">
      <c r="A91" t="str">
        <f t="shared" si="4"/>
        <v>20260123_0089</v>
      </c>
      <c r="B91" s="12">
        <v>46045</v>
      </c>
      <c r="C91" s="13">
        <v>89</v>
      </c>
      <c r="D91" s="4" t="str">
        <f t="shared" si="7"/>
        <v>01</v>
      </c>
      <c r="E91" s="14">
        <v>0</v>
      </c>
      <c r="F91">
        <f t="shared" si="5"/>
        <v>1</v>
      </c>
      <c r="G91" s="41" t="str">
        <f t="shared" si="6"/>
        <v>01</v>
      </c>
    </row>
    <row r="92" spans="1:7" x14ac:dyDescent="0.6">
      <c r="A92" t="str">
        <f t="shared" si="4"/>
        <v>20260123_0090</v>
      </c>
      <c r="B92" s="12">
        <v>46045</v>
      </c>
      <c r="C92" s="13">
        <v>90</v>
      </c>
      <c r="D92" s="4" t="str">
        <f t="shared" si="7"/>
        <v>01</v>
      </c>
      <c r="E92" s="14">
        <v>0</v>
      </c>
      <c r="F92">
        <f t="shared" si="5"/>
        <v>1</v>
      </c>
      <c r="G92" s="41" t="str">
        <f t="shared" si="6"/>
        <v>01</v>
      </c>
    </row>
    <row r="93" spans="1:7" x14ac:dyDescent="0.6">
      <c r="A93" t="str">
        <f t="shared" si="4"/>
        <v>20260123_0091</v>
      </c>
      <c r="B93" s="12">
        <v>46045</v>
      </c>
      <c r="C93" s="13">
        <v>91</v>
      </c>
      <c r="D93" s="4" t="str">
        <f t="shared" si="7"/>
        <v>00</v>
      </c>
      <c r="E93" s="14">
        <v>0</v>
      </c>
      <c r="F93">
        <f t="shared" si="5"/>
        <v>1</v>
      </c>
      <c r="G93" s="41" t="str">
        <f t="shared" si="6"/>
        <v>00</v>
      </c>
    </row>
    <row r="94" spans="1:7" x14ac:dyDescent="0.6">
      <c r="A94" t="str">
        <f t="shared" si="4"/>
        <v>20260123_0092</v>
      </c>
      <c r="B94" s="12">
        <v>46045</v>
      </c>
      <c r="C94" s="13">
        <v>92</v>
      </c>
      <c r="D94" s="4" t="str">
        <f t="shared" si="7"/>
        <v>00</v>
      </c>
      <c r="E94" s="14">
        <v>0</v>
      </c>
      <c r="F94">
        <f t="shared" si="5"/>
        <v>1</v>
      </c>
      <c r="G94" s="41" t="str">
        <f t="shared" si="6"/>
        <v>00</v>
      </c>
    </row>
    <row r="95" spans="1:7" x14ac:dyDescent="0.6">
      <c r="A95" t="str">
        <f t="shared" si="4"/>
        <v>20260123_0093</v>
      </c>
      <c r="B95" s="12">
        <v>46045</v>
      </c>
      <c r="C95" s="13">
        <v>93</v>
      </c>
      <c r="D95" s="4" t="str">
        <f t="shared" si="7"/>
        <v>00</v>
      </c>
      <c r="E95" s="14">
        <v>0</v>
      </c>
      <c r="F95">
        <f t="shared" si="5"/>
        <v>1</v>
      </c>
      <c r="G95" s="41" t="str">
        <f t="shared" si="6"/>
        <v>00</v>
      </c>
    </row>
    <row r="96" spans="1:7" x14ac:dyDescent="0.6">
      <c r="A96" t="str">
        <f t="shared" si="4"/>
        <v>20260123_0094</v>
      </c>
      <c r="B96" s="12">
        <v>46045</v>
      </c>
      <c r="C96" s="13">
        <v>94</v>
      </c>
      <c r="D96" s="4" t="str">
        <f t="shared" si="7"/>
        <v>00</v>
      </c>
      <c r="E96" s="14">
        <v>0</v>
      </c>
      <c r="F96">
        <f t="shared" si="5"/>
        <v>1</v>
      </c>
      <c r="G96" s="41" t="str">
        <f t="shared" si="6"/>
        <v>00</v>
      </c>
    </row>
    <row r="97" spans="1:7" x14ac:dyDescent="0.6">
      <c r="A97" t="str">
        <f t="shared" si="4"/>
        <v>20260123_0095</v>
      </c>
      <c r="B97" s="12">
        <v>46045</v>
      </c>
      <c r="C97" s="13">
        <v>95</v>
      </c>
      <c r="D97" s="4" t="str">
        <f t="shared" si="7"/>
        <v>00</v>
      </c>
      <c r="E97" s="14">
        <v>0</v>
      </c>
      <c r="F97">
        <f t="shared" si="5"/>
        <v>1</v>
      </c>
      <c r="G97" s="41" t="str">
        <f t="shared" si="6"/>
        <v>00</v>
      </c>
    </row>
    <row r="98" spans="1:7" x14ac:dyDescent="0.6">
      <c r="A98" t="str">
        <f t="shared" si="4"/>
        <v>20260123_0096</v>
      </c>
      <c r="B98" s="12">
        <v>46045</v>
      </c>
      <c r="C98" s="13">
        <v>96</v>
      </c>
      <c r="D98" s="4" t="str">
        <f t="shared" si="7"/>
        <v>00</v>
      </c>
      <c r="E98" s="14">
        <v>0</v>
      </c>
      <c r="F98">
        <f t="shared" si="5"/>
        <v>1</v>
      </c>
      <c r="G98" s="41" t="str">
        <f t="shared" si="6"/>
        <v>00</v>
      </c>
    </row>
    <row r="99" spans="1:7" x14ac:dyDescent="0.6">
      <c r="A99" t="str">
        <f t="shared" si="4"/>
        <v>20260123_0097</v>
      </c>
      <c r="B99" s="12">
        <v>46045</v>
      </c>
      <c r="C99" s="13">
        <v>97</v>
      </c>
      <c r="D99" s="4" t="str">
        <f t="shared" si="7"/>
        <v>00</v>
      </c>
      <c r="E99" s="14">
        <v>0</v>
      </c>
      <c r="F99">
        <f t="shared" si="5"/>
        <v>1</v>
      </c>
      <c r="G99" s="41" t="str">
        <f t="shared" si="6"/>
        <v>00</v>
      </c>
    </row>
    <row r="100" spans="1:7" x14ac:dyDescent="0.6">
      <c r="A100" t="str">
        <f t="shared" si="4"/>
        <v>20260123_0098</v>
      </c>
      <c r="B100" s="12">
        <v>46045</v>
      </c>
      <c r="C100" s="13">
        <v>98</v>
      </c>
      <c r="D100" s="4" t="str">
        <f t="shared" si="7"/>
        <v>00</v>
      </c>
      <c r="E100" s="14">
        <v>0</v>
      </c>
      <c r="F100">
        <f t="shared" si="5"/>
        <v>1</v>
      </c>
      <c r="G100" s="41" t="str">
        <f t="shared" si="6"/>
        <v>00</v>
      </c>
    </row>
    <row r="101" spans="1:7" x14ac:dyDescent="0.6">
      <c r="A101" t="str">
        <f t="shared" si="4"/>
        <v>20260123_0099</v>
      </c>
      <c r="B101" s="12">
        <v>46045</v>
      </c>
      <c r="C101" s="13">
        <v>99</v>
      </c>
      <c r="D101" s="4" t="str">
        <f t="shared" si="7"/>
        <v>01</v>
      </c>
      <c r="E101" s="14">
        <v>0</v>
      </c>
      <c r="F101">
        <f t="shared" si="5"/>
        <v>1</v>
      </c>
      <c r="G101" s="41" t="str">
        <f t="shared" si="6"/>
        <v>01</v>
      </c>
    </row>
    <row r="102" spans="1:7" x14ac:dyDescent="0.6">
      <c r="A102" t="str">
        <f t="shared" si="4"/>
        <v>20260123_0100</v>
      </c>
      <c r="B102" s="12">
        <v>46045</v>
      </c>
      <c r="C102" s="13">
        <v>100</v>
      </c>
      <c r="D102" s="4" t="str">
        <f t="shared" si="7"/>
        <v>14</v>
      </c>
      <c r="E102" s="14">
        <v>0</v>
      </c>
      <c r="F102">
        <f t="shared" si="5"/>
        <v>1</v>
      </c>
      <c r="G102" s="41" t="str">
        <f t="shared" si="6"/>
        <v>14</v>
      </c>
    </row>
    <row r="103" spans="1:7" x14ac:dyDescent="0.6">
      <c r="A103" t="str">
        <f t="shared" si="4"/>
        <v>20260123_0101</v>
      </c>
      <c r="B103" s="12">
        <v>46045</v>
      </c>
      <c r="C103" s="13">
        <v>101</v>
      </c>
      <c r="D103" s="4" t="str">
        <f t="shared" si="7"/>
        <v>1E</v>
      </c>
      <c r="E103" s="14">
        <v>0</v>
      </c>
      <c r="F103">
        <f t="shared" si="5"/>
        <v>1</v>
      </c>
      <c r="G103" s="41" t="str">
        <f t="shared" si="6"/>
        <v>1E</v>
      </c>
    </row>
    <row r="104" spans="1:7" x14ac:dyDescent="0.6">
      <c r="A104" t="str">
        <f t="shared" si="4"/>
        <v>20260123_0102</v>
      </c>
      <c r="B104" s="12">
        <v>46045</v>
      </c>
      <c r="C104" s="13">
        <v>102</v>
      </c>
      <c r="D104" s="4" t="str">
        <f t="shared" si="7"/>
        <v>01</v>
      </c>
      <c r="E104" s="14">
        <v>0</v>
      </c>
      <c r="F104">
        <f t="shared" si="5"/>
        <v>1</v>
      </c>
      <c r="G104" s="41" t="str">
        <f t="shared" si="6"/>
        <v>01</v>
      </c>
    </row>
    <row r="105" spans="1:7" x14ac:dyDescent="0.6">
      <c r="A105" t="str">
        <f t="shared" si="4"/>
        <v>20260123_0103</v>
      </c>
      <c r="B105" s="12">
        <v>46045</v>
      </c>
      <c r="C105" s="13">
        <v>103</v>
      </c>
      <c r="D105" s="4" t="str">
        <f t="shared" si="7"/>
        <v>00</v>
      </c>
      <c r="E105" s="14">
        <v>0</v>
      </c>
      <c r="F105">
        <f t="shared" si="5"/>
        <v>1</v>
      </c>
      <c r="G105" s="41" t="str">
        <f t="shared" si="6"/>
        <v>00</v>
      </c>
    </row>
    <row r="106" spans="1:7" x14ac:dyDescent="0.6">
      <c r="A106" t="str">
        <f t="shared" si="4"/>
        <v>20260123_0104</v>
      </c>
      <c r="B106" s="12">
        <v>46045</v>
      </c>
      <c r="C106" s="13">
        <v>104</v>
      </c>
      <c r="D106" s="4" t="str">
        <f t="shared" si="7"/>
        <v>14</v>
      </c>
      <c r="E106" s="14">
        <v>0</v>
      </c>
      <c r="F106">
        <f t="shared" si="5"/>
        <v>1</v>
      </c>
      <c r="G106" s="41" t="str">
        <f t="shared" si="6"/>
        <v>14</v>
      </c>
    </row>
    <row r="107" spans="1:7" x14ac:dyDescent="0.6">
      <c r="A107" t="str">
        <f t="shared" si="4"/>
        <v>20260123_0105</v>
      </c>
      <c r="B107" s="12">
        <v>46045</v>
      </c>
      <c r="C107" s="13">
        <v>105</v>
      </c>
      <c r="D107" s="4" t="str">
        <f t="shared" si="7"/>
        <v>14</v>
      </c>
      <c r="E107" s="14">
        <v>0</v>
      </c>
      <c r="F107">
        <f t="shared" si="5"/>
        <v>1</v>
      </c>
      <c r="G107" s="41" t="str">
        <f t="shared" si="6"/>
        <v>14</v>
      </c>
    </row>
    <row r="108" spans="1:7" x14ac:dyDescent="0.6">
      <c r="A108" t="str">
        <f t="shared" si="4"/>
        <v>20260123_0106</v>
      </c>
      <c r="B108" s="12">
        <v>46045</v>
      </c>
      <c r="C108" s="13">
        <v>106</v>
      </c>
      <c r="D108" s="4" t="str">
        <f t="shared" si="7"/>
        <v>00</v>
      </c>
      <c r="E108" s="14">
        <v>0</v>
      </c>
      <c r="F108">
        <f t="shared" si="5"/>
        <v>1</v>
      </c>
      <c r="G108" s="41" t="str">
        <f t="shared" si="6"/>
        <v>00</v>
      </c>
    </row>
    <row r="109" spans="1:7" x14ac:dyDescent="0.6">
      <c r="A109" t="str">
        <f t="shared" si="4"/>
        <v>20260123_0107</v>
      </c>
      <c r="B109" s="12">
        <v>46045</v>
      </c>
      <c r="C109" s="13">
        <v>107</v>
      </c>
      <c r="D109" s="4" t="str">
        <f t="shared" si="7"/>
        <v>00</v>
      </c>
      <c r="E109" s="14">
        <v>0</v>
      </c>
      <c r="F109">
        <f t="shared" si="5"/>
        <v>1</v>
      </c>
      <c r="G109" s="41" t="str">
        <f t="shared" si="6"/>
        <v>00</v>
      </c>
    </row>
    <row r="110" spans="1:7" x14ac:dyDescent="0.6">
      <c r="A110" t="str">
        <f t="shared" si="4"/>
        <v>20260123_0108</v>
      </c>
      <c r="B110" s="12">
        <v>46045</v>
      </c>
      <c r="C110" s="13">
        <v>108</v>
      </c>
      <c r="D110" s="4" t="str">
        <f t="shared" si="7"/>
        <v>00</v>
      </c>
      <c r="E110" s="14">
        <v>0</v>
      </c>
      <c r="F110">
        <f t="shared" si="5"/>
        <v>1</v>
      </c>
      <c r="G110" s="41" t="str">
        <f t="shared" si="6"/>
        <v>00</v>
      </c>
    </row>
    <row r="111" spans="1:7" x14ac:dyDescent="0.6">
      <c r="A111" t="str">
        <f t="shared" si="4"/>
        <v>20260123_0109</v>
      </c>
      <c r="B111" s="12">
        <v>46045</v>
      </c>
      <c r="C111" s="13">
        <v>109</v>
      </c>
      <c r="D111" s="4" t="str">
        <f t="shared" si="7"/>
        <v>0A</v>
      </c>
      <c r="E111" s="14">
        <v>0</v>
      </c>
      <c r="F111">
        <f t="shared" si="5"/>
        <v>1</v>
      </c>
      <c r="G111" s="41" t="str">
        <f t="shared" si="6"/>
        <v>0A</v>
      </c>
    </row>
    <row r="112" spans="1:7" x14ac:dyDescent="0.6">
      <c r="A112" t="str">
        <f t="shared" si="4"/>
        <v>20260123_0110</v>
      </c>
      <c r="B112" s="12">
        <v>46045</v>
      </c>
      <c r="C112" s="13">
        <v>110</v>
      </c>
      <c r="D112" s="4" t="str">
        <f t="shared" si="7"/>
        <v>01</v>
      </c>
      <c r="E112" s="14">
        <v>0</v>
      </c>
      <c r="F112">
        <f t="shared" si="5"/>
        <v>1</v>
      </c>
      <c r="G112" s="41" t="str">
        <f t="shared" si="6"/>
        <v>01</v>
      </c>
    </row>
    <row r="113" spans="1:7" x14ac:dyDescent="0.6">
      <c r="A113" t="str">
        <f t="shared" si="4"/>
        <v>20260123_0111</v>
      </c>
      <c r="B113" s="12">
        <v>46045</v>
      </c>
      <c r="C113" s="13">
        <v>111</v>
      </c>
      <c r="D113" s="4" t="str">
        <f t="shared" si="7"/>
        <v>00</v>
      </c>
      <c r="E113" s="14">
        <v>0</v>
      </c>
      <c r="F113">
        <f t="shared" si="5"/>
        <v>1</v>
      </c>
      <c r="G113" s="41" t="str">
        <f t="shared" si="6"/>
        <v>00</v>
      </c>
    </row>
    <row r="114" spans="1:7" x14ac:dyDescent="0.6">
      <c r="A114" t="str">
        <f t="shared" si="4"/>
        <v>20260123_0112</v>
      </c>
      <c r="B114" s="12">
        <v>46045</v>
      </c>
      <c r="C114" s="13">
        <v>112</v>
      </c>
      <c r="D114" s="4" t="str">
        <f t="shared" si="7"/>
        <v>00</v>
      </c>
      <c r="E114" s="14">
        <v>0</v>
      </c>
      <c r="F114">
        <f t="shared" si="5"/>
        <v>1</v>
      </c>
      <c r="G114" s="41" t="str">
        <f t="shared" si="6"/>
        <v>00</v>
      </c>
    </row>
    <row r="115" spans="1:7" x14ac:dyDescent="0.6">
      <c r="A115" t="str">
        <f t="shared" si="4"/>
        <v>20260123_0113</v>
      </c>
      <c r="B115" s="12">
        <v>46045</v>
      </c>
      <c r="C115" s="13">
        <v>113</v>
      </c>
      <c r="D115" s="4" t="str">
        <f t="shared" si="7"/>
        <v>01</v>
      </c>
      <c r="E115" s="14">
        <v>0</v>
      </c>
      <c r="F115">
        <f t="shared" si="5"/>
        <v>1</v>
      </c>
      <c r="G115" s="41" t="str">
        <f t="shared" si="6"/>
        <v>01</v>
      </c>
    </row>
    <row r="116" spans="1:7" x14ac:dyDescent="0.6">
      <c r="A116" t="str">
        <f t="shared" si="4"/>
        <v>20260123_0114</v>
      </c>
      <c r="B116" s="12">
        <v>46045</v>
      </c>
      <c r="C116" s="13">
        <v>114</v>
      </c>
      <c r="D116" s="4" t="str">
        <f t="shared" si="7"/>
        <v>01</v>
      </c>
      <c r="E116" s="14">
        <v>0</v>
      </c>
      <c r="F116">
        <f t="shared" si="5"/>
        <v>1</v>
      </c>
      <c r="G116" s="41" t="str">
        <f t="shared" si="6"/>
        <v>01</v>
      </c>
    </row>
    <row r="117" spans="1:7" x14ac:dyDescent="0.6">
      <c r="A117" t="str">
        <f t="shared" si="4"/>
        <v>20260123_0115</v>
      </c>
      <c r="B117" s="12">
        <v>46045</v>
      </c>
      <c r="C117" s="13">
        <v>115</v>
      </c>
      <c r="D117" s="4" t="str">
        <f t="shared" si="7"/>
        <v>01</v>
      </c>
      <c r="E117" s="14">
        <v>0</v>
      </c>
      <c r="F117">
        <f t="shared" si="5"/>
        <v>1</v>
      </c>
      <c r="G117" s="41" t="str">
        <f t="shared" si="6"/>
        <v>01</v>
      </c>
    </row>
    <row r="118" spans="1:7" x14ac:dyDescent="0.6">
      <c r="A118" t="str">
        <f t="shared" si="4"/>
        <v>20260123_0116</v>
      </c>
      <c r="B118" s="12">
        <v>46045</v>
      </c>
      <c r="C118" s="13">
        <v>116</v>
      </c>
      <c r="D118" s="4" t="str">
        <f t="shared" si="7"/>
        <v>01</v>
      </c>
      <c r="E118" s="14">
        <v>0</v>
      </c>
      <c r="F118">
        <f t="shared" si="5"/>
        <v>1</v>
      </c>
      <c r="G118" s="41" t="str">
        <f t="shared" si="6"/>
        <v>01</v>
      </c>
    </row>
    <row r="119" spans="1:7" x14ac:dyDescent="0.6">
      <c r="A119" t="str">
        <f t="shared" si="4"/>
        <v>20260123_0117</v>
      </c>
      <c r="B119" s="12">
        <v>46045</v>
      </c>
      <c r="C119" s="13">
        <v>117</v>
      </c>
      <c r="D119" s="4" t="str">
        <f t="shared" si="7"/>
        <v>01</v>
      </c>
      <c r="E119" s="14">
        <v>0</v>
      </c>
      <c r="F119">
        <f t="shared" si="5"/>
        <v>1</v>
      </c>
      <c r="G119" s="41" t="str">
        <f t="shared" si="6"/>
        <v>01</v>
      </c>
    </row>
    <row r="120" spans="1:7" x14ac:dyDescent="0.6">
      <c r="A120" t="str">
        <f t="shared" si="4"/>
        <v>20260123_0118</v>
      </c>
      <c r="B120" s="12">
        <v>46045</v>
      </c>
      <c r="C120" s="13">
        <v>118</v>
      </c>
      <c r="D120" s="4" t="str">
        <f t="shared" si="7"/>
        <v>01</v>
      </c>
      <c r="E120" s="14">
        <v>0</v>
      </c>
      <c r="F120">
        <f t="shared" si="5"/>
        <v>1</v>
      </c>
      <c r="G120" s="41" t="str">
        <f t="shared" si="6"/>
        <v>01</v>
      </c>
    </row>
    <row r="121" spans="1:7" x14ac:dyDescent="0.6">
      <c r="A121" t="str">
        <f t="shared" si="4"/>
        <v>20260123_0119</v>
      </c>
      <c r="B121" s="12">
        <v>46045</v>
      </c>
      <c r="C121" s="13">
        <v>119</v>
      </c>
      <c r="D121" s="4" t="str">
        <f t="shared" si="7"/>
        <v>00</v>
      </c>
      <c r="E121" s="14">
        <v>0</v>
      </c>
      <c r="F121">
        <f t="shared" si="5"/>
        <v>1</v>
      </c>
      <c r="G121" s="41" t="str">
        <f t="shared" si="6"/>
        <v>00</v>
      </c>
    </row>
    <row r="122" spans="1:7" x14ac:dyDescent="0.6">
      <c r="A122" t="str">
        <f t="shared" si="4"/>
        <v>20260123_0120</v>
      </c>
      <c r="B122" s="12">
        <v>46045</v>
      </c>
      <c r="C122" s="13">
        <v>120</v>
      </c>
      <c r="D122" s="4" t="str">
        <f t="shared" si="7"/>
        <v>01</v>
      </c>
      <c r="E122" s="14">
        <v>0</v>
      </c>
      <c r="F122">
        <f t="shared" si="5"/>
        <v>2</v>
      </c>
      <c r="G122" s="41" t="str">
        <f t="shared" si="6"/>
        <v>01</v>
      </c>
    </row>
    <row r="123" spans="1:7" x14ac:dyDescent="0.6">
      <c r="A123" t="str">
        <f t="shared" si="4"/>
        <v>20260123_0121</v>
      </c>
      <c r="B123" s="12">
        <v>46045</v>
      </c>
      <c r="C123" s="13">
        <v>121</v>
      </c>
      <c r="D123" s="4" t="str">
        <f t="shared" si="7"/>
        <v>01</v>
      </c>
      <c r="E123" s="14">
        <v>0</v>
      </c>
      <c r="F123">
        <f t="shared" si="5"/>
        <v>2</v>
      </c>
      <c r="G123" s="41" t="str">
        <f t="shared" si="6"/>
        <v>01</v>
      </c>
    </row>
    <row r="124" spans="1:7" x14ac:dyDescent="0.6">
      <c r="A124" t="str">
        <f t="shared" si="4"/>
        <v>20260123_0122</v>
      </c>
      <c r="B124" s="12">
        <v>46045</v>
      </c>
      <c r="C124" s="13">
        <v>122</v>
      </c>
      <c r="D124" s="4" t="str">
        <f t="shared" si="7"/>
        <v>01</v>
      </c>
      <c r="E124" s="14">
        <v>0</v>
      </c>
      <c r="F124">
        <f t="shared" si="5"/>
        <v>2</v>
      </c>
      <c r="G124" s="41" t="str">
        <f t="shared" si="6"/>
        <v>01</v>
      </c>
    </row>
    <row r="125" spans="1:7" x14ac:dyDescent="0.6">
      <c r="A125" t="str">
        <f t="shared" si="4"/>
        <v>20260123_0123</v>
      </c>
      <c r="B125" s="12">
        <v>46045</v>
      </c>
      <c r="C125" s="13">
        <v>123</v>
      </c>
      <c r="D125" s="4" t="str">
        <f t="shared" si="7"/>
        <v>01</v>
      </c>
      <c r="E125" s="14">
        <v>0</v>
      </c>
      <c r="F125">
        <f t="shared" si="5"/>
        <v>2</v>
      </c>
      <c r="G125" s="41" t="str">
        <f t="shared" si="6"/>
        <v>01</v>
      </c>
    </row>
    <row r="126" spans="1:7" x14ac:dyDescent="0.6">
      <c r="A126" t="str">
        <f t="shared" si="4"/>
        <v>20260123_0124</v>
      </c>
      <c r="B126" s="12">
        <v>46045</v>
      </c>
      <c r="C126" s="13">
        <v>124</v>
      </c>
      <c r="D126" s="4" t="str">
        <f t="shared" si="7"/>
        <v>01</v>
      </c>
      <c r="E126" s="14">
        <v>0</v>
      </c>
      <c r="F126">
        <f t="shared" si="5"/>
        <v>2</v>
      </c>
      <c r="G126" s="41" t="str">
        <f t="shared" si="6"/>
        <v>01</v>
      </c>
    </row>
    <row r="127" spans="1:7" x14ac:dyDescent="0.6">
      <c r="A127" t="str">
        <f t="shared" si="4"/>
        <v>20260123_0125</v>
      </c>
      <c r="B127" s="12">
        <v>46045</v>
      </c>
      <c r="C127" s="13">
        <v>125</v>
      </c>
      <c r="D127" s="4" t="str">
        <f t="shared" si="7"/>
        <v>01</v>
      </c>
      <c r="E127" s="14">
        <v>0</v>
      </c>
      <c r="F127">
        <f t="shared" si="5"/>
        <v>2</v>
      </c>
      <c r="G127" s="41" t="str">
        <f t="shared" si="6"/>
        <v>01</v>
      </c>
    </row>
    <row r="128" spans="1:7" x14ac:dyDescent="0.6">
      <c r="A128" t="str">
        <f t="shared" si="4"/>
        <v>20260123_0126</v>
      </c>
      <c r="B128" s="12">
        <v>46045</v>
      </c>
      <c r="C128" s="13">
        <v>126</v>
      </c>
      <c r="D128" s="4" t="str">
        <f t="shared" si="7"/>
        <v>01</v>
      </c>
      <c r="E128" s="14">
        <v>0</v>
      </c>
      <c r="F128">
        <f t="shared" si="5"/>
        <v>2</v>
      </c>
      <c r="G128" s="41" t="str">
        <f t="shared" si="6"/>
        <v>01</v>
      </c>
    </row>
    <row r="129" spans="1:7" x14ac:dyDescent="0.6">
      <c r="A129" t="str">
        <f t="shared" si="4"/>
        <v>20260123_0127</v>
      </c>
      <c r="B129" s="12">
        <v>46045</v>
      </c>
      <c r="C129" s="13">
        <v>127</v>
      </c>
      <c r="D129" s="4" t="str">
        <f t="shared" si="7"/>
        <v>01</v>
      </c>
      <c r="E129" s="14">
        <v>0</v>
      </c>
      <c r="F129">
        <f t="shared" si="5"/>
        <v>2</v>
      </c>
      <c r="G129" s="41" t="str">
        <f t="shared" si="6"/>
        <v>01</v>
      </c>
    </row>
    <row r="130" spans="1:7" x14ac:dyDescent="0.6">
      <c r="A130" t="str">
        <f t="shared" ref="A130:A193" si="8">IF(B130="","",TEXT(B130,"yyyymmdd")&amp;"_"&amp;TEXT(C130,"0000"))</f>
        <v>20260123_0128</v>
      </c>
      <c r="B130" s="12">
        <v>46045</v>
      </c>
      <c r="C130" s="13">
        <v>128</v>
      </c>
      <c r="D130" s="4" t="str">
        <f t="shared" si="7"/>
        <v>01</v>
      </c>
      <c r="E130" s="14">
        <v>0</v>
      </c>
      <c r="F130">
        <f t="shared" ref="F130:F193" si="9">IF(C130="","",INT(C130/60))</f>
        <v>2</v>
      </c>
      <c r="G130" s="41" t="str">
        <f t="shared" ref="G130:G193" si="10">IF(D130="","",IF(LEN(UPPER(SUBSTITUTE(SUBSTITUTE(TRIM(D130),CHAR(160),"")," ","")))=1,"0"&amp;UPPER(SUBSTITUTE(SUBSTITUTE(TRIM(D130),CHAR(160),"")," ","")),UPPER(SUBSTITUTE(SUBSTITUTE(TRIM(D130),CHAR(160),"")," ",""))))</f>
        <v>01</v>
      </c>
    </row>
    <row r="131" spans="1:7" x14ac:dyDescent="0.6">
      <c r="A131" t="str">
        <f t="shared" si="8"/>
        <v>20260123_0129</v>
      </c>
      <c r="B131" s="12">
        <v>46045</v>
      </c>
      <c r="C131" s="13">
        <v>129</v>
      </c>
      <c r="D131" s="4" t="str">
        <f t="shared" ref="D131:D194" si="11">MID(I$1,$C131*2+1,2)</f>
        <v>01</v>
      </c>
      <c r="E131" s="14">
        <v>0</v>
      </c>
      <c r="F131">
        <f t="shared" si="9"/>
        <v>2</v>
      </c>
      <c r="G131" s="41" t="str">
        <f t="shared" si="10"/>
        <v>01</v>
      </c>
    </row>
    <row r="132" spans="1:7" x14ac:dyDescent="0.6">
      <c r="A132" t="str">
        <f t="shared" si="8"/>
        <v>20260123_0130</v>
      </c>
      <c r="B132" s="12">
        <v>46045</v>
      </c>
      <c r="C132" s="13">
        <v>130</v>
      </c>
      <c r="D132" s="4" t="str">
        <f t="shared" si="11"/>
        <v>01</v>
      </c>
      <c r="E132" s="14">
        <v>0</v>
      </c>
      <c r="F132">
        <f t="shared" si="9"/>
        <v>2</v>
      </c>
      <c r="G132" s="41" t="str">
        <f t="shared" si="10"/>
        <v>01</v>
      </c>
    </row>
    <row r="133" spans="1:7" x14ac:dyDescent="0.6">
      <c r="A133" t="str">
        <f t="shared" si="8"/>
        <v>20260123_0131</v>
      </c>
      <c r="B133" s="12">
        <v>46045</v>
      </c>
      <c r="C133" s="13">
        <v>131</v>
      </c>
      <c r="D133" s="4" t="str">
        <f t="shared" si="11"/>
        <v>01</v>
      </c>
      <c r="E133" s="14">
        <v>0</v>
      </c>
      <c r="F133">
        <f t="shared" si="9"/>
        <v>2</v>
      </c>
      <c r="G133" s="41" t="str">
        <f t="shared" si="10"/>
        <v>01</v>
      </c>
    </row>
    <row r="134" spans="1:7" x14ac:dyDescent="0.6">
      <c r="A134" t="str">
        <f t="shared" si="8"/>
        <v>20260123_0132</v>
      </c>
      <c r="B134" s="12">
        <v>46045</v>
      </c>
      <c r="C134" s="13">
        <v>132</v>
      </c>
      <c r="D134" s="4" t="str">
        <f t="shared" si="11"/>
        <v>01</v>
      </c>
      <c r="E134" s="14">
        <v>0</v>
      </c>
      <c r="F134">
        <f t="shared" si="9"/>
        <v>2</v>
      </c>
      <c r="G134" s="41" t="str">
        <f t="shared" si="10"/>
        <v>01</v>
      </c>
    </row>
    <row r="135" spans="1:7" x14ac:dyDescent="0.6">
      <c r="A135" t="str">
        <f t="shared" si="8"/>
        <v>20260123_0133</v>
      </c>
      <c r="B135" s="12">
        <v>46045</v>
      </c>
      <c r="C135" s="13">
        <v>133</v>
      </c>
      <c r="D135" s="4" t="str">
        <f t="shared" si="11"/>
        <v>00</v>
      </c>
      <c r="E135" s="14">
        <v>0</v>
      </c>
      <c r="F135">
        <f t="shared" si="9"/>
        <v>2</v>
      </c>
      <c r="G135" s="41" t="str">
        <f t="shared" si="10"/>
        <v>00</v>
      </c>
    </row>
    <row r="136" spans="1:7" x14ac:dyDescent="0.6">
      <c r="A136" t="str">
        <f t="shared" si="8"/>
        <v>20260123_0134</v>
      </c>
      <c r="B136" s="12">
        <v>46045</v>
      </c>
      <c r="C136" s="13">
        <v>134</v>
      </c>
      <c r="D136" s="4" t="str">
        <f t="shared" si="11"/>
        <v>01</v>
      </c>
      <c r="E136" s="14">
        <v>0</v>
      </c>
      <c r="F136">
        <f t="shared" si="9"/>
        <v>2</v>
      </c>
      <c r="G136" s="41" t="str">
        <f t="shared" si="10"/>
        <v>01</v>
      </c>
    </row>
    <row r="137" spans="1:7" x14ac:dyDescent="0.6">
      <c r="A137" t="str">
        <f t="shared" si="8"/>
        <v>20260123_0135</v>
      </c>
      <c r="B137" s="12">
        <v>46045</v>
      </c>
      <c r="C137" s="13">
        <v>135</v>
      </c>
      <c r="D137" s="4" t="str">
        <f t="shared" si="11"/>
        <v>01</v>
      </c>
      <c r="E137" s="14">
        <v>0</v>
      </c>
      <c r="F137">
        <f t="shared" si="9"/>
        <v>2</v>
      </c>
      <c r="G137" s="41" t="str">
        <f t="shared" si="10"/>
        <v>01</v>
      </c>
    </row>
    <row r="138" spans="1:7" x14ac:dyDescent="0.6">
      <c r="A138" t="str">
        <f t="shared" si="8"/>
        <v>20260123_0136</v>
      </c>
      <c r="B138" s="12">
        <v>46045</v>
      </c>
      <c r="C138" s="13">
        <v>136</v>
      </c>
      <c r="D138" s="4" t="str">
        <f t="shared" si="11"/>
        <v>01</v>
      </c>
      <c r="E138" s="14">
        <v>0</v>
      </c>
      <c r="F138">
        <f t="shared" si="9"/>
        <v>2</v>
      </c>
      <c r="G138" s="41" t="str">
        <f t="shared" si="10"/>
        <v>01</v>
      </c>
    </row>
    <row r="139" spans="1:7" x14ac:dyDescent="0.6">
      <c r="A139" t="str">
        <f t="shared" si="8"/>
        <v>20260123_0137</v>
      </c>
      <c r="B139" s="12">
        <v>46045</v>
      </c>
      <c r="C139" s="13">
        <v>137</v>
      </c>
      <c r="D139" s="4" t="str">
        <f t="shared" si="11"/>
        <v>01</v>
      </c>
      <c r="E139" s="14">
        <v>0</v>
      </c>
      <c r="F139">
        <f t="shared" si="9"/>
        <v>2</v>
      </c>
      <c r="G139" s="41" t="str">
        <f t="shared" si="10"/>
        <v>01</v>
      </c>
    </row>
    <row r="140" spans="1:7" x14ac:dyDescent="0.6">
      <c r="A140" t="str">
        <f t="shared" si="8"/>
        <v>20260123_0138</v>
      </c>
      <c r="B140" s="12">
        <v>46045</v>
      </c>
      <c r="C140" s="13">
        <v>138</v>
      </c>
      <c r="D140" s="4" t="str">
        <f t="shared" si="11"/>
        <v>01</v>
      </c>
      <c r="E140" s="14">
        <v>0</v>
      </c>
      <c r="F140">
        <f t="shared" si="9"/>
        <v>2</v>
      </c>
      <c r="G140" s="41" t="str">
        <f t="shared" si="10"/>
        <v>01</v>
      </c>
    </row>
    <row r="141" spans="1:7" x14ac:dyDescent="0.6">
      <c r="A141" t="str">
        <f t="shared" si="8"/>
        <v>20260123_0139</v>
      </c>
      <c r="B141" s="12">
        <v>46045</v>
      </c>
      <c r="C141" s="13">
        <v>139</v>
      </c>
      <c r="D141" s="4" t="str">
        <f t="shared" si="11"/>
        <v>01</v>
      </c>
      <c r="E141" s="14">
        <v>0</v>
      </c>
      <c r="F141">
        <f t="shared" si="9"/>
        <v>2</v>
      </c>
      <c r="G141" s="41" t="str">
        <f t="shared" si="10"/>
        <v>01</v>
      </c>
    </row>
    <row r="142" spans="1:7" x14ac:dyDescent="0.6">
      <c r="A142" t="str">
        <f t="shared" si="8"/>
        <v>20260123_0140</v>
      </c>
      <c r="B142" s="12">
        <v>46045</v>
      </c>
      <c r="C142" s="13">
        <v>140</v>
      </c>
      <c r="D142" s="4" t="str">
        <f t="shared" si="11"/>
        <v>01</v>
      </c>
      <c r="E142" s="14">
        <v>0</v>
      </c>
      <c r="F142">
        <f t="shared" si="9"/>
        <v>2</v>
      </c>
      <c r="G142" s="41" t="str">
        <f t="shared" si="10"/>
        <v>01</v>
      </c>
    </row>
    <row r="143" spans="1:7" x14ac:dyDescent="0.6">
      <c r="A143" t="str">
        <f t="shared" si="8"/>
        <v>20260123_0141</v>
      </c>
      <c r="B143" s="12">
        <v>46045</v>
      </c>
      <c r="C143" s="13">
        <v>141</v>
      </c>
      <c r="D143" s="4" t="str">
        <f t="shared" si="11"/>
        <v>01</v>
      </c>
      <c r="E143" s="14">
        <v>0</v>
      </c>
      <c r="F143">
        <f t="shared" si="9"/>
        <v>2</v>
      </c>
      <c r="G143" s="41" t="str">
        <f t="shared" si="10"/>
        <v>01</v>
      </c>
    </row>
    <row r="144" spans="1:7" x14ac:dyDescent="0.6">
      <c r="A144" t="str">
        <f t="shared" si="8"/>
        <v>20260123_0142</v>
      </c>
      <c r="B144" s="12">
        <v>46045</v>
      </c>
      <c r="C144" s="13">
        <v>142</v>
      </c>
      <c r="D144" s="4" t="str">
        <f t="shared" si="11"/>
        <v>01</v>
      </c>
      <c r="E144" s="14">
        <v>0</v>
      </c>
      <c r="F144">
        <f t="shared" si="9"/>
        <v>2</v>
      </c>
      <c r="G144" s="41" t="str">
        <f t="shared" si="10"/>
        <v>01</v>
      </c>
    </row>
    <row r="145" spans="1:7" x14ac:dyDescent="0.6">
      <c r="A145" t="str">
        <f t="shared" si="8"/>
        <v>20260123_0143</v>
      </c>
      <c r="B145" s="12">
        <v>46045</v>
      </c>
      <c r="C145" s="13">
        <v>143</v>
      </c>
      <c r="D145" s="4" t="str">
        <f t="shared" si="11"/>
        <v>01</v>
      </c>
      <c r="E145" s="14">
        <v>0</v>
      </c>
      <c r="F145">
        <f t="shared" si="9"/>
        <v>2</v>
      </c>
      <c r="G145" s="41" t="str">
        <f t="shared" si="10"/>
        <v>01</v>
      </c>
    </row>
    <row r="146" spans="1:7" x14ac:dyDescent="0.6">
      <c r="A146" t="str">
        <f t="shared" si="8"/>
        <v>20260123_0144</v>
      </c>
      <c r="B146" s="12">
        <v>46045</v>
      </c>
      <c r="C146" s="13">
        <v>144</v>
      </c>
      <c r="D146" s="4" t="str">
        <f t="shared" si="11"/>
        <v>00</v>
      </c>
      <c r="E146" s="14">
        <v>0</v>
      </c>
      <c r="F146">
        <f t="shared" si="9"/>
        <v>2</v>
      </c>
      <c r="G146" s="41" t="str">
        <f t="shared" si="10"/>
        <v>00</v>
      </c>
    </row>
    <row r="147" spans="1:7" x14ac:dyDescent="0.6">
      <c r="A147" t="str">
        <f t="shared" si="8"/>
        <v>20260123_0145</v>
      </c>
      <c r="B147" s="12">
        <v>46045</v>
      </c>
      <c r="C147" s="13">
        <v>145</v>
      </c>
      <c r="D147" s="4" t="str">
        <f t="shared" si="11"/>
        <v>0A</v>
      </c>
      <c r="E147" s="14">
        <v>0</v>
      </c>
      <c r="F147">
        <f t="shared" si="9"/>
        <v>2</v>
      </c>
      <c r="G147" s="41" t="str">
        <f t="shared" si="10"/>
        <v>0A</v>
      </c>
    </row>
    <row r="148" spans="1:7" x14ac:dyDescent="0.6">
      <c r="A148" t="str">
        <f t="shared" si="8"/>
        <v>20260123_0146</v>
      </c>
      <c r="B148" s="12">
        <v>46045</v>
      </c>
      <c r="C148" s="13">
        <v>146</v>
      </c>
      <c r="D148" s="4" t="str">
        <f t="shared" si="11"/>
        <v>00</v>
      </c>
      <c r="E148" s="14">
        <v>0</v>
      </c>
      <c r="F148">
        <f t="shared" si="9"/>
        <v>2</v>
      </c>
      <c r="G148" s="41" t="str">
        <f t="shared" si="10"/>
        <v>00</v>
      </c>
    </row>
    <row r="149" spans="1:7" x14ac:dyDescent="0.6">
      <c r="A149" t="str">
        <f t="shared" si="8"/>
        <v>20260123_0147</v>
      </c>
      <c r="B149" s="12">
        <v>46045</v>
      </c>
      <c r="C149" s="13">
        <v>147</v>
      </c>
      <c r="D149" s="4" t="str">
        <f t="shared" si="11"/>
        <v>00</v>
      </c>
      <c r="E149" s="14">
        <v>0</v>
      </c>
      <c r="F149">
        <f t="shared" si="9"/>
        <v>2</v>
      </c>
      <c r="G149" s="41" t="str">
        <f t="shared" si="10"/>
        <v>00</v>
      </c>
    </row>
    <row r="150" spans="1:7" x14ac:dyDescent="0.6">
      <c r="A150" t="str">
        <f t="shared" si="8"/>
        <v>20260123_0148</v>
      </c>
      <c r="B150" s="12">
        <v>46045</v>
      </c>
      <c r="C150" s="13">
        <v>148</v>
      </c>
      <c r="D150" s="4" t="str">
        <f t="shared" si="11"/>
        <v>00</v>
      </c>
      <c r="E150" s="14">
        <v>0</v>
      </c>
      <c r="F150">
        <f t="shared" si="9"/>
        <v>2</v>
      </c>
      <c r="G150" s="41" t="str">
        <f t="shared" si="10"/>
        <v>00</v>
      </c>
    </row>
    <row r="151" spans="1:7" x14ac:dyDescent="0.6">
      <c r="A151" t="str">
        <f t="shared" si="8"/>
        <v>20260123_0149</v>
      </c>
      <c r="B151" s="12">
        <v>46045</v>
      </c>
      <c r="C151" s="13">
        <v>149</v>
      </c>
      <c r="D151" s="4" t="str">
        <f t="shared" si="11"/>
        <v>00</v>
      </c>
      <c r="E151" s="14">
        <v>0</v>
      </c>
      <c r="F151">
        <f t="shared" si="9"/>
        <v>2</v>
      </c>
      <c r="G151" s="41" t="str">
        <f t="shared" si="10"/>
        <v>00</v>
      </c>
    </row>
    <row r="152" spans="1:7" x14ac:dyDescent="0.6">
      <c r="A152" t="str">
        <f t="shared" si="8"/>
        <v>20260123_0150</v>
      </c>
      <c r="B152" s="12">
        <v>46045</v>
      </c>
      <c r="C152" s="13">
        <v>150</v>
      </c>
      <c r="D152" s="4" t="str">
        <f t="shared" si="11"/>
        <v>00</v>
      </c>
      <c r="E152" s="14">
        <v>0</v>
      </c>
      <c r="F152">
        <f t="shared" si="9"/>
        <v>2</v>
      </c>
      <c r="G152" s="41" t="str">
        <f t="shared" si="10"/>
        <v>00</v>
      </c>
    </row>
    <row r="153" spans="1:7" x14ac:dyDescent="0.6">
      <c r="A153" t="str">
        <f t="shared" si="8"/>
        <v>20260123_0151</v>
      </c>
      <c r="B153" s="12">
        <v>46045</v>
      </c>
      <c r="C153" s="13">
        <v>151</v>
      </c>
      <c r="D153" s="4" t="str">
        <f t="shared" si="11"/>
        <v>00</v>
      </c>
      <c r="E153" s="14">
        <v>0</v>
      </c>
      <c r="F153">
        <f t="shared" si="9"/>
        <v>2</v>
      </c>
      <c r="G153" s="41" t="str">
        <f t="shared" si="10"/>
        <v>00</v>
      </c>
    </row>
    <row r="154" spans="1:7" x14ac:dyDescent="0.6">
      <c r="A154" t="str">
        <f t="shared" si="8"/>
        <v>20260123_0152</v>
      </c>
      <c r="B154" s="12">
        <v>46045</v>
      </c>
      <c r="C154" s="13">
        <v>152</v>
      </c>
      <c r="D154" s="4" t="str">
        <f t="shared" si="11"/>
        <v>00</v>
      </c>
      <c r="E154" s="14">
        <v>0</v>
      </c>
      <c r="F154">
        <f t="shared" si="9"/>
        <v>2</v>
      </c>
      <c r="G154" s="41" t="str">
        <f t="shared" si="10"/>
        <v>00</v>
      </c>
    </row>
    <row r="155" spans="1:7" x14ac:dyDescent="0.6">
      <c r="A155" t="str">
        <f t="shared" si="8"/>
        <v>20260123_0153</v>
      </c>
      <c r="B155" s="12">
        <v>46045</v>
      </c>
      <c r="C155" s="13">
        <v>153</v>
      </c>
      <c r="D155" s="4" t="str">
        <f t="shared" si="11"/>
        <v>00</v>
      </c>
      <c r="E155" s="14">
        <v>0</v>
      </c>
      <c r="F155">
        <f t="shared" si="9"/>
        <v>2</v>
      </c>
      <c r="G155" s="41" t="str">
        <f t="shared" si="10"/>
        <v>00</v>
      </c>
    </row>
    <row r="156" spans="1:7" x14ac:dyDescent="0.6">
      <c r="A156" t="str">
        <f t="shared" si="8"/>
        <v>20260123_0154</v>
      </c>
      <c r="B156" s="12">
        <v>46045</v>
      </c>
      <c r="C156" s="13">
        <v>154</v>
      </c>
      <c r="D156" s="4" t="str">
        <f t="shared" si="11"/>
        <v>00</v>
      </c>
      <c r="E156" s="14">
        <v>0</v>
      </c>
      <c r="F156">
        <f t="shared" si="9"/>
        <v>2</v>
      </c>
      <c r="G156" s="41" t="str">
        <f t="shared" si="10"/>
        <v>00</v>
      </c>
    </row>
    <row r="157" spans="1:7" x14ac:dyDescent="0.6">
      <c r="A157" t="str">
        <f t="shared" si="8"/>
        <v>20260123_0155</v>
      </c>
      <c r="B157" s="12">
        <v>46045</v>
      </c>
      <c r="C157" s="13">
        <v>155</v>
      </c>
      <c r="D157" s="4" t="str">
        <f t="shared" si="11"/>
        <v>00</v>
      </c>
      <c r="E157" s="14">
        <v>0</v>
      </c>
      <c r="F157">
        <f t="shared" si="9"/>
        <v>2</v>
      </c>
      <c r="G157" s="41" t="str">
        <f t="shared" si="10"/>
        <v>00</v>
      </c>
    </row>
    <row r="158" spans="1:7" x14ac:dyDescent="0.6">
      <c r="A158" t="str">
        <f t="shared" si="8"/>
        <v>20260123_0156</v>
      </c>
      <c r="B158" s="12">
        <v>46045</v>
      </c>
      <c r="C158" s="13">
        <v>156</v>
      </c>
      <c r="D158" s="4" t="str">
        <f t="shared" si="11"/>
        <v>00</v>
      </c>
      <c r="E158" s="14">
        <v>0</v>
      </c>
      <c r="F158">
        <f t="shared" si="9"/>
        <v>2</v>
      </c>
      <c r="G158" s="41" t="str">
        <f t="shared" si="10"/>
        <v>00</v>
      </c>
    </row>
    <row r="159" spans="1:7" x14ac:dyDescent="0.6">
      <c r="A159" t="str">
        <f t="shared" si="8"/>
        <v>20260123_0157</v>
      </c>
      <c r="B159" s="12">
        <v>46045</v>
      </c>
      <c r="C159" s="13">
        <v>157</v>
      </c>
      <c r="D159" s="4" t="str">
        <f t="shared" si="11"/>
        <v>00</v>
      </c>
      <c r="E159" s="14">
        <v>0</v>
      </c>
      <c r="F159">
        <f t="shared" si="9"/>
        <v>2</v>
      </c>
      <c r="G159" s="41" t="str">
        <f t="shared" si="10"/>
        <v>00</v>
      </c>
    </row>
    <row r="160" spans="1:7" x14ac:dyDescent="0.6">
      <c r="A160" t="str">
        <f t="shared" si="8"/>
        <v>20260123_0158</v>
      </c>
      <c r="B160" s="12">
        <v>46045</v>
      </c>
      <c r="C160" s="13">
        <v>158</v>
      </c>
      <c r="D160" s="4" t="str">
        <f t="shared" si="11"/>
        <v>00</v>
      </c>
      <c r="E160" s="14">
        <v>0</v>
      </c>
      <c r="F160">
        <f t="shared" si="9"/>
        <v>2</v>
      </c>
      <c r="G160" s="41" t="str">
        <f t="shared" si="10"/>
        <v>00</v>
      </c>
    </row>
    <row r="161" spans="1:7" x14ac:dyDescent="0.6">
      <c r="A161" t="str">
        <f t="shared" si="8"/>
        <v>20260123_0159</v>
      </c>
      <c r="B161" s="12">
        <v>46045</v>
      </c>
      <c r="C161" s="13">
        <v>159</v>
      </c>
      <c r="D161" s="4" t="str">
        <f t="shared" si="11"/>
        <v>00</v>
      </c>
      <c r="E161" s="14">
        <v>0</v>
      </c>
      <c r="F161">
        <f t="shared" si="9"/>
        <v>2</v>
      </c>
      <c r="G161" s="41" t="str">
        <f t="shared" si="10"/>
        <v>00</v>
      </c>
    </row>
    <row r="162" spans="1:7" x14ac:dyDescent="0.6">
      <c r="A162" t="str">
        <f t="shared" si="8"/>
        <v>20260123_0160</v>
      </c>
      <c r="B162" s="12">
        <v>46045</v>
      </c>
      <c r="C162" s="13">
        <v>160</v>
      </c>
      <c r="D162" s="4" t="str">
        <f t="shared" si="11"/>
        <v>00</v>
      </c>
      <c r="E162" s="14">
        <v>0</v>
      </c>
      <c r="F162">
        <f t="shared" si="9"/>
        <v>2</v>
      </c>
      <c r="G162" s="41" t="str">
        <f t="shared" si="10"/>
        <v>00</v>
      </c>
    </row>
    <row r="163" spans="1:7" x14ac:dyDescent="0.6">
      <c r="A163" t="str">
        <f t="shared" si="8"/>
        <v>20260123_0161</v>
      </c>
      <c r="B163" s="12">
        <v>46045</v>
      </c>
      <c r="C163" s="13">
        <v>161</v>
      </c>
      <c r="D163" s="4" t="str">
        <f t="shared" si="11"/>
        <v>00</v>
      </c>
      <c r="E163" s="14">
        <v>0</v>
      </c>
      <c r="F163">
        <f t="shared" si="9"/>
        <v>2</v>
      </c>
      <c r="G163" s="41" t="str">
        <f t="shared" si="10"/>
        <v>00</v>
      </c>
    </row>
    <row r="164" spans="1:7" x14ac:dyDescent="0.6">
      <c r="A164" t="str">
        <f t="shared" si="8"/>
        <v>20260123_0162</v>
      </c>
      <c r="B164" s="12">
        <v>46045</v>
      </c>
      <c r="C164" s="13">
        <v>162</v>
      </c>
      <c r="D164" s="4" t="str">
        <f t="shared" si="11"/>
        <v>00</v>
      </c>
      <c r="E164" s="14">
        <v>0</v>
      </c>
      <c r="F164">
        <f t="shared" si="9"/>
        <v>2</v>
      </c>
      <c r="G164" s="41" t="str">
        <f t="shared" si="10"/>
        <v>00</v>
      </c>
    </row>
    <row r="165" spans="1:7" x14ac:dyDescent="0.6">
      <c r="A165" t="str">
        <f t="shared" si="8"/>
        <v>20260123_0163</v>
      </c>
      <c r="B165" s="12">
        <v>46045</v>
      </c>
      <c r="C165" s="13">
        <v>163</v>
      </c>
      <c r="D165" s="4" t="str">
        <f t="shared" si="11"/>
        <v>00</v>
      </c>
      <c r="E165" s="14">
        <v>0</v>
      </c>
      <c r="F165">
        <f t="shared" si="9"/>
        <v>2</v>
      </c>
      <c r="G165" s="41" t="str">
        <f t="shared" si="10"/>
        <v>00</v>
      </c>
    </row>
    <row r="166" spans="1:7" x14ac:dyDescent="0.6">
      <c r="A166" t="str">
        <f t="shared" si="8"/>
        <v>20260123_0164</v>
      </c>
      <c r="B166" s="12">
        <v>46045</v>
      </c>
      <c r="C166" s="13">
        <v>164</v>
      </c>
      <c r="D166" s="4" t="str">
        <f t="shared" si="11"/>
        <v>00</v>
      </c>
      <c r="E166" s="14">
        <v>0</v>
      </c>
      <c r="F166">
        <f t="shared" si="9"/>
        <v>2</v>
      </c>
      <c r="G166" s="41" t="str">
        <f t="shared" si="10"/>
        <v>00</v>
      </c>
    </row>
    <row r="167" spans="1:7" x14ac:dyDescent="0.6">
      <c r="A167" t="str">
        <f t="shared" si="8"/>
        <v>20260123_0165</v>
      </c>
      <c r="B167" s="12">
        <v>46045</v>
      </c>
      <c r="C167" s="13">
        <v>165</v>
      </c>
      <c r="D167" s="4" t="str">
        <f t="shared" si="11"/>
        <v>00</v>
      </c>
      <c r="E167" s="14">
        <v>0</v>
      </c>
      <c r="F167">
        <f t="shared" si="9"/>
        <v>2</v>
      </c>
      <c r="G167" s="41" t="str">
        <f t="shared" si="10"/>
        <v>00</v>
      </c>
    </row>
    <row r="168" spans="1:7" x14ac:dyDescent="0.6">
      <c r="A168" t="str">
        <f t="shared" si="8"/>
        <v>20260123_0166</v>
      </c>
      <c r="B168" s="12">
        <v>46045</v>
      </c>
      <c r="C168" s="13">
        <v>166</v>
      </c>
      <c r="D168" s="4" t="str">
        <f t="shared" si="11"/>
        <v>00</v>
      </c>
      <c r="E168" s="14">
        <v>0</v>
      </c>
      <c r="F168">
        <f t="shared" si="9"/>
        <v>2</v>
      </c>
      <c r="G168" s="41" t="str">
        <f t="shared" si="10"/>
        <v>00</v>
      </c>
    </row>
    <row r="169" spans="1:7" x14ac:dyDescent="0.6">
      <c r="A169" t="str">
        <f t="shared" si="8"/>
        <v>20260123_0167</v>
      </c>
      <c r="B169" s="12">
        <v>46045</v>
      </c>
      <c r="C169" s="13">
        <v>167</v>
      </c>
      <c r="D169" s="4" t="str">
        <f t="shared" si="11"/>
        <v>00</v>
      </c>
      <c r="E169" s="14">
        <v>0</v>
      </c>
      <c r="F169">
        <f t="shared" si="9"/>
        <v>2</v>
      </c>
      <c r="G169" s="41" t="str">
        <f t="shared" si="10"/>
        <v>00</v>
      </c>
    </row>
    <row r="170" spans="1:7" x14ac:dyDescent="0.6">
      <c r="A170" t="str">
        <f t="shared" si="8"/>
        <v>20260123_0168</v>
      </c>
      <c r="B170" s="12">
        <v>46045</v>
      </c>
      <c r="C170" s="13">
        <v>168</v>
      </c>
      <c r="D170" s="4" t="str">
        <f t="shared" si="11"/>
        <v>00</v>
      </c>
      <c r="E170" s="14">
        <v>0</v>
      </c>
      <c r="F170">
        <f t="shared" si="9"/>
        <v>2</v>
      </c>
      <c r="G170" s="41" t="str">
        <f t="shared" si="10"/>
        <v>00</v>
      </c>
    </row>
    <row r="171" spans="1:7" x14ac:dyDescent="0.6">
      <c r="A171" t="str">
        <f t="shared" si="8"/>
        <v>20260123_0169</v>
      </c>
      <c r="B171" s="12">
        <v>46045</v>
      </c>
      <c r="C171" s="13">
        <v>169</v>
      </c>
      <c r="D171" s="4" t="str">
        <f t="shared" si="11"/>
        <v>00</v>
      </c>
      <c r="E171" s="14">
        <v>0</v>
      </c>
      <c r="F171">
        <f t="shared" si="9"/>
        <v>2</v>
      </c>
      <c r="G171" s="41" t="str">
        <f t="shared" si="10"/>
        <v>00</v>
      </c>
    </row>
    <row r="172" spans="1:7" x14ac:dyDescent="0.6">
      <c r="A172" t="str">
        <f t="shared" si="8"/>
        <v>20260123_0170</v>
      </c>
      <c r="B172" s="12">
        <v>46045</v>
      </c>
      <c r="C172" s="13">
        <v>170</v>
      </c>
      <c r="D172" s="4" t="str">
        <f t="shared" si="11"/>
        <v>00</v>
      </c>
      <c r="E172" s="14">
        <v>0</v>
      </c>
      <c r="F172">
        <f t="shared" si="9"/>
        <v>2</v>
      </c>
      <c r="G172" s="41" t="str">
        <f t="shared" si="10"/>
        <v>00</v>
      </c>
    </row>
    <row r="173" spans="1:7" x14ac:dyDescent="0.6">
      <c r="A173" t="str">
        <f t="shared" si="8"/>
        <v>20260123_0171</v>
      </c>
      <c r="B173" s="12">
        <v>46045</v>
      </c>
      <c r="C173" s="13">
        <v>171</v>
      </c>
      <c r="D173" s="4" t="str">
        <f t="shared" si="11"/>
        <v>00</v>
      </c>
      <c r="E173" s="14">
        <v>0</v>
      </c>
      <c r="F173">
        <f t="shared" si="9"/>
        <v>2</v>
      </c>
      <c r="G173" s="41" t="str">
        <f t="shared" si="10"/>
        <v>00</v>
      </c>
    </row>
    <row r="174" spans="1:7" x14ac:dyDescent="0.6">
      <c r="A174" t="str">
        <f t="shared" si="8"/>
        <v>20260123_0172</v>
      </c>
      <c r="B174" s="12">
        <v>46045</v>
      </c>
      <c r="C174" s="13">
        <v>172</v>
      </c>
      <c r="D174" s="4" t="str">
        <f t="shared" si="11"/>
        <v>00</v>
      </c>
      <c r="E174" s="14">
        <v>0</v>
      </c>
      <c r="F174">
        <f t="shared" si="9"/>
        <v>2</v>
      </c>
      <c r="G174" s="41" t="str">
        <f t="shared" si="10"/>
        <v>00</v>
      </c>
    </row>
    <row r="175" spans="1:7" x14ac:dyDescent="0.6">
      <c r="A175" t="str">
        <f t="shared" si="8"/>
        <v>20260123_0173</v>
      </c>
      <c r="B175" s="12">
        <v>46045</v>
      </c>
      <c r="C175" s="13">
        <v>173</v>
      </c>
      <c r="D175" s="4" t="str">
        <f t="shared" si="11"/>
        <v>00</v>
      </c>
      <c r="E175" s="14">
        <v>0</v>
      </c>
      <c r="F175">
        <f t="shared" si="9"/>
        <v>2</v>
      </c>
      <c r="G175" s="41" t="str">
        <f t="shared" si="10"/>
        <v>00</v>
      </c>
    </row>
    <row r="176" spans="1:7" x14ac:dyDescent="0.6">
      <c r="A176" t="str">
        <f t="shared" si="8"/>
        <v>20260123_0174</v>
      </c>
      <c r="B176" s="12">
        <v>46045</v>
      </c>
      <c r="C176" s="13">
        <v>174</v>
      </c>
      <c r="D176" s="4" t="str">
        <f t="shared" si="11"/>
        <v>00</v>
      </c>
      <c r="E176" s="14">
        <v>0</v>
      </c>
      <c r="F176">
        <f t="shared" si="9"/>
        <v>2</v>
      </c>
      <c r="G176" s="41" t="str">
        <f t="shared" si="10"/>
        <v>00</v>
      </c>
    </row>
    <row r="177" spans="1:7" x14ac:dyDescent="0.6">
      <c r="A177" t="str">
        <f t="shared" si="8"/>
        <v>20260123_0175</v>
      </c>
      <c r="B177" s="12">
        <v>46045</v>
      </c>
      <c r="C177" s="13">
        <v>175</v>
      </c>
      <c r="D177" s="4" t="str">
        <f t="shared" si="11"/>
        <v>00</v>
      </c>
      <c r="E177" s="14">
        <v>0</v>
      </c>
      <c r="F177">
        <f t="shared" si="9"/>
        <v>2</v>
      </c>
      <c r="G177" s="41" t="str">
        <f t="shared" si="10"/>
        <v>00</v>
      </c>
    </row>
    <row r="178" spans="1:7" x14ac:dyDescent="0.6">
      <c r="A178" t="str">
        <f t="shared" si="8"/>
        <v>20260123_0176</v>
      </c>
      <c r="B178" s="12">
        <v>46045</v>
      </c>
      <c r="C178" s="13">
        <v>176</v>
      </c>
      <c r="D178" s="4" t="str">
        <f t="shared" si="11"/>
        <v>00</v>
      </c>
      <c r="E178" s="14">
        <v>0</v>
      </c>
      <c r="F178">
        <f t="shared" si="9"/>
        <v>2</v>
      </c>
      <c r="G178" s="41" t="str">
        <f t="shared" si="10"/>
        <v>00</v>
      </c>
    </row>
    <row r="179" spans="1:7" x14ac:dyDescent="0.6">
      <c r="A179" t="str">
        <f t="shared" si="8"/>
        <v>20260123_0177</v>
      </c>
      <c r="B179" s="12">
        <v>46045</v>
      </c>
      <c r="C179" s="13">
        <v>177</v>
      </c>
      <c r="D179" s="4" t="str">
        <f t="shared" si="11"/>
        <v>00</v>
      </c>
      <c r="E179" s="14">
        <v>0</v>
      </c>
      <c r="F179">
        <f t="shared" si="9"/>
        <v>2</v>
      </c>
      <c r="G179" s="41" t="str">
        <f t="shared" si="10"/>
        <v>00</v>
      </c>
    </row>
    <row r="180" spans="1:7" x14ac:dyDescent="0.6">
      <c r="A180" t="str">
        <f t="shared" si="8"/>
        <v>20260123_0178</v>
      </c>
      <c r="B180" s="12">
        <v>46045</v>
      </c>
      <c r="C180" s="13">
        <v>178</v>
      </c>
      <c r="D180" s="4" t="str">
        <f t="shared" si="11"/>
        <v>00</v>
      </c>
      <c r="E180" s="14">
        <v>0</v>
      </c>
      <c r="F180">
        <f t="shared" si="9"/>
        <v>2</v>
      </c>
      <c r="G180" s="41" t="str">
        <f t="shared" si="10"/>
        <v>00</v>
      </c>
    </row>
    <row r="181" spans="1:7" x14ac:dyDescent="0.6">
      <c r="A181" t="str">
        <f t="shared" si="8"/>
        <v>20260123_0179</v>
      </c>
      <c r="B181" s="12">
        <v>46045</v>
      </c>
      <c r="C181" s="13">
        <v>179</v>
      </c>
      <c r="D181" s="4" t="str">
        <f t="shared" si="11"/>
        <v>00</v>
      </c>
      <c r="E181" s="14">
        <v>0</v>
      </c>
      <c r="F181">
        <f t="shared" si="9"/>
        <v>2</v>
      </c>
      <c r="G181" s="41" t="str">
        <f t="shared" si="10"/>
        <v>00</v>
      </c>
    </row>
    <row r="182" spans="1:7" x14ac:dyDescent="0.6">
      <c r="A182" t="str">
        <f t="shared" si="8"/>
        <v>20260123_0180</v>
      </c>
      <c r="B182" s="12">
        <v>46045</v>
      </c>
      <c r="C182" s="13">
        <v>180</v>
      </c>
      <c r="D182" s="4" t="str">
        <f t="shared" si="11"/>
        <v>00</v>
      </c>
      <c r="E182" s="14">
        <v>0</v>
      </c>
      <c r="F182">
        <f t="shared" si="9"/>
        <v>3</v>
      </c>
      <c r="G182" s="41" t="str">
        <f t="shared" si="10"/>
        <v>00</v>
      </c>
    </row>
    <row r="183" spans="1:7" x14ac:dyDescent="0.6">
      <c r="A183" t="str">
        <f t="shared" si="8"/>
        <v>20260123_0181</v>
      </c>
      <c r="B183" s="12">
        <v>46045</v>
      </c>
      <c r="C183" s="13">
        <v>181</v>
      </c>
      <c r="D183" s="4" t="str">
        <f t="shared" si="11"/>
        <v>00</v>
      </c>
      <c r="E183" s="14">
        <v>0</v>
      </c>
      <c r="F183">
        <f t="shared" si="9"/>
        <v>3</v>
      </c>
      <c r="G183" s="41" t="str">
        <f t="shared" si="10"/>
        <v>00</v>
      </c>
    </row>
    <row r="184" spans="1:7" x14ac:dyDescent="0.6">
      <c r="A184" t="str">
        <f t="shared" si="8"/>
        <v>20260123_0182</v>
      </c>
      <c r="B184" s="12">
        <v>46045</v>
      </c>
      <c r="C184" s="13">
        <v>182</v>
      </c>
      <c r="D184" s="4" t="str">
        <f t="shared" si="11"/>
        <v>00</v>
      </c>
      <c r="E184" s="14">
        <v>0</v>
      </c>
      <c r="F184">
        <f t="shared" si="9"/>
        <v>3</v>
      </c>
      <c r="G184" s="41" t="str">
        <f t="shared" si="10"/>
        <v>00</v>
      </c>
    </row>
    <row r="185" spans="1:7" x14ac:dyDescent="0.6">
      <c r="A185" t="str">
        <f t="shared" si="8"/>
        <v>20260123_0183</v>
      </c>
      <c r="B185" s="12">
        <v>46045</v>
      </c>
      <c r="C185" s="13">
        <v>183</v>
      </c>
      <c r="D185" s="4" t="str">
        <f t="shared" si="11"/>
        <v>00</v>
      </c>
      <c r="E185" s="14">
        <v>0</v>
      </c>
      <c r="F185">
        <f t="shared" si="9"/>
        <v>3</v>
      </c>
      <c r="G185" s="41" t="str">
        <f t="shared" si="10"/>
        <v>00</v>
      </c>
    </row>
    <row r="186" spans="1:7" x14ac:dyDescent="0.6">
      <c r="A186" t="str">
        <f t="shared" si="8"/>
        <v>20260123_0184</v>
      </c>
      <c r="B186" s="12">
        <v>46045</v>
      </c>
      <c r="C186" s="13">
        <v>184</v>
      </c>
      <c r="D186" s="4" t="str">
        <f t="shared" si="11"/>
        <v>00</v>
      </c>
      <c r="E186" s="14">
        <v>0</v>
      </c>
      <c r="F186">
        <f t="shared" si="9"/>
        <v>3</v>
      </c>
      <c r="G186" s="41" t="str">
        <f t="shared" si="10"/>
        <v>00</v>
      </c>
    </row>
    <row r="187" spans="1:7" x14ac:dyDescent="0.6">
      <c r="A187" t="str">
        <f t="shared" si="8"/>
        <v>20260123_0185</v>
      </c>
      <c r="B187" s="12">
        <v>46045</v>
      </c>
      <c r="C187" s="13">
        <v>185</v>
      </c>
      <c r="D187" s="4" t="str">
        <f t="shared" si="11"/>
        <v>00</v>
      </c>
      <c r="E187" s="14">
        <v>0</v>
      </c>
      <c r="F187">
        <f t="shared" si="9"/>
        <v>3</v>
      </c>
      <c r="G187" s="41" t="str">
        <f t="shared" si="10"/>
        <v>00</v>
      </c>
    </row>
    <row r="188" spans="1:7" x14ac:dyDescent="0.6">
      <c r="A188" t="str">
        <f t="shared" si="8"/>
        <v>20260123_0186</v>
      </c>
      <c r="B188" s="12">
        <v>46045</v>
      </c>
      <c r="C188" s="13">
        <v>186</v>
      </c>
      <c r="D188" s="4" t="str">
        <f t="shared" si="11"/>
        <v>00</v>
      </c>
      <c r="E188" s="14">
        <v>0</v>
      </c>
      <c r="F188">
        <f t="shared" si="9"/>
        <v>3</v>
      </c>
      <c r="G188" s="41" t="str">
        <f t="shared" si="10"/>
        <v>00</v>
      </c>
    </row>
    <row r="189" spans="1:7" x14ac:dyDescent="0.6">
      <c r="A189" t="str">
        <f t="shared" si="8"/>
        <v>20260123_0187</v>
      </c>
      <c r="B189" s="12">
        <v>46045</v>
      </c>
      <c r="C189" s="13">
        <v>187</v>
      </c>
      <c r="D189" s="4" t="str">
        <f t="shared" si="11"/>
        <v>00</v>
      </c>
      <c r="E189" s="14">
        <v>0</v>
      </c>
      <c r="F189">
        <f t="shared" si="9"/>
        <v>3</v>
      </c>
      <c r="G189" s="41" t="str">
        <f t="shared" si="10"/>
        <v>00</v>
      </c>
    </row>
    <row r="190" spans="1:7" x14ac:dyDescent="0.6">
      <c r="A190" t="str">
        <f t="shared" si="8"/>
        <v>20260123_0188</v>
      </c>
      <c r="B190" s="12">
        <v>46045</v>
      </c>
      <c r="C190" s="13">
        <v>188</v>
      </c>
      <c r="D190" s="4" t="str">
        <f t="shared" si="11"/>
        <v>00</v>
      </c>
      <c r="E190" s="14">
        <v>0</v>
      </c>
      <c r="F190">
        <f t="shared" si="9"/>
        <v>3</v>
      </c>
      <c r="G190" s="41" t="str">
        <f t="shared" si="10"/>
        <v>00</v>
      </c>
    </row>
    <row r="191" spans="1:7" x14ac:dyDescent="0.6">
      <c r="A191" t="str">
        <f t="shared" si="8"/>
        <v>20260123_0189</v>
      </c>
      <c r="B191" s="12">
        <v>46045</v>
      </c>
      <c r="C191" s="13">
        <v>189</v>
      </c>
      <c r="D191" s="4" t="str">
        <f t="shared" si="11"/>
        <v>00</v>
      </c>
      <c r="E191" s="14">
        <v>0</v>
      </c>
      <c r="F191">
        <f t="shared" si="9"/>
        <v>3</v>
      </c>
      <c r="G191" s="41" t="str">
        <f t="shared" si="10"/>
        <v>00</v>
      </c>
    </row>
    <row r="192" spans="1:7" x14ac:dyDescent="0.6">
      <c r="A192" t="str">
        <f t="shared" si="8"/>
        <v>20260123_0190</v>
      </c>
      <c r="B192" s="12">
        <v>46045</v>
      </c>
      <c r="C192" s="13">
        <v>190</v>
      </c>
      <c r="D192" s="4" t="str">
        <f t="shared" si="11"/>
        <v>00</v>
      </c>
      <c r="E192" s="14">
        <v>0</v>
      </c>
      <c r="F192">
        <f t="shared" si="9"/>
        <v>3</v>
      </c>
      <c r="G192" s="41" t="str">
        <f t="shared" si="10"/>
        <v>00</v>
      </c>
    </row>
    <row r="193" spans="1:7" x14ac:dyDescent="0.6">
      <c r="A193" t="str">
        <f t="shared" si="8"/>
        <v>20260123_0191</v>
      </c>
      <c r="B193" s="12">
        <v>46045</v>
      </c>
      <c r="C193" s="13">
        <v>191</v>
      </c>
      <c r="D193" s="4" t="str">
        <f t="shared" si="11"/>
        <v>00</v>
      </c>
      <c r="E193" s="14">
        <v>0</v>
      </c>
      <c r="F193">
        <f t="shared" si="9"/>
        <v>3</v>
      </c>
      <c r="G193" s="41" t="str">
        <f t="shared" si="10"/>
        <v>00</v>
      </c>
    </row>
    <row r="194" spans="1:7" x14ac:dyDescent="0.6">
      <c r="A194" t="str">
        <f t="shared" ref="A194:A257" si="12">IF(B194="","",TEXT(B194,"yyyymmdd")&amp;"_"&amp;TEXT(C194,"0000"))</f>
        <v>20260123_0192</v>
      </c>
      <c r="B194" s="12">
        <v>46045</v>
      </c>
      <c r="C194" s="13">
        <v>192</v>
      </c>
      <c r="D194" s="4" t="str">
        <f t="shared" si="11"/>
        <v>00</v>
      </c>
      <c r="E194" s="14">
        <v>0</v>
      </c>
      <c r="F194">
        <f t="shared" ref="F194:F257" si="13">IF(C194="","",INT(C194/60))</f>
        <v>3</v>
      </c>
      <c r="G194" s="41" t="str">
        <f t="shared" ref="G194:G257" si="14">IF(D194="","",IF(LEN(UPPER(SUBSTITUTE(SUBSTITUTE(TRIM(D194),CHAR(160),"")," ","")))=1,"0"&amp;UPPER(SUBSTITUTE(SUBSTITUTE(TRIM(D194),CHAR(160),"")," ","")),UPPER(SUBSTITUTE(SUBSTITUTE(TRIM(D194),CHAR(160),"")," ",""))))</f>
        <v>00</v>
      </c>
    </row>
    <row r="195" spans="1:7" x14ac:dyDescent="0.6">
      <c r="A195" t="str">
        <f t="shared" si="12"/>
        <v>20260123_0193</v>
      </c>
      <c r="B195" s="12">
        <v>46045</v>
      </c>
      <c r="C195" s="13">
        <v>193</v>
      </c>
      <c r="D195" s="4" t="str">
        <f t="shared" ref="D195:D258" si="15">MID(I$1,$C195*2+1,2)</f>
        <v>00</v>
      </c>
      <c r="E195" s="14">
        <v>0</v>
      </c>
      <c r="F195">
        <f t="shared" si="13"/>
        <v>3</v>
      </c>
      <c r="G195" s="41" t="str">
        <f t="shared" si="14"/>
        <v>00</v>
      </c>
    </row>
    <row r="196" spans="1:7" x14ac:dyDescent="0.6">
      <c r="A196" t="str">
        <f t="shared" si="12"/>
        <v>20260123_0194</v>
      </c>
      <c r="B196" s="12">
        <v>46045</v>
      </c>
      <c r="C196" s="13">
        <v>194</v>
      </c>
      <c r="D196" s="4" t="str">
        <f t="shared" si="15"/>
        <v>00</v>
      </c>
      <c r="E196" s="14">
        <v>0</v>
      </c>
      <c r="F196">
        <f t="shared" si="13"/>
        <v>3</v>
      </c>
      <c r="G196" s="41" t="str">
        <f t="shared" si="14"/>
        <v>00</v>
      </c>
    </row>
    <row r="197" spans="1:7" x14ac:dyDescent="0.6">
      <c r="A197" t="str">
        <f t="shared" si="12"/>
        <v>20260123_0195</v>
      </c>
      <c r="B197" s="12">
        <v>46045</v>
      </c>
      <c r="C197" s="13">
        <v>195</v>
      </c>
      <c r="D197" s="4" t="str">
        <f t="shared" si="15"/>
        <v>00</v>
      </c>
      <c r="E197" s="14">
        <v>0</v>
      </c>
      <c r="F197">
        <f t="shared" si="13"/>
        <v>3</v>
      </c>
      <c r="G197" s="41" t="str">
        <f t="shared" si="14"/>
        <v>00</v>
      </c>
    </row>
    <row r="198" spans="1:7" x14ac:dyDescent="0.6">
      <c r="A198" t="str">
        <f t="shared" si="12"/>
        <v>20260123_0196</v>
      </c>
      <c r="B198" s="12">
        <v>46045</v>
      </c>
      <c r="C198" s="13">
        <v>196</v>
      </c>
      <c r="D198" s="4" t="str">
        <f t="shared" si="15"/>
        <v>00</v>
      </c>
      <c r="E198" s="14">
        <v>0</v>
      </c>
      <c r="F198">
        <f t="shared" si="13"/>
        <v>3</v>
      </c>
      <c r="G198" s="41" t="str">
        <f t="shared" si="14"/>
        <v>00</v>
      </c>
    </row>
    <row r="199" spans="1:7" x14ac:dyDescent="0.6">
      <c r="A199" t="str">
        <f t="shared" si="12"/>
        <v>20260123_0197</v>
      </c>
      <c r="B199" s="12">
        <v>46045</v>
      </c>
      <c r="C199" s="13">
        <v>197</v>
      </c>
      <c r="D199" s="4" t="str">
        <f t="shared" si="15"/>
        <v>00</v>
      </c>
      <c r="E199" s="14">
        <v>0</v>
      </c>
      <c r="F199">
        <f t="shared" si="13"/>
        <v>3</v>
      </c>
      <c r="G199" s="41" t="str">
        <f t="shared" si="14"/>
        <v>00</v>
      </c>
    </row>
    <row r="200" spans="1:7" x14ac:dyDescent="0.6">
      <c r="A200" t="str">
        <f t="shared" si="12"/>
        <v>20260123_0198</v>
      </c>
      <c r="B200" s="12">
        <v>46045</v>
      </c>
      <c r="C200" s="13">
        <v>198</v>
      </c>
      <c r="D200" s="4" t="str">
        <f t="shared" si="15"/>
        <v>00</v>
      </c>
      <c r="E200" s="14">
        <v>0</v>
      </c>
      <c r="F200">
        <f t="shared" si="13"/>
        <v>3</v>
      </c>
      <c r="G200" s="41" t="str">
        <f t="shared" si="14"/>
        <v>00</v>
      </c>
    </row>
    <row r="201" spans="1:7" x14ac:dyDescent="0.6">
      <c r="A201" t="str">
        <f t="shared" si="12"/>
        <v>20260123_0199</v>
      </c>
      <c r="B201" s="12">
        <v>46045</v>
      </c>
      <c r="C201" s="13">
        <v>199</v>
      </c>
      <c r="D201" s="4" t="str">
        <f t="shared" si="15"/>
        <v>00</v>
      </c>
      <c r="E201" s="14">
        <v>0</v>
      </c>
      <c r="F201">
        <f t="shared" si="13"/>
        <v>3</v>
      </c>
      <c r="G201" s="41" t="str">
        <f t="shared" si="14"/>
        <v>00</v>
      </c>
    </row>
    <row r="202" spans="1:7" x14ac:dyDescent="0.6">
      <c r="A202" t="str">
        <f t="shared" si="12"/>
        <v>20260123_0200</v>
      </c>
      <c r="B202" s="12">
        <v>46045</v>
      </c>
      <c r="C202" s="13">
        <v>200</v>
      </c>
      <c r="D202" s="4" t="str">
        <f t="shared" si="15"/>
        <v>00</v>
      </c>
      <c r="E202" s="14">
        <v>0</v>
      </c>
      <c r="F202">
        <f t="shared" si="13"/>
        <v>3</v>
      </c>
      <c r="G202" s="41" t="str">
        <f t="shared" si="14"/>
        <v>00</v>
      </c>
    </row>
    <row r="203" spans="1:7" x14ac:dyDescent="0.6">
      <c r="A203" t="str">
        <f t="shared" si="12"/>
        <v>20260123_0201</v>
      </c>
      <c r="B203" s="12">
        <v>46045</v>
      </c>
      <c r="C203" s="13">
        <v>201</v>
      </c>
      <c r="D203" s="4" t="str">
        <f t="shared" si="15"/>
        <v>00</v>
      </c>
      <c r="E203" s="14">
        <v>0</v>
      </c>
      <c r="F203">
        <f t="shared" si="13"/>
        <v>3</v>
      </c>
      <c r="G203" s="41" t="str">
        <f t="shared" si="14"/>
        <v>00</v>
      </c>
    </row>
    <row r="204" spans="1:7" x14ac:dyDescent="0.6">
      <c r="A204" t="str">
        <f t="shared" si="12"/>
        <v>20260123_0202</v>
      </c>
      <c r="B204" s="12">
        <v>46045</v>
      </c>
      <c r="C204" s="13">
        <v>202</v>
      </c>
      <c r="D204" s="4" t="str">
        <f t="shared" si="15"/>
        <v>00</v>
      </c>
      <c r="E204" s="14">
        <v>0</v>
      </c>
      <c r="F204">
        <f t="shared" si="13"/>
        <v>3</v>
      </c>
      <c r="G204" s="41" t="str">
        <f t="shared" si="14"/>
        <v>00</v>
      </c>
    </row>
    <row r="205" spans="1:7" x14ac:dyDescent="0.6">
      <c r="A205" t="str">
        <f t="shared" si="12"/>
        <v>20260123_0203</v>
      </c>
      <c r="B205" s="12">
        <v>46045</v>
      </c>
      <c r="C205" s="13">
        <v>203</v>
      </c>
      <c r="D205" s="4" t="str">
        <f t="shared" si="15"/>
        <v>00</v>
      </c>
      <c r="E205" s="14">
        <v>0</v>
      </c>
      <c r="F205">
        <f t="shared" si="13"/>
        <v>3</v>
      </c>
      <c r="G205" s="41" t="str">
        <f t="shared" si="14"/>
        <v>00</v>
      </c>
    </row>
    <row r="206" spans="1:7" x14ac:dyDescent="0.6">
      <c r="A206" t="str">
        <f t="shared" si="12"/>
        <v>20260123_0204</v>
      </c>
      <c r="B206" s="12">
        <v>46045</v>
      </c>
      <c r="C206" s="13">
        <v>204</v>
      </c>
      <c r="D206" s="4" t="str">
        <f t="shared" si="15"/>
        <v>00</v>
      </c>
      <c r="E206" s="14">
        <v>0</v>
      </c>
      <c r="F206">
        <f t="shared" si="13"/>
        <v>3</v>
      </c>
      <c r="G206" s="41" t="str">
        <f t="shared" si="14"/>
        <v>00</v>
      </c>
    </row>
    <row r="207" spans="1:7" x14ac:dyDescent="0.6">
      <c r="A207" t="str">
        <f t="shared" si="12"/>
        <v>20260123_0205</v>
      </c>
      <c r="B207" s="12">
        <v>46045</v>
      </c>
      <c r="C207" s="13">
        <v>205</v>
      </c>
      <c r="D207" s="4" t="str">
        <f t="shared" si="15"/>
        <v>00</v>
      </c>
      <c r="E207" s="14">
        <v>0</v>
      </c>
      <c r="F207">
        <f t="shared" si="13"/>
        <v>3</v>
      </c>
      <c r="G207" s="41" t="str">
        <f t="shared" si="14"/>
        <v>00</v>
      </c>
    </row>
    <row r="208" spans="1:7" x14ac:dyDescent="0.6">
      <c r="A208" t="str">
        <f t="shared" si="12"/>
        <v>20260123_0206</v>
      </c>
      <c r="B208" s="12">
        <v>46045</v>
      </c>
      <c r="C208" s="13">
        <v>206</v>
      </c>
      <c r="D208" s="4" t="str">
        <f t="shared" si="15"/>
        <v>00</v>
      </c>
      <c r="E208" s="14">
        <v>0</v>
      </c>
      <c r="F208">
        <f t="shared" si="13"/>
        <v>3</v>
      </c>
      <c r="G208" s="41" t="str">
        <f t="shared" si="14"/>
        <v>00</v>
      </c>
    </row>
    <row r="209" spans="1:7" x14ac:dyDescent="0.6">
      <c r="A209" t="str">
        <f t="shared" si="12"/>
        <v>20260123_0207</v>
      </c>
      <c r="B209" s="12">
        <v>46045</v>
      </c>
      <c r="C209" s="13">
        <v>207</v>
      </c>
      <c r="D209" s="4" t="str">
        <f t="shared" si="15"/>
        <v>00</v>
      </c>
      <c r="E209" s="14">
        <v>0</v>
      </c>
      <c r="F209">
        <f t="shared" si="13"/>
        <v>3</v>
      </c>
      <c r="G209" s="41" t="str">
        <f t="shared" si="14"/>
        <v>00</v>
      </c>
    </row>
    <row r="210" spans="1:7" x14ac:dyDescent="0.6">
      <c r="A210" t="str">
        <f t="shared" si="12"/>
        <v>20260123_0208</v>
      </c>
      <c r="B210" s="12">
        <v>46045</v>
      </c>
      <c r="C210" s="13">
        <v>208</v>
      </c>
      <c r="D210" s="4" t="str">
        <f t="shared" si="15"/>
        <v>00</v>
      </c>
      <c r="E210" s="14">
        <v>0</v>
      </c>
      <c r="F210">
        <f t="shared" si="13"/>
        <v>3</v>
      </c>
      <c r="G210" s="41" t="str">
        <f t="shared" si="14"/>
        <v>00</v>
      </c>
    </row>
    <row r="211" spans="1:7" x14ac:dyDescent="0.6">
      <c r="A211" t="str">
        <f t="shared" si="12"/>
        <v>20260123_0209</v>
      </c>
      <c r="B211" s="12">
        <v>46045</v>
      </c>
      <c r="C211" s="13">
        <v>209</v>
      </c>
      <c r="D211" s="4" t="str">
        <f t="shared" si="15"/>
        <v>00</v>
      </c>
      <c r="E211" s="14">
        <v>0</v>
      </c>
      <c r="F211">
        <f t="shared" si="13"/>
        <v>3</v>
      </c>
      <c r="G211" s="41" t="str">
        <f t="shared" si="14"/>
        <v>00</v>
      </c>
    </row>
    <row r="212" spans="1:7" x14ac:dyDescent="0.6">
      <c r="A212" t="str">
        <f t="shared" si="12"/>
        <v>20260123_0210</v>
      </c>
      <c r="B212" s="12">
        <v>46045</v>
      </c>
      <c r="C212" s="13">
        <v>210</v>
      </c>
      <c r="D212" s="4" t="str">
        <f t="shared" si="15"/>
        <v>00</v>
      </c>
      <c r="E212" s="14">
        <v>0</v>
      </c>
      <c r="F212">
        <f t="shared" si="13"/>
        <v>3</v>
      </c>
      <c r="G212" s="41" t="str">
        <f t="shared" si="14"/>
        <v>00</v>
      </c>
    </row>
    <row r="213" spans="1:7" x14ac:dyDescent="0.6">
      <c r="A213" t="str">
        <f t="shared" si="12"/>
        <v>20260123_0211</v>
      </c>
      <c r="B213" s="12">
        <v>46045</v>
      </c>
      <c r="C213" s="13">
        <v>211</v>
      </c>
      <c r="D213" s="4" t="str">
        <f t="shared" si="15"/>
        <v>00</v>
      </c>
      <c r="E213" s="14">
        <v>0</v>
      </c>
      <c r="F213">
        <f t="shared" si="13"/>
        <v>3</v>
      </c>
      <c r="G213" s="41" t="str">
        <f t="shared" si="14"/>
        <v>00</v>
      </c>
    </row>
    <row r="214" spans="1:7" x14ac:dyDescent="0.6">
      <c r="A214" t="str">
        <f t="shared" si="12"/>
        <v>20260123_0212</v>
      </c>
      <c r="B214" s="12">
        <v>46045</v>
      </c>
      <c r="C214" s="13">
        <v>212</v>
      </c>
      <c r="D214" s="4" t="str">
        <f t="shared" si="15"/>
        <v>00</v>
      </c>
      <c r="E214" s="14">
        <v>0</v>
      </c>
      <c r="F214">
        <f t="shared" si="13"/>
        <v>3</v>
      </c>
      <c r="G214" s="41" t="str">
        <f t="shared" si="14"/>
        <v>00</v>
      </c>
    </row>
    <row r="215" spans="1:7" x14ac:dyDescent="0.6">
      <c r="A215" t="str">
        <f t="shared" si="12"/>
        <v>20260123_0213</v>
      </c>
      <c r="B215" s="12">
        <v>46045</v>
      </c>
      <c r="C215" s="13">
        <v>213</v>
      </c>
      <c r="D215" s="4" t="str">
        <f t="shared" si="15"/>
        <v>00</v>
      </c>
      <c r="E215" s="14">
        <v>0</v>
      </c>
      <c r="F215">
        <f t="shared" si="13"/>
        <v>3</v>
      </c>
      <c r="G215" s="41" t="str">
        <f t="shared" si="14"/>
        <v>00</v>
      </c>
    </row>
    <row r="216" spans="1:7" x14ac:dyDescent="0.6">
      <c r="A216" t="str">
        <f t="shared" si="12"/>
        <v>20260123_0214</v>
      </c>
      <c r="B216" s="12">
        <v>46045</v>
      </c>
      <c r="C216" s="13">
        <v>214</v>
      </c>
      <c r="D216" s="4" t="str">
        <f t="shared" si="15"/>
        <v>00</v>
      </c>
      <c r="E216" s="14">
        <v>0</v>
      </c>
      <c r="F216">
        <f t="shared" si="13"/>
        <v>3</v>
      </c>
      <c r="G216" s="41" t="str">
        <f t="shared" si="14"/>
        <v>00</v>
      </c>
    </row>
    <row r="217" spans="1:7" x14ac:dyDescent="0.6">
      <c r="A217" t="str">
        <f t="shared" si="12"/>
        <v>20260123_0215</v>
      </c>
      <c r="B217" s="12">
        <v>46045</v>
      </c>
      <c r="C217" s="13">
        <v>215</v>
      </c>
      <c r="D217" s="4" t="str">
        <f t="shared" si="15"/>
        <v>00</v>
      </c>
      <c r="E217" s="14">
        <v>0</v>
      </c>
      <c r="F217">
        <f t="shared" si="13"/>
        <v>3</v>
      </c>
      <c r="G217" s="41" t="str">
        <f t="shared" si="14"/>
        <v>00</v>
      </c>
    </row>
    <row r="218" spans="1:7" x14ac:dyDescent="0.6">
      <c r="A218" t="str">
        <f t="shared" si="12"/>
        <v>20260123_0216</v>
      </c>
      <c r="B218" s="12">
        <v>46045</v>
      </c>
      <c r="C218" s="13">
        <v>216</v>
      </c>
      <c r="D218" s="4" t="str">
        <f t="shared" si="15"/>
        <v>00</v>
      </c>
      <c r="E218" s="14">
        <v>0</v>
      </c>
      <c r="F218">
        <f t="shared" si="13"/>
        <v>3</v>
      </c>
      <c r="G218" s="41" t="str">
        <f t="shared" si="14"/>
        <v>00</v>
      </c>
    </row>
    <row r="219" spans="1:7" x14ac:dyDescent="0.6">
      <c r="A219" t="str">
        <f t="shared" si="12"/>
        <v>20260123_0217</v>
      </c>
      <c r="B219" s="12">
        <v>46045</v>
      </c>
      <c r="C219" s="13">
        <v>217</v>
      </c>
      <c r="D219" s="4" t="str">
        <f t="shared" si="15"/>
        <v>00</v>
      </c>
      <c r="E219" s="14">
        <v>0</v>
      </c>
      <c r="F219">
        <f t="shared" si="13"/>
        <v>3</v>
      </c>
      <c r="G219" s="41" t="str">
        <f t="shared" si="14"/>
        <v>00</v>
      </c>
    </row>
    <row r="220" spans="1:7" x14ac:dyDescent="0.6">
      <c r="A220" t="str">
        <f t="shared" si="12"/>
        <v>20260123_0218</v>
      </c>
      <c r="B220" s="12">
        <v>46045</v>
      </c>
      <c r="C220" s="13">
        <v>218</v>
      </c>
      <c r="D220" s="4" t="str">
        <f t="shared" si="15"/>
        <v>00</v>
      </c>
      <c r="E220" s="14">
        <v>0</v>
      </c>
      <c r="F220">
        <f t="shared" si="13"/>
        <v>3</v>
      </c>
      <c r="G220" s="41" t="str">
        <f t="shared" si="14"/>
        <v>00</v>
      </c>
    </row>
    <row r="221" spans="1:7" x14ac:dyDescent="0.6">
      <c r="A221" t="str">
        <f t="shared" si="12"/>
        <v>20260123_0219</v>
      </c>
      <c r="B221" s="12">
        <v>46045</v>
      </c>
      <c r="C221" s="13">
        <v>219</v>
      </c>
      <c r="D221" s="4" t="str">
        <f t="shared" si="15"/>
        <v>00</v>
      </c>
      <c r="E221" s="14">
        <v>0</v>
      </c>
      <c r="F221">
        <f t="shared" si="13"/>
        <v>3</v>
      </c>
      <c r="G221" s="41" t="str">
        <f t="shared" si="14"/>
        <v>00</v>
      </c>
    </row>
    <row r="222" spans="1:7" x14ac:dyDescent="0.6">
      <c r="A222" t="str">
        <f t="shared" si="12"/>
        <v>20260123_0220</v>
      </c>
      <c r="B222" s="12">
        <v>46045</v>
      </c>
      <c r="C222" s="13">
        <v>220</v>
      </c>
      <c r="D222" s="4" t="str">
        <f t="shared" si="15"/>
        <v>00</v>
      </c>
      <c r="E222" s="14">
        <v>0</v>
      </c>
      <c r="F222">
        <f t="shared" si="13"/>
        <v>3</v>
      </c>
      <c r="G222" s="41" t="str">
        <f t="shared" si="14"/>
        <v>00</v>
      </c>
    </row>
    <row r="223" spans="1:7" x14ac:dyDescent="0.6">
      <c r="A223" t="str">
        <f t="shared" si="12"/>
        <v>20260123_0221</v>
      </c>
      <c r="B223" s="12">
        <v>46045</v>
      </c>
      <c r="C223" s="13">
        <v>221</v>
      </c>
      <c r="D223" s="4" t="str">
        <f t="shared" si="15"/>
        <v>00</v>
      </c>
      <c r="E223" s="14">
        <v>0</v>
      </c>
      <c r="F223">
        <f t="shared" si="13"/>
        <v>3</v>
      </c>
      <c r="G223" s="41" t="str">
        <f t="shared" si="14"/>
        <v>00</v>
      </c>
    </row>
    <row r="224" spans="1:7" x14ac:dyDescent="0.6">
      <c r="A224" t="str">
        <f t="shared" si="12"/>
        <v>20260123_0222</v>
      </c>
      <c r="B224" s="12">
        <v>46045</v>
      </c>
      <c r="C224" s="13">
        <v>222</v>
      </c>
      <c r="D224" s="4" t="str">
        <f t="shared" si="15"/>
        <v>00</v>
      </c>
      <c r="E224" s="14">
        <v>0</v>
      </c>
      <c r="F224">
        <f t="shared" si="13"/>
        <v>3</v>
      </c>
      <c r="G224" s="41" t="str">
        <f t="shared" si="14"/>
        <v>00</v>
      </c>
    </row>
    <row r="225" spans="1:7" x14ac:dyDescent="0.6">
      <c r="A225" t="str">
        <f t="shared" si="12"/>
        <v>20260123_0223</v>
      </c>
      <c r="B225" s="12">
        <v>46045</v>
      </c>
      <c r="C225" s="13">
        <v>223</v>
      </c>
      <c r="D225" s="4" t="str">
        <f t="shared" si="15"/>
        <v>00</v>
      </c>
      <c r="E225" s="14">
        <v>0</v>
      </c>
      <c r="F225">
        <f t="shared" si="13"/>
        <v>3</v>
      </c>
      <c r="G225" s="41" t="str">
        <f t="shared" si="14"/>
        <v>00</v>
      </c>
    </row>
    <row r="226" spans="1:7" x14ac:dyDescent="0.6">
      <c r="A226" t="str">
        <f t="shared" si="12"/>
        <v>20260123_0224</v>
      </c>
      <c r="B226" s="12">
        <v>46045</v>
      </c>
      <c r="C226" s="13">
        <v>224</v>
      </c>
      <c r="D226" s="4" t="str">
        <f t="shared" si="15"/>
        <v>00</v>
      </c>
      <c r="E226" s="14">
        <v>0</v>
      </c>
      <c r="F226">
        <f t="shared" si="13"/>
        <v>3</v>
      </c>
      <c r="G226" s="41" t="str">
        <f t="shared" si="14"/>
        <v>00</v>
      </c>
    </row>
    <row r="227" spans="1:7" x14ac:dyDescent="0.6">
      <c r="A227" t="str">
        <f t="shared" si="12"/>
        <v>20260123_0225</v>
      </c>
      <c r="B227" s="12">
        <v>46045</v>
      </c>
      <c r="C227" s="13">
        <v>225</v>
      </c>
      <c r="D227" s="4" t="str">
        <f t="shared" si="15"/>
        <v>00</v>
      </c>
      <c r="E227" s="14">
        <v>0</v>
      </c>
      <c r="F227">
        <f t="shared" si="13"/>
        <v>3</v>
      </c>
      <c r="G227" s="41" t="str">
        <f t="shared" si="14"/>
        <v>00</v>
      </c>
    </row>
    <row r="228" spans="1:7" x14ac:dyDescent="0.6">
      <c r="A228" t="str">
        <f t="shared" si="12"/>
        <v>20260123_0226</v>
      </c>
      <c r="B228" s="12">
        <v>46045</v>
      </c>
      <c r="C228" s="13">
        <v>226</v>
      </c>
      <c r="D228" s="4" t="str">
        <f t="shared" si="15"/>
        <v>00</v>
      </c>
      <c r="E228" s="14">
        <v>0</v>
      </c>
      <c r="F228">
        <f t="shared" si="13"/>
        <v>3</v>
      </c>
      <c r="G228" s="41" t="str">
        <f t="shared" si="14"/>
        <v>00</v>
      </c>
    </row>
    <row r="229" spans="1:7" x14ac:dyDescent="0.6">
      <c r="A229" t="str">
        <f t="shared" si="12"/>
        <v>20260123_0227</v>
      </c>
      <c r="B229" s="12">
        <v>46045</v>
      </c>
      <c r="C229" s="13">
        <v>227</v>
      </c>
      <c r="D229" s="4" t="str">
        <f t="shared" si="15"/>
        <v>00</v>
      </c>
      <c r="E229" s="14">
        <v>0</v>
      </c>
      <c r="F229">
        <f t="shared" si="13"/>
        <v>3</v>
      </c>
      <c r="G229" s="41" t="str">
        <f t="shared" si="14"/>
        <v>00</v>
      </c>
    </row>
    <row r="230" spans="1:7" x14ac:dyDescent="0.6">
      <c r="A230" t="str">
        <f t="shared" si="12"/>
        <v>20260123_0228</v>
      </c>
      <c r="B230" s="12">
        <v>46045</v>
      </c>
      <c r="C230" s="13">
        <v>228</v>
      </c>
      <c r="D230" s="4" t="str">
        <f t="shared" si="15"/>
        <v>00</v>
      </c>
      <c r="E230" s="14">
        <v>0</v>
      </c>
      <c r="F230">
        <f t="shared" si="13"/>
        <v>3</v>
      </c>
      <c r="G230" s="41" t="str">
        <f t="shared" si="14"/>
        <v>00</v>
      </c>
    </row>
    <row r="231" spans="1:7" x14ac:dyDescent="0.6">
      <c r="A231" t="str">
        <f t="shared" si="12"/>
        <v>20260123_0229</v>
      </c>
      <c r="B231" s="12">
        <v>46045</v>
      </c>
      <c r="C231" s="13">
        <v>229</v>
      </c>
      <c r="D231" s="4" t="str">
        <f t="shared" si="15"/>
        <v>00</v>
      </c>
      <c r="E231" s="14">
        <v>0</v>
      </c>
      <c r="F231">
        <f t="shared" si="13"/>
        <v>3</v>
      </c>
      <c r="G231" s="41" t="str">
        <f t="shared" si="14"/>
        <v>00</v>
      </c>
    </row>
    <row r="232" spans="1:7" x14ac:dyDescent="0.6">
      <c r="A232" t="str">
        <f t="shared" si="12"/>
        <v>20260123_0230</v>
      </c>
      <c r="B232" s="12">
        <v>46045</v>
      </c>
      <c r="C232" s="13">
        <v>230</v>
      </c>
      <c r="D232" s="4" t="str">
        <f t="shared" si="15"/>
        <v>00</v>
      </c>
      <c r="E232" s="14">
        <v>0</v>
      </c>
      <c r="F232">
        <f t="shared" si="13"/>
        <v>3</v>
      </c>
      <c r="G232" s="41" t="str">
        <f t="shared" si="14"/>
        <v>00</v>
      </c>
    </row>
    <row r="233" spans="1:7" x14ac:dyDescent="0.6">
      <c r="A233" t="str">
        <f t="shared" si="12"/>
        <v>20260123_0231</v>
      </c>
      <c r="B233" s="12">
        <v>46045</v>
      </c>
      <c r="C233" s="13">
        <v>231</v>
      </c>
      <c r="D233" s="4" t="str">
        <f t="shared" si="15"/>
        <v>00</v>
      </c>
      <c r="E233" s="14">
        <v>0</v>
      </c>
      <c r="F233">
        <f t="shared" si="13"/>
        <v>3</v>
      </c>
      <c r="G233" s="41" t="str">
        <f t="shared" si="14"/>
        <v>00</v>
      </c>
    </row>
    <row r="234" spans="1:7" x14ac:dyDescent="0.6">
      <c r="A234" t="str">
        <f t="shared" si="12"/>
        <v>20260123_0232</v>
      </c>
      <c r="B234" s="12">
        <v>46045</v>
      </c>
      <c r="C234" s="13">
        <v>232</v>
      </c>
      <c r="D234" s="4" t="str">
        <f t="shared" si="15"/>
        <v>00</v>
      </c>
      <c r="E234" s="14">
        <v>0</v>
      </c>
      <c r="F234">
        <f t="shared" si="13"/>
        <v>3</v>
      </c>
      <c r="G234" s="41" t="str">
        <f t="shared" si="14"/>
        <v>00</v>
      </c>
    </row>
    <row r="235" spans="1:7" x14ac:dyDescent="0.6">
      <c r="A235" t="str">
        <f t="shared" si="12"/>
        <v>20260123_0233</v>
      </c>
      <c r="B235" s="12">
        <v>46045</v>
      </c>
      <c r="C235" s="13">
        <v>233</v>
      </c>
      <c r="D235" s="4" t="str">
        <f t="shared" si="15"/>
        <v>00</v>
      </c>
      <c r="E235" s="14">
        <v>0</v>
      </c>
      <c r="F235">
        <f t="shared" si="13"/>
        <v>3</v>
      </c>
      <c r="G235" s="41" t="str">
        <f t="shared" si="14"/>
        <v>00</v>
      </c>
    </row>
    <row r="236" spans="1:7" x14ac:dyDescent="0.6">
      <c r="A236" t="str">
        <f t="shared" si="12"/>
        <v>20260123_0234</v>
      </c>
      <c r="B236" s="12">
        <v>46045</v>
      </c>
      <c r="C236" s="13">
        <v>234</v>
      </c>
      <c r="D236" s="4" t="str">
        <f t="shared" si="15"/>
        <v>00</v>
      </c>
      <c r="E236" s="14">
        <v>0</v>
      </c>
      <c r="F236">
        <f t="shared" si="13"/>
        <v>3</v>
      </c>
      <c r="G236" s="41" t="str">
        <f t="shared" si="14"/>
        <v>00</v>
      </c>
    </row>
    <row r="237" spans="1:7" x14ac:dyDescent="0.6">
      <c r="A237" t="str">
        <f t="shared" si="12"/>
        <v>20260123_0235</v>
      </c>
      <c r="B237" s="12">
        <v>46045</v>
      </c>
      <c r="C237" s="13">
        <v>235</v>
      </c>
      <c r="D237" s="4" t="str">
        <f t="shared" si="15"/>
        <v>00</v>
      </c>
      <c r="E237" s="14">
        <v>0</v>
      </c>
      <c r="F237">
        <f t="shared" si="13"/>
        <v>3</v>
      </c>
      <c r="G237" s="41" t="str">
        <f t="shared" si="14"/>
        <v>00</v>
      </c>
    </row>
    <row r="238" spans="1:7" x14ac:dyDescent="0.6">
      <c r="A238" t="str">
        <f t="shared" si="12"/>
        <v>20260123_0236</v>
      </c>
      <c r="B238" s="12">
        <v>46045</v>
      </c>
      <c r="C238" s="13">
        <v>236</v>
      </c>
      <c r="D238" s="4" t="str">
        <f t="shared" si="15"/>
        <v>00</v>
      </c>
      <c r="E238" s="14">
        <v>0</v>
      </c>
      <c r="F238">
        <f t="shared" si="13"/>
        <v>3</v>
      </c>
      <c r="G238" s="41" t="str">
        <f t="shared" si="14"/>
        <v>00</v>
      </c>
    </row>
    <row r="239" spans="1:7" x14ac:dyDescent="0.6">
      <c r="A239" t="str">
        <f t="shared" si="12"/>
        <v>20260123_0237</v>
      </c>
      <c r="B239" s="12">
        <v>46045</v>
      </c>
      <c r="C239" s="13">
        <v>237</v>
      </c>
      <c r="D239" s="4" t="str">
        <f t="shared" si="15"/>
        <v>00</v>
      </c>
      <c r="E239" s="14">
        <v>0</v>
      </c>
      <c r="F239">
        <f t="shared" si="13"/>
        <v>3</v>
      </c>
      <c r="G239" s="41" t="str">
        <f t="shared" si="14"/>
        <v>00</v>
      </c>
    </row>
    <row r="240" spans="1:7" x14ac:dyDescent="0.6">
      <c r="A240" t="str">
        <f t="shared" si="12"/>
        <v>20260123_0238</v>
      </c>
      <c r="B240" s="12">
        <v>46045</v>
      </c>
      <c r="C240" s="13">
        <v>238</v>
      </c>
      <c r="D240" s="4" t="str">
        <f t="shared" si="15"/>
        <v>00</v>
      </c>
      <c r="E240" s="14">
        <v>0</v>
      </c>
      <c r="F240">
        <f t="shared" si="13"/>
        <v>3</v>
      </c>
      <c r="G240" s="41" t="str">
        <f t="shared" si="14"/>
        <v>00</v>
      </c>
    </row>
    <row r="241" spans="1:7" x14ac:dyDescent="0.6">
      <c r="A241" t="str">
        <f t="shared" si="12"/>
        <v>20260123_0239</v>
      </c>
      <c r="B241" s="12">
        <v>46045</v>
      </c>
      <c r="C241" s="13">
        <v>239</v>
      </c>
      <c r="D241" s="4" t="str">
        <f t="shared" si="15"/>
        <v>00</v>
      </c>
      <c r="E241" s="14">
        <v>0</v>
      </c>
      <c r="F241">
        <f t="shared" si="13"/>
        <v>3</v>
      </c>
      <c r="G241" s="41" t="str">
        <f t="shared" si="14"/>
        <v>00</v>
      </c>
    </row>
    <row r="242" spans="1:7" x14ac:dyDescent="0.6">
      <c r="A242" t="str">
        <f t="shared" si="12"/>
        <v>20260123_0240</v>
      </c>
      <c r="B242" s="12">
        <v>46045</v>
      </c>
      <c r="C242" s="13">
        <v>240</v>
      </c>
      <c r="D242" s="4" t="str">
        <f t="shared" si="15"/>
        <v>00</v>
      </c>
      <c r="E242" s="14">
        <v>0</v>
      </c>
      <c r="F242">
        <f t="shared" si="13"/>
        <v>4</v>
      </c>
      <c r="G242" s="41" t="str">
        <f t="shared" si="14"/>
        <v>00</v>
      </c>
    </row>
    <row r="243" spans="1:7" x14ac:dyDescent="0.6">
      <c r="A243" t="str">
        <f t="shared" si="12"/>
        <v>20260123_0241</v>
      </c>
      <c r="B243" s="12">
        <v>46045</v>
      </c>
      <c r="C243" s="13">
        <v>241</v>
      </c>
      <c r="D243" s="4" t="str">
        <f t="shared" si="15"/>
        <v>00</v>
      </c>
      <c r="E243" s="14">
        <v>0</v>
      </c>
      <c r="F243">
        <f t="shared" si="13"/>
        <v>4</v>
      </c>
      <c r="G243" s="41" t="str">
        <f t="shared" si="14"/>
        <v>00</v>
      </c>
    </row>
    <row r="244" spans="1:7" x14ac:dyDescent="0.6">
      <c r="A244" t="str">
        <f t="shared" si="12"/>
        <v>20260123_0242</v>
      </c>
      <c r="B244" s="12">
        <v>46045</v>
      </c>
      <c r="C244" s="13">
        <v>242</v>
      </c>
      <c r="D244" s="4" t="str">
        <f t="shared" si="15"/>
        <v>00</v>
      </c>
      <c r="E244" s="14">
        <v>0</v>
      </c>
      <c r="F244">
        <f t="shared" si="13"/>
        <v>4</v>
      </c>
      <c r="G244" s="41" t="str">
        <f t="shared" si="14"/>
        <v>00</v>
      </c>
    </row>
    <row r="245" spans="1:7" x14ac:dyDescent="0.6">
      <c r="A245" t="str">
        <f t="shared" si="12"/>
        <v>20260123_0243</v>
      </c>
      <c r="B245" s="12">
        <v>46045</v>
      </c>
      <c r="C245" s="13">
        <v>243</v>
      </c>
      <c r="D245" s="4" t="str">
        <f t="shared" si="15"/>
        <v>00</v>
      </c>
      <c r="E245" s="14">
        <v>0</v>
      </c>
      <c r="F245">
        <f t="shared" si="13"/>
        <v>4</v>
      </c>
      <c r="G245" s="41" t="str">
        <f t="shared" si="14"/>
        <v>00</v>
      </c>
    </row>
    <row r="246" spans="1:7" x14ac:dyDescent="0.6">
      <c r="A246" t="str">
        <f t="shared" si="12"/>
        <v>20260123_0244</v>
      </c>
      <c r="B246" s="12">
        <v>46045</v>
      </c>
      <c r="C246" s="13">
        <v>244</v>
      </c>
      <c r="D246" s="4" t="str">
        <f t="shared" si="15"/>
        <v>00</v>
      </c>
      <c r="E246" s="14">
        <v>0</v>
      </c>
      <c r="F246">
        <f t="shared" si="13"/>
        <v>4</v>
      </c>
      <c r="G246" s="41" t="str">
        <f t="shared" si="14"/>
        <v>00</v>
      </c>
    </row>
    <row r="247" spans="1:7" x14ac:dyDescent="0.6">
      <c r="A247" t="str">
        <f t="shared" si="12"/>
        <v>20260123_0245</v>
      </c>
      <c r="B247" s="12">
        <v>46045</v>
      </c>
      <c r="C247" s="13">
        <v>245</v>
      </c>
      <c r="D247" s="4" t="str">
        <f t="shared" si="15"/>
        <v>00</v>
      </c>
      <c r="E247" s="14">
        <v>0</v>
      </c>
      <c r="F247">
        <f t="shared" si="13"/>
        <v>4</v>
      </c>
      <c r="G247" s="41" t="str">
        <f t="shared" si="14"/>
        <v>00</v>
      </c>
    </row>
    <row r="248" spans="1:7" x14ac:dyDescent="0.6">
      <c r="A248" t="str">
        <f t="shared" si="12"/>
        <v>20260123_0246</v>
      </c>
      <c r="B248" s="12">
        <v>46045</v>
      </c>
      <c r="C248" s="13">
        <v>246</v>
      </c>
      <c r="D248" s="4" t="str">
        <f t="shared" si="15"/>
        <v>00</v>
      </c>
      <c r="E248" s="14">
        <v>0</v>
      </c>
      <c r="F248">
        <f t="shared" si="13"/>
        <v>4</v>
      </c>
      <c r="G248" s="41" t="str">
        <f t="shared" si="14"/>
        <v>00</v>
      </c>
    </row>
    <row r="249" spans="1:7" x14ac:dyDescent="0.6">
      <c r="A249" t="str">
        <f t="shared" si="12"/>
        <v>20260123_0247</v>
      </c>
      <c r="B249" s="12">
        <v>46045</v>
      </c>
      <c r="C249" s="13">
        <v>247</v>
      </c>
      <c r="D249" s="4" t="str">
        <f t="shared" si="15"/>
        <v>00</v>
      </c>
      <c r="E249" s="14">
        <v>0</v>
      </c>
      <c r="F249">
        <f t="shared" si="13"/>
        <v>4</v>
      </c>
      <c r="G249" s="41" t="str">
        <f t="shared" si="14"/>
        <v>00</v>
      </c>
    </row>
    <row r="250" spans="1:7" x14ac:dyDescent="0.6">
      <c r="A250" t="str">
        <f t="shared" si="12"/>
        <v>20260123_0248</v>
      </c>
      <c r="B250" s="12">
        <v>46045</v>
      </c>
      <c r="C250" s="13">
        <v>248</v>
      </c>
      <c r="D250" s="4" t="str">
        <f t="shared" si="15"/>
        <v>00</v>
      </c>
      <c r="E250" s="14">
        <v>0</v>
      </c>
      <c r="F250">
        <f t="shared" si="13"/>
        <v>4</v>
      </c>
      <c r="G250" s="41" t="str">
        <f t="shared" si="14"/>
        <v>00</v>
      </c>
    </row>
    <row r="251" spans="1:7" x14ac:dyDescent="0.6">
      <c r="A251" t="str">
        <f t="shared" si="12"/>
        <v>20260123_0249</v>
      </c>
      <c r="B251" s="12">
        <v>46045</v>
      </c>
      <c r="C251" s="13">
        <v>249</v>
      </c>
      <c r="D251" s="4" t="str">
        <f t="shared" si="15"/>
        <v>00</v>
      </c>
      <c r="E251" s="14">
        <v>0</v>
      </c>
      <c r="F251">
        <f t="shared" si="13"/>
        <v>4</v>
      </c>
      <c r="G251" s="41" t="str">
        <f t="shared" si="14"/>
        <v>00</v>
      </c>
    </row>
    <row r="252" spans="1:7" x14ac:dyDescent="0.6">
      <c r="A252" t="str">
        <f t="shared" si="12"/>
        <v>20260123_0250</v>
      </c>
      <c r="B252" s="12">
        <v>46045</v>
      </c>
      <c r="C252" s="13">
        <v>250</v>
      </c>
      <c r="D252" s="4" t="str">
        <f t="shared" si="15"/>
        <v>00</v>
      </c>
      <c r="E252" s="14">
        <v>0</v>
      </c>
      <c r="F252">
        <f t="shared" si="13"/>
        <v>4</v>
      </c>
      <c r="G252" s="41" t="str">
        <f t="shared" si="14"/>
        <v>00</v>
      </c>
    </row>
    <row r="253" spans="1:7" x14ac:dyDescent="0.6">
      <c r="A253" t="str">
        <f t="shared" si="12"/>
        <v>20260123_0251</v>
      </c>
      <c r="B253" s="12">
        <v>46045</v>
      </c>
      <c r="C253" s="13">
        <v>251</v>
      </c>
      <c r="D253" s="4" t="str">
        <f t="shared" si="15"/>
        <v>00</v>
      </c>
      <c r="E253" s="14">
        <v>0</v>
      </c>
      <c r="F253">
        <f t="shared" si="13"/>
        <v>4</v>
      </c>
      <c r="G253" s="41" t="str">
        <f t="shared" si="14"/>
        <v>00</v>
      </c>
    </row>
    <row r="254" spans="1:7" x14ac:dyDescent="0.6">
      <c r="A254" t="str">
        <f t="shared" si="12"/>
        <v>20260123_0252</v>
      </c>
      <c r="B254" s="12">
        <v>46045</v>
      </c>
      <c r="C254" s="13">
        <v>252</v>
      </c>
      <c r="D254" s="4" t="str">
        <f t="shared" si="15"/>
        <v>00</v>
      </c>
      <c r="E254" s="14">
        <v>0</v>
      </c>
      <c r="F254">
        <f t="shared" si="13"/>
        <v>4</v>
      </c>
      <c r="G254" s="41" t="str">
        <f t="shared" si="14"/>
        <v>00</v>
      </c>
    </row>
    <row r="255" spans="1:7" x14ac:dyDescent="0.6">
      <c r="A255" t="str">
        <f t="shared" si="12"/>
        <v>20260123_0253</v>
      </c>
      <c r="B255" s="12">
        <v>46045</v>
      </c>
      <c r="C255" s="13">
        <v>253</v>
      </c>
      <c r="D255" s="4" t="str">
        <f t="shared" si="15"/>
        <v>00</v>
      </c>
      <c r="E255" s="14">
        <v>0</v>
      </c>
      <c r="F255">
        <f t="shared" si="13"/>
        <v>4</v>
      </c>
      <c r="G255" s="41" t="str">
        <f t="shared" si="14"/>
        <v>00</v>
      </c>
    </row>
    <row r="256" spans="1:7" x14ac:dyDescent="0.6">
      <c r="A256" t="str">
        <f t="shared" si="12"/>
        <v>20260123_0254</v>
      </c>
      <c r="B256" s="12">
        <v>46045</v>
      </c>
      <c r="C256" s="13">
        <v>254</v>
      </c>
      <c r="D256" s="4" t="str">
        <f t="shared" si="15"/>
        <v>00</v>
      </c>
      <c r="E256" s="14">
        <v>0</v>
      </c>
      <c r="F256">
        <f t="shared" si="13"/>
        <v>4</v>
      </c>
      <c r="G256" s="41" t="str">
        <f t="shared" si="14"/>
        <v>00</v>
      </c>
    </row>
    <row r="257" spans="1:7" x14ac:dyDescent="0.6">
      <c r="A257" t="str">
        <f t="shared" si="12"/>
        <v>20260123_0255</v>
      </c>
      <c r="B257" s="12">
        <v>46045</v>
      </c>
      <c r="C257" s="13">
        <v>255</v>
      </c>
      <c r="D257" s="4" t="str">
        <f t="shared" si="15"/>
        <v>00</v>
      </c>
      <c r="E257" s="14">
        <v>0</v>
      </c>
      <c r="F257">
        <f t="shared" si="13"/>
        <v>4</v>
      </c>
      <c r="G257" s="41" t="str">
        <f t="shared" si="14"/>
        <v>00</v>
      </c>
    </row>
    <row r="258" spans="1:7" x14ac:dyDescent="0.6">
      <c r="A258" t="str">
        <f t="shared" ref="A258:A321" si="16">IF(B258="","",TEXT(B258,"yyyymmdd")&amp;"_"&amp;TEXT(C258,"0000"))</f>
        <v>20260123_0256</v>
      </c>
      <c r="B258" s="12">
        <v>46045</v>
      </c>
      <c r="C258" s="13">
        <v>256</v>
      </c>
      <c r="D258" s="4" t="str">
        <f t="shared" si="15"/>
        <v>00</v>
      </c>
      <c r="E258" s="14">
        <v>0</v>
      </c>
      <c r="F258">
        <f t="shared" ref="F258:F321" si="17">IF(C258="","",INT(C258/60))</f>
        <v>4</v>
      </c>
      <c r="G258" s="41" t="str">
        <f t="shared" ref="G258:G321" si="18">IF(D258="","",IF(LEN(UPPER(SUBSTITUTE(SUBSTITUTE(TRIM(D258),CHAR(160),"")," ","")))=1,"0"&amp;UPPER(SUBSTITUTE(SUBSTITUTE(TRIM(D258),CHAR(160),"")," ","")),UPPER(SUBSTITUTE(SUBSTITUTE(TRIM(D258),CHAR(160),"")," ",""))))</f>
        <v>00</v>
      </c>
    </row>
    <row r="259" spans="1:7" x14ac:dyDescent="0.6">
      <c r="A259" t="str">
        <f t="shared" si="16"/>
        <v>20260123_0257</v>
      </c>
      <c r="B259" s="12">
        <v>46045</v>
      </c>
      <c r="C259" s="13">
        <v>257</v>
      </c>
      <c r="D259" s="4" t="str">
        <f t="shared" ref="D259:D322" si="19">MID(I$1,$C259*2+1,2)</f>
        <v>00</v>
      </c>
      <c r="E259" s="14">
        <v>0</v>
      </c>
      <c r="F259">
        <f t="shared" si="17"/>
        <v>4</v>
      </c>
      <c r="G259" s="41" t="str">
        <f t="shared" si="18"/>
        <v>00</v>
      </c>
    </row>
    <row r="260" spans="1:7" x14ac:dyDescent="0.6">
      <c r="A260" t="str">
        <f t="shared" si="16"/>
        <v>20260123_0258</v>
      </c>
      <c r="B260" s="12">
        <v>46045</v>
      </c>
      <c r="C260" s="13">
        <v>258</v>
      </c>
      <c r="D260" s="4" t="str">
        <f t="shared" si="19"/>
        <v>00</v>
      </c>
      <c r="E260" s="14">
        <v>0</v>
      </c>
      <c r="F260">
        <f t="shared" si="17"/>
        <v>4</v>
      </c>
      <c r="G260" s="41" t="str">
        <f t="shared" si="18"/>
        <v>00</v>
      </c>
    </row>
    <row r="261" spans="1:7" x14ac:dyDescent="0.6">
      <c r="A261" t="str">
        <f t="shared" si="16"/>
        <v>20260123_0259</v>
      </c>
      <c r="B261" s="12">
        <v>46045</v>
      </c>
      <c r="C261" s="13">
        <v>259</v>
      </c>
      <c r="D261" s="4" t="str">
        <f t="shared" si="19"/>
        <v>00</v>
      </c>
      <c r="E261" s="14">
        <v>0</v>
      </c>
      <c r="F261">
        <f t="shared" si="17"/>
        <v>4</v>
      </c>
      <c r="G261" s="41" t="str">
        <f t="shared" si="18"/>
        <v>00</v>
      </c>
    </row>
    <row r="262" spans="1:7" x14ac:dyDescent="0.6">
      <c r="A262" t="str">
        <f t="shared" si="16"/>
        <v>20260123_0260</v>
      </c>
      <c r="B262" s="12">
        <v>46045</v>
      </c>
      <c r="C262" s="13">
        <v>260</v>
      </c>
      <c r="D262" s="4" t="str">
        <f t="shared" si="19"/>
        <v>00</v>
      </c>
      <c r="E262" s="14">
        <v>0</v>
      </c>
      <c r="F262">
        <f t="shared" si="17"/>
        <v>4</v>
      </c>
      <c r="G262" s="41" t="str">
        <f t="shared" si="18"/>
        <v>00</v>
      </c>
    </row>
    <row r="263" spans="1:7" x14ac:dyDescent="0.6">
      <c r="A263" t="str">
        <f t="shared" si="16"/>
        <v>20260123_0261</v>
      </c>
      <c r="B263" s="12">
        <v>46045</v>
      </c>
      <c r="C263" s="13">
        <v>261</v>
      </c>
      <c r="D263" s="4" t="str">
        <f t="shared" si="19"/>
        <v>00</v>
      </c>
      <c r="E263" s="14">
        <v>0</v>
      </c>
      <c r="F263">
        <f t="shared" si="17"/>
        <v>4</v>
      </c>
      <c r="G263" s="41" t="str">
        <f t="shared" si="18"/>
        <v>00</v>
      </c>
    </row>
    <row r="264" spans="1:7" x14ac:dyDescent="0.6">
      <c r="A264" t="str">
        <f t="shared" si="16"/>
        <v>20260123_0262</v>
      </c>
      <c r="B264" s="12">
        <v>46045</v>
      </c>
      <c r="C264" s="13">
        <v>262</v>
      </c>
      <c r="D264" s="4" t="str">
        <f t="shared" si="19"/>
        <v>00</v>
      </c>
      <c r="E264" s="14">
        <v>0</v>
      </c>
      <c r="F264">
        <f t="shared" si="17"/>
        <v>4</v>
      </c>
      <c r="G264" s="41" t="str">
        <f t="shared" si="18"/>
        <v>00</v>
      </c>
    </row>
    <row r="265" spans="1:7" x14ac:dyDescent="0.6">
      <c r="A265" t="str">
        <f t="shared" si="16"/>
        <v>20260123_0263</v>
      </c>
      <c r="B265" s="12">
        <v>46045</v>
      </c>
      <c r="C265" s="13">
        <v>263</v>
      </c>
      <c r="D265" s="4" t="str">
        <f t="shared" si="19"/>
        <v>00</v>
      </c>
      <c r="E265" s="14">
        <v>0</v>
      </c>
      <c r="F265">
        <f t="shared" si="17"/>
        <v>4</v>
      </c>
      <c r="G265" s="41" t="str">
        <f t="shared" si="18"/>
        <v>00</v>
      </c>
    </row>
    <row r="266" spans="1:7" x14ac:dyDescent="0.6">
      <c r="A266" t="str">
        <f t="shared" si="16"/>
        <v>20260123_0264</v>
      </c>
      <c r="B266" s="12">
        <v>46045</v>
      </c>
      <c r="C266" s="13">
        <v>264</v>
      </c>
      <c r="D266" s="4" t="str">
        <f t="shared" si="19"/>
        <v>00</v>
      </c>
      <c r="E266" s="14">
        <v>0</v>
      </c>
      <c r="F266">
        <f t="shared" si="17"/>
        <v>4</v>
      </c>
      <c r="G266" s="41" t="str">
        <f t="shared" si="18"/>
        <v>00</v>
      </c>
    </row>
    <row r="267" spans="1:7" x14ac:dyDescent="0.6">
      <c r="A267" t="str">
        <f t="shared" si="16"/>
        <v>20260123_0265</v>
      </c>
      <c r="B267" s="12">
        <v>46045</v>
      </c>
      <c r="C267" s="13">
        <v>265</v>
      </c>
      <c r="D267" s="4" t="str">
        <f t="shared" si="19"/>
        <v>00</v>
      </c>
      <c r="E267" s="14">
        <v>0</v>
      </c>
      <c r="F267">
        <f t="shared" si="17"/>
        <v>4</v>
      </c>
      <c r="G267" s="41" t="str">
        <f t="shared" si="18"/>
        <v>00</v>
      </c>
    </row>
    <row r="268" spans="1:7" x14ac:dyDescent="0.6">
      <c r="A268" t="str">
        <f t="shared" si="16"/>
        <v>20260123_0266</v>
      </c>
      <c r="B268" s="12">
        <v>46045</v>
      </c>
      <c r="C268" s="13">
        <v>266</v>
      </c>
      <c r="D268" s="4" t="str">
        <f t="shared" si="19"/>
        <v>00</v>
      </c>
      <c r="E268" s="14">
        <v>0</v>
      </c>
      <c r="F268">
        <f t="shared" si="17"/>
        <v>4</v>
      </c>
      <c r="G268" s="41" t="str">
        <f t="shared" si="18"/>
        <v>00</v>
      </c>
    </row>
    <row r="269" spans="1:7" x14ac:dyDescent="0.6">
      <c r="A269" t="str">
        <f t="shared" si="16"/>
        <v>20260123_0267</v>
      </c>
      <c r="B269" s="12">
        <v>46045</v>
      </c>
      <c r="C269" s="13">
        <v>267</v>
      </c>
      <c r="D269" s="4" t="str">
        <f t="shared" si="19"/>
        <v>00</v>
      </c>
      <c r="E269" s="14">
        <v>0</v>
      </c>
      <c r="F269">
        <f t="shared" si="17"/>
        <v>4</v>
      </c>
      <c r="G269" s="41" t="str">
        <f t="shared" si="18"/>
        <v>00</v>
      </c>
    </row>
    <row r="270" spans="1:7" x14ac:dyDescent="0.6">
      <c r="A270" t="str">
        <f t="shared" si="16"/>
        <v>20260123_0268</v>
      </c>
      <c r="B270" s="12">
        <v>46045</v>
      </c>
      <c r="C270" s="13">
        <v>268</v>
      </c>
      <c r="D270" s="4" t="str">
        <f t="shared" si="19"/>
        <v>00</v>
      </c>
      <c r="E270" s="14">
        <v>0</v>
      </c>
      <c r="F270">
        <f t="shared" si="17"/>
        <v>4</v>
      </c>
      <c r="G270" s="41" t="str">
        <f t="shared" si="18"/>
        <v>00</v>
      </c>
    </row>
    <row r="271" spans="1:7" x14ac:dyDescent="0.6">
      <c r="A271" t="str">
        <f t="shared" si="16"/>
        <v>20260123_0269</v>
      </c>
      <c r="B271" s="12">
        <v>46045</v>
      </c>
      <c r="C271" s="13">
        <v>269</v>
      </c>
      <c r="D271" s="4" t="str">
        <f t="shared" si="19"/>
        <v>00</v>
      </c>
      <c r="E271" s="14">
        <v>0</v>
      </c>
      <c r="F271">
        <f t="shared" si="17"/>
        <v>4</v>
      </c>
      <c r="G271" s="41" t="str">
        <f t="shared" si="18"/>
        <v>00</v>
      </c>
    </row>
    <row r="272" spans="1:7" x14ac:dyDescent="0.6">
      <c r="A272" t="str">
        <f t="shared" si="16"/>
        <v>20260123_0270</v>
      </c>
      <c r="B272" s="12">
        <v>46045</v>
      </c>
      <c r="C272" s="13">
        <v>270</v>
      </c>
      <c r="D272" s="4" t="str">
        <f t="shared" si="19"/>
        <v>00</v>
      </c>
      <c r="E272" s="14">
        <v>0</v>
      </c>
      <c r="F272">
        <f t="shared" si="17"/>
        <v>4</v>
      </c>
      <c r="G272" s="41" t="str">
        <f t="shared" si="18"/>
        <v>00</v>
      </c>
    </row>
    <row r="273" spans="1:7" x14ac:dyDescent="0.6">
      <c r="A273" t="str">
        <f t="shared" si="16"/>
        <v>20260123_0271</v>
      </c>
      <c r="B273" s="12">
        <v>46045</v>
      </c>
      <c r="C273" s="13">
        <v>271</v>
      </c>
      <c r="D273" s="4" t="str">
        <f t="shared" si="19"/>
        <v>00</v>
      </c>
      <c r="E273" s="14">
        <v>0</v>
      </c>
      <c r="F273">
        <f t="shared" si="17"/>
        <v>4</v>
      </c>
      <c r="G273" s="41" t="str">
        <f t="shared" si="18"/>
        <v>00</v>
      </c>
    </row>
    <row r="274" spans="1:7" x14ac:dyDescent="0.6">
      <c r="A274" t="str">
        <f t="shared" si="16"/>
        <v>20260123_0272</v>
      </c>
      <c r="B274" s="12">
        <v>46045</v>
      </c>
      <c r="C274" s="13">
        <v>272</v>
      </c>
      <c r="D274" s="4" t="str">
        <f t="shared" si="19"/>
        <v>00</v>
      </c>
      <c r="E274" s="14">
        <v>0</v>
      </c>
      <c r="F274">
        <f t="shared" si="17"/>
        <v>4</v>
      </c>
      <c r="G274" s="41" t="str">
        <f t="shared" si="18"/>
        <v>00</v>
      </c>
    </row>
    <row r="275" spans="1:7" x14ac:dyDescent="0.6">
      <c r="A275" t="str">
        <f t="shared" si="16"/>
        <v>20260123_0273</v>
      </c>
      <c r="B275" s="12">
        <v>46045</v>
      </c>
      <c r="C275" s="13">
        <v>273</v>
      </c>
      <c r="D275" s="4" t="str">
        <f t="shared" si="19"/>
        <v>00</v>
      </c>
      <c r="E275" s="14">
        <v>0</v>
      </c>
      <c r="F275">
        <f t="shared" si="17"/>
        <v>4</v>
      </c>
      <c r="G275" s="41" t="str">
        <f t="shared" si="18"/>
        <v>00</v>
      </c>
    </row>
    <row r="276" spans="1:7" x14ac:dyDescent="0.6">
      <c r="A276" t="str">
        <f t="shared" si="16"/>
        <v>20260123_0274</v>
      </c>
      <c r="B276" s="12">
        <v>46045</v>
      </c>
      <c r="C276" s="13">
        <v>274</v>
      </c>
      <c r="D276" s="4" t="str">
        <f t="shared" si="19"/>
        <v>00</v>
      </c>
      <c r="E276" s="14">
        <v>0</v>
      </c>
      <c r="F276">
        <f t="shared" si="17"/>
        <v>4</v>
      </c>
      <c r="G276" s="41" t="str">
        <f t="shared" si="18"/>
        <v>00</v>
      </c>
    </row>
    <row r="277" spans="1:7" x14ac:dyDescent="0.6">
      <c r="A277" t="str">
        <f t="shared" si="16"/>
        <v>20260123_0275</v>
      </c>
      <c r="B277" s="12">
        <v>46045</v>
      </c>
      <c r="C277" s="13">
        <v>275</v>
      </c>
      <c r="D277" s="4" t="str">
        <f t="shared" si="19"/>
        <v>00</v>
      </c>
      <c r="E277" s="14">
        <v>0</v>
      </c>
      <c r="F277">
        <f t="shared" si="17"/>
        <v>4</v>
      </c>
      <c r="G277" s="41" t="str">
        <f t="shared" si="18"/>
        <v>00</v>
      </c>
    </row>
    <row r="278" spans="1:7" x14ac:dyDescent="0.6">
      <c r="A278" t="str">
        <f t="shared" si="16"/>
        <v>20260123_0276</v>
      </c>
      <c r="B278" s="12">
        <v>46045</v>
      </c>
      <c r="C278" s="13">
        <v>276</v>
      </c>
      <c r="D278" s="4" t="str">
        <f t="shared" si="19"/>
        <v>00</v>
      </c>
      <c r="E278" s="14">
        <v>0</v>
      </c>
      <c r="F278">
        <f t="shared" si="17"/>
        <v>4</v>
      </c>
      <c r="G278" s="41" t="str">
        <f t="shared" si="18"/>
        <v>00</v>
      </c>
    </row>
    <row r="279" spans="1:7" x14ac:dyDescent="0.6">
      <c r="A279" t="str">
        <f t="shared" si="16"/>
        <v>20260123_0277</v>
      </c>
      <c r="B279" s="12">
        <v>46045</v>
      </c>
      <c r="C279" s="13">
        <v>277</v>
      </c>
      <c r="D279" s="4" t="str">
        <f t="shared" si="19"/>
        <v>00</v>
      </c>
      <c r="E279" s="14">
        <v>0</v>
      </c>
      <c r="F279">
        <f t="shared" si="17"/>
        <v>4</v>
      </c>
      <c r="G279" s="41" t="str">
        <f t="shared" si="18"/>
        <v>00</v>
      </c>
    </row>
    <row r="280" spans="1:7" x14ac:dyDescent="0.6">
      <c r="A280" t="str">
        <f t="shared" si="16"/>
        <v>20260123_0278</v>
      </c>
      <c r="B280" s="12">
        <v>46045</v>
      </c>
      <c r="C280" s="13">
        <v>278</v>
      </c>
      <c r="D280" s="4" t="str">
        <f t="shared" si="19"/>
        <v>00</v>
      </c>
      <c r="E280" s="14">
        <v>0</v>
      </c>
      <c r="F280">
        <f t="shared" si="17"/>
        <v>4</v>
      </c>
      <c r="G280" s="41" t="str">
        <f t="shared" si="18"/>
        <v>00</v>
      </c>
    </row>
    <row r="281" spans="1:7" x14ac:dyDescent="0.6">
      <c r="A281" t="str">
        <f t="shared" si="16"/>
        <v>20260123_0279</v>
      </c>
      <c r="B281" s="12">
        <v>46045</v>
      </c>
      <c r="C281" s="13">
        <v>279</v>
      </c>
      <c r="D281" s="4" t="str">
        <f t="shared" si="19"/>
        <v>00</v>
      </c>
      <c r="E281" s="14">
        <v>0</v>
      </c>
      <c r="F281">
        <f t="shared" si="17"/>
        <v>4</v>
      </c>
      <c r="G281" s="41" t="str">
        <f t="shared" si="18"/>
        <v>00</v>
      </c>
    </row>
    <row r="282" spans="1:7" x14ac:dyDescent="0.6">
      <c r="A282" t="str">
        <f t="shared" si="16"/>
        <v>20260123_0280</v>
      </c>
      <c r="B282" s="12">
        <v>46045</v>
      </c>
      <c r="C282" s="13">
        <v>280</v>
      </c>
      <c r="D282" s="4" t="str">
        <f t="shared" si="19"/>
        <v>00</v>
      </c>
      <c r="E282" s="14">
        <v>0</v>
      </c>
      <c r="F282">
        <f t="shared" si="17"/>
        <v>4</v>
      </c>
      <c r="G282" s="41" t="str">
        <f t="shared" si="18"/>
        <v>00</v>
      </c>
    </row>
    <row r="283" spans="1:7" x14ac:dyDescent="0.6">
      <c r="A283" t="str">
        <f t="shared" si="16"/>
        <v>20260123_0281</v>
      </c>
      <c r="B283" s="12">
        <v>46045</v>
      </c>
      <c r="C283" s="13">
        <v>281</v>
      </c>
      <c r="D283" s="4" t="str">
        <f t="shared" si="19"/>
        <v>00</v>
      </c>
      <c r="E283" s="14">
        <v>0</v>
      </c>
      <c r="F283">
        <f t="shared" si="17"/>
        <v>4</v>
      </c>
      <c r="G283" s="41" t="str">
        <f t="shared" si="18"/>
        <v>00</v>
      </c>
    </row>
    <row r="284" spans="1:7" x14ac:dyDescent="0.6">
      <c r="A284" t="str">
        <f t="shared" si="16"/>
        <v>20260123_0282</v>
      </c>
      <c r="B284" s="12">
        <v>46045</v>
      </c>
      <c r="C284" s="13">
        <v>282</v>
      </c>
      <c r="D284" s="4" t="str">
        <f t="shared" si="19"/>
        <v>00</v>
      </c>
      <c r="E284" s="14">
        <v>0</v>
      </c>
      <c r="F284">
        <f t="shared" si="17"/>
        <v>4</v>
      </c>
      <c r="G284" s="41" t="str">
        <f t="shared" si="18"/>
        <v>00</v>
      </c>
    </row>
    <row r="285" spans="1:7" x14ac:dyDescent="0.6">
      <c r="A285" t="str">
        <f t="shared" si="16"/>
        <v>20260123_0283</v>
      </c>
      <c r="B285" s="12">
        <v>46045</v>
      </c>
      <c r="C285" s="13">
        <v>283</v>
      </c>
      <c r="D285" s="4" t="str">
        <f t="shared" si="19"/>
        <v>00</v>
      </c>
      <c r="E285" s="14">
        <v>0</v>
      </c>
      <c r="F285">
        <f t="shared" si="17"/>
        <v>4</v>
      </c>
      <c r="G285" s="41" t="str">
        <f t="shared" si="18"/>
        <v>00</v>
      </c>
    </row>
    <row r="286" spans="1:7" x14ac:dyDescent="0.6">
      <c r="A286" t="str">
        <f t="shared" si="16"/>
        <v>20260123_0284</v>
      </c>
      <c r="B286" s="12">
        <v>46045</v>
      </c>
      <c r="C286" s="13">
        <v>284</v>
      </c>
      <c r="D286" s="4" t="str">
        <f t="shared" si="19"/>
        <v>00</v>
      </c>
      <c r="E286" s="14">
        <v>0</v>
      </c>
      <c r="F286">
        <f t="shared" si="17"/>
        <v>4</v>
      </c>
      <c r="G286" s="41" t="str">
        <f t="shared" si="18"/>
        <v>00</v>
      </c>
    </row>
    <row r="287" spans="1:7" x14ac:dyDescent="0.6">
      <c r="A287" t="str">
        <f t="shared" si="16"/>
        <v>20260123_0285</v>
      </c>
      <c r="B287" s="12">
        <v>46045</v>
      </c>
      <c r="C287" s="13">
        <v>285</v>
      </c>
      <c r="D287" s="4" t="str">
        <f t="shared" si="19"/>
        <v>00</v>
      </c>
      <c r="E287" s="14">
        <v>0</v>
      </c>
      <c r="F287">
        <f t="shared" si="17"/>
        <v>4</v>
      </c>
      <c r="G287" s="41" t="str">
        <f t="shared" si="18"/>
        <v>00</v>
      </c>
    </row>
    <row r="288" spans="1:7" x14ac:dyDescent="0.6">
      <c r="A288" t="str">
        <f t="shared" si="16"/>
        <v>20260123_0286</v>
      </c>
      <c r="B288" s="12">
        <v>46045</v>
      </c>
      <c r="C288" s="13">
        <v>286</v>
      </c>
      <c r="D288" s="4" t="str">
        <f t="shared" si="19"/>
        <v>00</v>
      </c>
      <c r="E288" s="14">
        <v>0</v>
      </c>
      <c r="F288">
        <f t="shared" si="17"/>
        <v>4</v>
      </c>
      <c r="G288" s="41" t="str">
        <f t="shared" si="18"/>
        <v>00</v>
      </c>
    </row>
    <row r="289" spans="1:7" x14ac:dyDescent="0.6">
      <c r="A289" t="str">
        <f t="shared" si="16"/>
        <v>20260123_0287</v>
      </c>
      <c r="B289" s="12">
        <v>46045</v>
      </c>
      <c r="C289" s="13">
        <v>287</v>
      </c>
      <c r="D289" s="4" t="str">
        <f t="shared" si="19"/>
        <v>00</v>
      </c>
      <c r="E289" s="14">
        <v>0</v>
      </c>
      <c r="F289">
        <f t="shared" si="17"/>
        <v>4</v>
      </c>
      <c r="G289" s="41" t="str">
        <f t="shared" si="18"/>
        <v>00</v>
      </c>
    </row>
    <row r="290" spans="1:7" x14ac:dyDescent="0.6">
      <c r="A290" t="str">
        <f t="shared" si="16"/>
        <v>20260123_0288</v>
      </c>
      <c r="B290" s="12">
        <v>46045</v>
      </c>
      <c r="C290" s="13">
        <v>288</v>
      </c>
      <c r="D290" s="4" t="str">
        <f t="shared" si="19"/>
        <v>00</v>
      </c>
      <c r="E290" s="14">
        <v>0</v>
      </c>
      <c r="F290">
        <f t="shared" si="17"/>
        <v>4</v>
      </c>
      <c r="G290" s="41" t="str">
        <f t="shared" si="18"/>
        <v>00</v>
      </c>
    </row>
    <row r="291" spans="1:7" x14ac:dyDescent="0.6">
      <c r="A291" t="str">
        <f t="shared" si="16"/>
        <v>20260123_0289</v>
      </c>
      <c r="B291" s="12">
        <v>46045</v>
      </c>
      <c r="C291" s="13">
        <v>289</v>
      </c>
      <c r="D291" s="4" t="str">
        <f t="shared" si="19"/>
        <v>00</v>
      </c>
      <c r="E291" s="14">
        <v>0</v>
      </c>
      <c r="F291">
        <f t="shared" si="17"/>
        <v>4</v>
      </c>
      <c r="G291" s="41" t="str">
        <f t="shared" si="18"/>
        <v>00</v>
      </c>
    </row>
    <row r="292" spans="1:7" x14ac:dyDescent="0.6">
      <c r="A292" t="str">
        <f t="shared" si="16"/>
        <v>20260123_0290</v>
      </c>
      <c r="B292" s="12">
        <v>46045</v>
      </c>
      <c r="C292" s="13">
        <v>290</v>
      </c>
      <c r="D292" s="4" t="str">
        <f t="shared" si="19"/>
        <v>00</v>
      </c>
      <c r="E292" s="14">
        <v>0</v>
      </c>
      <c r="F292">
        <f t="shared" si="17"/>
        <v>4</v>
      </c>
      <c r="G292" s="41" t="str">
        <f t="shared" si="18"/>
        <v>00</v>
      </c>
    </row>
    <row r="293" spans="1:7" x14ac:dyDescent="0.6">
      <c r="A293" t="str">
        <f t="shared" si="16"/>
        <v>20260123_0291</v>
      </c>
      <c r="B293" s="12">
        <v>46045</v>
      </c>
      <c r="C293" s="13">
        <v>291</v>
      </c>
      <c r="D293" s="4" t="str">
        <f t="shared" si="19"/>
        <v>00</v>
      </c>
      <c r="E293" s="14">
        <v>0</v>
      </c>
      <c r="F293">
        <f t="shared" si="17"/>
        <v>4</v>
      </c>
      <c r="G293" s="41" t="str">
        <f t="shared" si="18"/>
        <v>00</v>
      </c>
    </row>
    <row r="294" spans="1:7" x14ac:dyDescent="0.6">
      <c r="A294" t="str">
        <f t="shared" si="16"/>
        <v>20260123_0292</v>
      </c>
      <c r="B294" s="12">
        <v>46045</v>
      </c>
      <c r="C294" s="13">
        <v>292</v>
      </c>
      <c r="D294" s="4" t="str">
        <f t="shared" si="19"/>
        <v>00</v>
      </c>
      <c r="E294" s="14">
        <v>0</v>
      </c>
      <c r="F294">
        <f t="shared" si="17"/>
        <v>4</v>
      </c>
      <c r="G294" s="41" t="str">
        <f t="shared" si="18"/>
        <v>00</v>
      </c>
    </row>
    <row r="295" spans="1:7" x14ac:dyDescent="0.6">
      <c r="A295" t="str">
        <f t="shared" si="16"/>
        <v>20260123_0293</v>
      </c>
      <c r="B295" s="12">
        <v>46045</v>
      </c>
      <c r="C295" s="13">
        <v>293</v>
      </c>
      <c r="D295" s="4" t="str">
        <f t="shared" si="19"/>
        <v>00</v>
      </c>
      <c r="E295" s="14">
        <v>0</v>
      </c>
      <c r="F295">
        <f t="shared" si="17"/>
        <v>4</v>
      </c>
      <c r="G295" s="41" t="str">
        <f t="shared" si="18"/>
        <v>00</v>
      </c>
    </row>
    <row r="296" spans="1:7" x14ac:dyDescent="0.6">
      <c r="A296" t="str">
        <f t="shared" si="16"/>
        <v>20260123_0294</v>
      </c>
      <c r="B296" s="12">
        <v>46045</v>
      </c>
      <c r="C296" s="13">
        <v>294</v>
      </c>
      <c r="D296" s="4" t="str">
        <f t="shared" si="19"/>
        <v>00</v>
      </c>
      <c r="E296" s="14">
        <v>0</v>
      </c>
      <c r="F296">
        <f t="shared" si="17"/>
        <v>4</v>
      </c>
      <c r="G296" s="41" t="str">
        <f t="shared" si="18"/>
        <v>00</v>
      </c>
    </row>
    <row r="297" spans="1:7" x14ac:dyDescent="0.6">
      <c r="A297" t="str">
        <f t="shared" si="16"/>
        <v>20260123_0295</v>
      </c>
      <c r="B297" s="12">
        <v>46045</v>
      </c>
      <c r="C297" s="13">
        <v>295</v>
      </c>
      <c r="D297" s="4" t="str">
        <f t="shared" si="19"/>
        <v>00</v>
      </c>
      <c r="E297" s="14">
        <v>0</v>
      </c>
      <c r="F297">
        <f t="shared" si="17"/>
        <v>4</v>
      </c>
      <c r="G297" s="41" t="str">
        <f t="shared" si="18"/>
        <v>00</v>
      </c>
    </row>
    <row r="298" spans="1:7" x14ac:dyDescent="0.6">
      <c r="A298" t="str">
        <f t="shared" si="16"/>
        <v>20260123_0296</v>
      </c>
      <c r="B298" s="12">
        <v>46045</v>
      </c>
      <c r="C298" s="13">
        <v>296</v>
      </c>
      <c r="D298" s="4" t="str">
        <f t="shared" si="19"/>
        <v>00</v>
      </c>
      <c r="E298" s="14">
        <v>0</v>
      </c>
      <c r="F298">
        <f t="shared" si="17"/>
        <v>4</v>
      </c>
      <c r="G298" s="41" t="str">
        <f t="shared" si="18"/>
        <v>00</v>
      </c>
    </row>
    <row r="299" spans="1:7" x14ac:dyDescent="0.6">
      <c r="A299" t="str">
        <f t="shared" si="16"/>
        <v>20260123_0297</v>
      </c>
      <c r="B299" s="12">
        <v>46045</v>
      </c>
      <c r="C299" s="13">
        <v>297</v>
      </c>
      <c r="D299" s="4" t="str">
        <f t="shared" si="19"/>
        <v>00</v>
      </c>
      <c r="E299" s="14">
        <v>0</v>
      </c>
      <c r="F299">
        <f t="shared" si="17"/>
        <v>4</v>
      </c>
      <c r="G299" s="41" t="str">
        <f t="shared" si="18"/>
        <v>00</v>
      </c>
    </row>
    <row r="300" spans="1:7" x14ac:dyDescent="0.6">
      <c r="A300" t="str">
        <f t="shared" si="16"/>
        <v>20260123_0298</v>
      </c>
      <c r="B300" s="12">
        <v>46045</v>
      </c>
      <c r="C300" s="13">
        <v>298</v>
      </c>
      <c r="D300" s="4" t="str">
        <f t="shared" si="19"/>
        <v>00</v>
      </c>
      <c r="E300" s="14">
        <v>0</v>
      </c>
      <c r="F300">
        <f t="shared" si="17"/>
        <v>4</v>
      </c>
      <c r="G300" s="41" t="str">
        <f t="shared" si="18"/>
        <v>00</v>
      </c>
    </row>
    <row r="301" spans="1:7" x14ac:dyDescent="0.6">
      <c r="A301" t="str">
        <f t="shared" si="16"/>
        <v>20260123_0299</v>
      </c>
      <c r="B301" s="12">
        <v>46045</v>
      </c>
      <c r="C301" s="13">
        <v>299</v>
      </c>
      <c r="D301" s="4" t="str">
        <f t="shared" si="19"/>
        <v>00</v>
      </c>
      <c r="E301" s="14">
        <v>0</v>
      </c>
      <c r="F301">
        <f t="shared" si="17"/>
        <v>4</v>
      </c>
      <c r="G301" s="41" t="str">
        <f t="shared" si="18"/>
        <v>00</v>
      </c>
    </row>
    <row r="302" spans="1:7" x14ac:dyDescent="0.6">
      <c r="A302" t="str">
        <f t="shared" si="16"/>
        <v>20260123_0300</v>
      </c>
      <c r="B302" s="12">
        <v>46045</v>
      </c>
      <c r="C302" s="13">
        <v>300</v>
      </c>
      <c r="D302" s="4" t="str">
        <f t="shared" si="19"/>
        <v>00</v>
      </c>
      <c r="E302" s="14">
        <v>0</v>
      </c>
      <c r="F302">
        <f t="shared" si="17"/>
        <v>5</v>
      </c>
      <c r="G302" s="41" t="str">
        <f t="shared" si="18"/>
        <v>00</v>
      </c>
    </row>
    <row r="303" spans="1:7" x14ac:dyDescent="0.6">
      <c r="A303" t="str">
        <f t="shared" si="16"/>
        <v>20260123_0301</v>
      </c>
      <c r="B303" s="12">
        <v>46045</v>
      </c>
      <c r="C303" s="13">
        <v>301</v>
      </c>
      <c r="D303" s="4" t="str">
        <f t="shared" si="19"/>
        <v>00</v>
      </c>
      <c r="E303" s="14">
        <v>0</v>
      </c>
      <c r="F303">
        <f t="shared" si="17"/>
        <v>5</v>
      </c>
      <c r="G303" s="41" t="str">
        <f t="shared" si="18"/>
        <v>00</v>
      </c>
    </row>
    <row r="304" spans="1:7" x14ac:dyDescent="0.6">
      <c r="A304" t="str">
        <f t="shared" si="16"/>
        <v>20260123_0302</v>
      </c>
      <c r="B304" s="12">
        <v>46045</v>
      </c>
      <c r="C304" s="13">
        <v>302</v>
      </c>
      <c r="D304" s="4" t="str">
        <f t="shared" si="19"/>
        <v>00</v>
      </c>
      <c r="E304" s="14">
        <v>0</v>
      </c>
      <c r="F304">
        <f t="shared" si="17"/>
        <v>5</v>
      </c>
      <c r="G304" s="41" t="str">
        <f t="shared" si="18"/>
        <v>00</v>
      </c>
    </row>
    <row r="305" spans="1:7" x14ac:dyDescent="0.6">
      <c r="A305" t="str">
        <f t="shared" si="16"/>
        <v>20260123_0303</v>
      </c>
      <c r="B305" s="12">
        <v>46045</v>
      </c>
      <c r="C305" s="13">
        <v>303</v>
      </c>
      <c r="D305" s="4" t="str">
        <f t="shared" si="19"/>
        <v>00</v>
      </c>
      <c r="E305" s="14">
        <v>0</v>
      </c>
      <c r="F305">
        <f t="shared" si="17"/>
        <v>5</v>
      </c>
      <c r="G305" s="41" t="str">
        <f t="shared" si="18"/>
        <v>00</v>
      </c>
    </row>
    <row r="306" spans="1:7" x14ac:dyDescent="0.6">
      <c r="A306" t="str">
        <f t="shared" si="16"/>
        <v>20260123_0304</v>
      </c>
      <c r="B306" s="12">
        <v>46045</v>
      </c>
      <c r="C306" s="13">
        <v>304</v>
      </c>
      <c r="D306" s="4" t="str">
        <f t="shared" si="19"/>
        <v>00</v>
      </c>
      <c r="E306" s="14">
        <v>0</v>
      </c>
      <c r="F306">
        <f t="shared" si="17"/>
        <v>5</v>
      </c>
      <c r="G306" s="41" t="str">
        <f t="shared" si="18"/>
        <v>00</v>
      </c>
    </row>
    <row r="307" spans="1:7" x14ac:dyDescent="0.6">
      <c r="A307" t="str">
        <f t="shared" si="16"/>
        <v>20260123_0305</v>
      </c>
      <c r="B307" s="12">
        <v>46045</v>
      </c>
      <c r="C307" s="13">
        <v>305</v>
      </c>
      <c r="D307" s="4" t="str">
        <f t="shared" si="19"/>
        <v>00</v>
      </c>
      <c r="E307" s="14">
        <v>0</v>
      </c>
      <c r="F307">
        <f t="shared" si="17"/>
        <v>5</v>
      </c>
      <c r="G307" s="41" t="str">
        <f t="shared" si="18"/>
        <v>00</v>
      </c>
    </row>
    <row r="308" spans="1:7" x14ac:dyDescent="0.6">
      <c r="A308" t="str">
        <f t="shared" si="16"/>
        <v>20260123_0306</v>
      </c>
      <c r="B308" s="12">
        <v>46045</v>
      </c>
      <c r="C308" s="13">
        <v>306</v>
      </c>
      <c r="D308" s="4" t="str">
        <f t="shared" si="19"/>
        <v>00</v>
      </c>
      <c r="E308" s="14">
        <v>0</v>
      </c>
      <c r="F308">
        <f t="shared" si="17"/>
        <v>5</v>
      </c>
      <c r="G308" s="41" t="str">
        <f t="shared" si="18"/>
        <v>00</v>
      </c>
    </row>
    <row r="309" spans="1:7" x14ac:dyDescent="0.6">
      <c r="A309" t="str">
        <f t="shared" si="16"/>
        <v>20260123_0307</v>
      </c>
      <c r="B309" s="12">
        <v>46045</v>
      </c>
      <c r="C309" s="13">
        <v>307</v>
      </c>
      <c r="D309" s="4" t="str">
        <f t="shared" si="19"/>
        <v>00</v>
      </c>
      <c r="E309" s="14">
        <v>0</v>
      </c>
      <c r="F309">
        <f t="shared" si="17"/>
        <v>5</v>
      </c>
      <c r="G309" s="41" t="str">
        <f t="shared" si="18"/>
        <v>00</v>
      </c>
    </row>
    <row r="310" spans="1:7" x14ac:dyDescent="0.6">
      <c r="A310" t="str">
        <f t="shared" si="16"/>
        <v>20260123_0308</v>
      </c>
      <c r="B310" s="12">
        <v>46045</v>
      </c>
      <c r="C310" s="13">
        <v>308</v>
      </c>
      <c r="D310" s="4" t="str">
        <f t="shared" si="19"/>
        <v>00</v>
      </c>
      <c r="E310" s="14">
        <v>0</v>
      </c>
      <c r="F310">
        <f t="shared" si="17"/>
        <v>5</v>
      </c>
      <c r="G310" s="41" t="str">
        <f t="shared" si="18"/>
        <v>00</v>
      </c>
    </row>
    <row r="311" spans="1:7" x14ac:dyDescent="0.6">
      <c r="A311" t="str">
        <f t="shared" si="16"/>
        <v>20260123_0309</v>
      </c>
      <c r="B311" s="12">
        <v>46045</v>
      </c>
      <c r="C311" s="13">
        <v>309</v>
      </c>
      <c r="D311" s="4" t="str">
        <f t="shared" si="19"/>
        <v>00</v>
      </c>
      <c r="E311" s="14">
        <v>0</v>
      </c>
      <c r="F311">
        <f t="shared" si="17"/>
        <v>5</v>
      </c>
      <c r="G311" s="41" t="str">
        <f t="shared" si="18"/>
        <v>00</v>
      </c>
    </row>
    <row r="312" spans="1:7" x14ac:dyDescent="0.6">
      <c r="A312" t="str">
        <f t="shared" si="16"/>
        <v>20260123_0310</v>
      </c>
      <c r="B312" s="12">
        <v>46045</v>
      </c>
      <c r="C312" s="13">
        <v>310</v>
      </c>
      <c r="D312" s="4" t="str">
        <f t="shared" si="19"/>
        <v>00</v>
      </c>
      <c r="E312" s="14">
        <v>0</v>
      </c>
      <c r="F312">
        <f t="shared" si="17"/>
        <v>5</v>
      </c>
      <c r="G312" s="41" t="str">
        <f t="shared" si="18"/>
        <v>00</v>
      </c>
    </row>
    <row r="313" spans="1:7" x14ac:dyDescent="0.6">
      <c r="A313" t="str">
        <f t="shared" si="16"/>
        <v>20260123_0311</v>
      </c>
      <c r="B313" s="12">
        <v>46045</v>
      </c>
      <c r="C313" s="13">
        <v>311</v>
      </c>
      <c r="D313" s="4" t="str">
        <f t="shared" si="19"/>
        <v>00</v>
      </c>
      <c r="E313" s="14">
        <v>0</v>
      </c>
      <c r="F313">
        <f t="shared" si="17"/>
        <v>5</v>
      </c>
      <c r="G313" s="41" t="str">
        <f t="shared" si="18"/>
        <v>00</v>
      </c>
    </row>
    <row r="314" spans="1:7" x14ac:dyDescent="0.6">
      <c r="A314" t="str">
        <f t="shared" si="16"/>
        <v>20260123_0312</v>
      </c>
      <c r="B314" s="12">
        <v>46045</v>
      </c>
      <c r="C314" s="13">
        <v>312</v>
      </c>
      <c r="D314" s="4" t="str">
        <f t="shared" si="19"/>
        <v>00</v>
      </c>
      <c r="E314" s="14">
        <v>0</v>
      </c>
      <c r="F314">
        <f t="shared" si="17"/>
        <v>5</v>
      </c>
      <c r="G314" s="41" t="str">
        <f t="shared" si="18"/>
        <v>00</v>
      </c>
    </row>
    <row r="315" spans="1:7" x14ac:dyDescent="0.6">
      <c r="A315" t="str">
        <f t="shared" si="16"/>
        <v>20260123_0313</v>
      </c>
      <c r="B315" s="12">
        <v>46045</v>
      </c>
      <c r="C315" s="13">
        <v>313</v>
      </c>
      <c r="D315" s="4" t="str">
        <f t="shared" si="19"/>
        <v>00</v>
      </c>
      <c r="E315" s="14">
        <v>0</v>
      </c>
      <c r="F315">
        <f t="shared" si="17"/>
        <v>5</v>
      </c>
      <c r="G315" s="41" t="str">
        <f t="shared" si="18"/>
        <v>00</v>
      </c>
    </row>
    <row r="316" spans="1:7" x14ac:dyDescent="0.6">
      <c r="A316" t="str">
        <f t="shared" si="16"/>
        <v>20260123_0314</v>
      </c>
      <c r="B316" s="12">
        <v>46045</v>
      </c>
      <c r="C316" s="13">
        <v>314</v>
      </c>
      <c r="D316" s="4" t="str">
        <f t="shared" si="19"/>
        <v>00</v>
      </c>
      <c r="E316" s="14">
        <v>0</v>
      </c>
      <c r="F316">
        <f t="shared" si="17"/>
        <v>5</v>
      </c>
      <c r="G316" s="41" t="str">
        <f t="shared" si="18"/>
        <v>00</v>
      </c>
    </row>
    <row r="317" spans="1:7" x14ac:dyDescent="0.6">
      <c r="A317" t="str">
        <f t="shared" si="16"/>
        <v>20260123_0315</v>
      </c>
      <c r="B317" s="12">
        <v>46045</v>
      </c>
      <c r="C317" s="13">
        <v>315</v>
      </c>
      <c r="D317" s="4" t="str">
        <f t="shared" si="19"/>
        <v>00</v>
      </c>
      <c r="E317" s="14">
        <v>0</v>
      </c>
      <c r="F317">
        <f t="shared" si="17"/>
        <v>5</v>
      </c>
      <c r="G317" s="41" t="str">
        <f t="shared" si="18"/>
        <v>00</v>
      </c>
    </row>
    <row r="318" spans="1:7" x14ac:dyDescent="0.6">
      <c r="A318" t="str">
        <f t="shared" si="16"/>
        <v>20260123_0316</v>
      </c>
      <c r="B318" s="12">
        <v>46045</v>
      </c>
      <c r="C318" s="13">
        <v>316</v>
      </c>
      <c r="D318" s="4" t="str">
        <f t="shared" si="19"/>
        <v>00</v>
      </c>
      <c r="E318" s="14">
        <v>0</v>
      </c>
      <c r="F318">
        <f t="shared" si="17"/>
        <v>5</v>
      </c>
      <c r="G318" s="41" t="str">
        <f t="shared" si="18"/>
        <v>00</v>
      </c>
    </row>
    <row r="319" spans="1:7" x14ac:dyDescent="0.6">
      <c r="A319" t="str">
        <f t="shared" si="16"/>
        <v>20260123_0317</v>
      </c>
      <c r="B319" s="12">
        <v>46045</v>
      </c>
      <c r="C319" s="13">
        <v>317</v>
      </c>
      <c r="D319" s="4" t="str">
        <f t="shared" si="19"/>
        <v>00</v>
      </c>
      <c r="E319" s="14">
        <v>0</v>
      </c>
      <c r="F319">
        <f t="shared" si="17"/>
        <v>5</v>
      </c>
      <c r="G319" s="41" t="str">
        <f t="shared" si="18"/>
        <v>00</v>
      </c>
    </row>
    <row r="320" spans="1:7" x14ac:dyDescent="0.6">
      <c r="A320" t="str">
        <f t="shared" si="16"/>
        <v>20260123_0318</v>
      </c>
      <c r="B320" s="12">
        <v>46045</v>
      </c>
      <c r="C320" s="13">
        <v>318</v>
      </c>
      <c r="D320" s="4" t="str">
        <f t="shared" si="19"/>
        <v>00</v>
      </c>
      <c r="E320" s="14">
        <v>0</v>
      </c>
      <c r="F320">
        <f t="shared" si="17"/>
        <v>5</v>
      </c>
      <c r="G320" s="41" t="str">
        <f t="shared" si="18"/>
        <v>00</v>
      </c>
    </row>
    <row r="321" spans="1:7" x14ac:dyDescent="0.6">
      <c r="A321" t="str">
        <f t="shared" si="16"/>
        <v>20260123_0319</v>
      </c>
      <c r="B321" s="12">
        <v>46045</v>
      </c>
      <c r="C321" s="13">
        <v>319</v>
      </c>
      <c r="D321" s="4" t="str">
        <f t="shared" si="19"/>
        <v>00</v>
      </c>
      <c r="E321" s="14">
        <v>0</v>
      </c>
      <c r="F321">
        <f t="shared" si="17"/>
        <v>5</v>
      </c>
      <c r="G321" s="41" t="str">
        <f t="shared" si="18"/>
        <v>00</v>
      </c>
    </row>
    <row r="322" spans="1:7" x14ac:dyDescent="0.6">
      <c r="A322" t="str">
        <f t="shared" ref="A322:A385" si="20">IF(B322="","",TEXT(B322,"yyyymmdd")&amp;"_"&amp;TEXT(C322,"0000"))</f>
        <v>20260123_0320</v>
      </c>
      <c r="B322" s="12">
        <v>46045</v>
      </c>
      <c r="C322" s="13">
        <v>320</v>
      </c>
      <c r="D322" s="4" t="str">
        <f t="shared" si="19"/>
        <v>00</v>
      </c>
      <c r="E322" s="14">
        <v>0</v>
      </c>
      <c r="F322">
        <f t="shared" ref="F322:F385" si="21">IF(C322="","",INT(C322/60))</f>
        <v>5</v>
      </c>
      <c r="G322" s="41" t="str">
        <f t="shared" ref="G322:G385" si="22">IF(D322="","",IF(LEN(UPPER(SUBSTITUTE(SUBSTITUTE(TRIM(D322),CHAR(160),"")," ","")))=1,"0"&amp;UPPER(SUBSTITUTE(SUBSTITUTE(TRIM(D322),CHAR(160),"")," ","")),UPPER(SUBSTITUTE(SUBSTITUTE(TRIM(D322),CHAR(160),"")," ",""))))</f>
        <v>00</v>
      </c>
    </row>
    <row r="323" spans="1:7" x14ac:dyDescent="0.6">
      <c r="A323" t="str">
        <f t="shared" si="20"/>
        <v>20260123_0321</v>
      </c>
      <c r="B323" s="12">
        <v>46045</v>
      </c>
      <c r="C323" s="13">
        <v>321</v>
      </c>
      <c r="D323" s="4" t="str">
        <f t="shared" ref="D323:D386" si="23">MID(I$1,$C323*2+1,2)</f>
        <v>00</v>
      </c>
      <c r="E323" s="14">
        <v>0</v>
      </c>
      <c r="F323">
        <f t="shared" si="21"/>
        <v>5</v>
      </c>
      <c r="G323" s="41" t="str">
        <f t="shared" si="22"/>
        <v>00</v>
      </c>
    </row>
    <row r="324" spans="1:7" x14ac:dyDescent="0.6">
      <c r="A324" t="str">
        <f t="shared" si="20"/>
        <v>20260123_0322</v>
      </c>
      <c r="B324" s="12">
        <v>46045</v>
      </c>
      <c r="C324" s="13">
        <v>322</v>
      </c>
      <c r="D324" s="4" t="str">
        <f t="shared" si="23"/>
        <v>00</v>
      </c>
      <c r="E324" s="14">
        <v>0</v>
      </c>
      <c r="F324">
        <f t="shared" si="21"/>
        <v>5</v>
      </c>
      <c r="G324" s="41" t="str">
        <f t="shared" si="22"/>
        <v>00</v>
      </c>
    </row>
    <row r="325" spans="1:7" x14ac:dyDescent="0.6">
      <c r="A325" t="str">
        <f t="shared" si="20"/>
        <v>20260123_0323</v>
      </c>
      <c r="B325" s="12">
        <v>46045</v>
      </c>
      <c r="C325" s="13">
        <v>323</v>
      </c>
      <c r="D325" s="4" t="str">
        <f t="shared" si="23"/>
        <v>00</v>
      </c>
      <c r="E325" s="14">
        <v>0</v>
      </c>
      <c r="F325">
        <f t="shared" si="21"/>
        <v>5</v>
      </c>
      <c r="G325" s="41" t="str">
        <f t="shared" si="22"/>
        <v>00</v>
      </c>
    </row>
    <row r="326" spans="1:7" x14ac:dyDescent="0.6">
      <c r="A326" t="str">
        <f t="shared" si="20"/>
        <v>20260123_0324</v>
      </c>
      <c r="B326" s="12">
        <v>46045</v>
      </c>
      <c r="C326" s="13">
        <v>324</v>
      </c>
      <c r="D326" s="4" t="str">
        <f t="shared" si="23"/>
        <v>00</v>
      </c>
      <c r="E326" s="14">
        <v>0</v>
      </c>
      <c r="F326">
        <f t="shared" si="21"/>
        <v>5</v>
      </c>
      <c r="G326" s="41" t="str">
        <f t="shared" si="22"/>
        <v>00</v>
      </c>
    </row>
    <row r="327" spans="1:7" x14ac:dyDescent="0.6">
      <c r="A327" t="str">
        <f t="shared" si="20"/>
        <v>20260123_0325</v>
      </c>
      <c r="B327" s="12">
        <v>46045</v>
      </c>
      <c r="C327" s="13">
        <v>325</v>
      </c>
      <c r="D327" s="4" t="str">
        <f t="shared" si="23"/>
        <v>00</v>
      </c>
      <c r="E327" s="14">
        <v>0</v>
      </c>
      <c r="F327">
        <f t="shared" si="21"/>
        <v>5</v>
      </c>
      <c r="G327" s="41" t="str">
        <f t="shared" si="22"/>
        <v>00</v>
      </c>
    </row>
    <row r="328" spans="1:7" x14ac:dyDescent="0.6">
      <c r="A328" t="str">
        <f t="shared" si="20"/>
        <v>20260123_0326</v>
      </c>
      <c r="B328" s="12">
        <v>46045</v>
      </c>
      <c r="C328" s="13">
        <v>326</v>
      </c>
      <c r="D328" s="4" t="str">
        <f t="shared" si="23"/>
        <v>00</v>
      </c>
      <c r="E328" s="14">
        <v>0</v>
      </c>
      <c r="F328">
        <f t="shared" si="21"/>
        <v>5</v>
      </c>
      <c r="G328" s="41" t="str">
        <f t="shared" si="22"/>
        <v>00</v>
      </c>
    </row>
    <row r="329" spans="1:7" x14ac:dyDescent="0.6">
      <c r="A329" t="str">
        <f t="shared" si="20"/>
        <v>20260123_0327</v>
      </c>
      <c r="B329" s="12">
        <v>46045</v>
      </c>
      <c r="C329" s="13">
        <v>327</v>
      </c>
      <c r="D329" s="4" t="str">
        <f t="shared" si="23"/>
        <v>00</v>
      </c>
      <c r="E329" s="14">
        <v>0</v>
      </c>
      <c r="F329">
        <f t="shared" si="21"/>
        <v>5</v>
      </c>
      <c r="G329" s="41" t="str">
        <f t="shared" si="22"/>
        <v>00</v>
      </c>
    </row>
    <row r="330" spans="1:7" x14ac:dyDescent="0.6">
      <c r="A330" t="str">
        <f t="shared" si="20"/>
        <v>20260123_0328</v>
      </c>
      <c r="B330" s="12">
        <v>46045</v>
      </c>
      <c r="C330" s="13">
        <v>328</v>
      </c>
      <c r="D330" s="4" t="str">
        <f t="shared" si="23"/>
        <v>00</v>
      </c>
      <c r="E330" s="14">
        <v>0</v>
      </c>
      <c r="F330">
        <f t="shared" si="21"/>
        <v>5</v>
      </c>
      <c r="G330" s="41" t="str">
        <f t="shared" si="22"/>
        <v>00</v>
      </c>
    </row>
    <row r="331" spans="1:7" x14ac:dyDescent="0.6">
      <c r="A331" t="str">
        <f t="shared" si="20"/>
        <v>20260123_0329</v>
      </c>
      <c r="B331" s="12">
        <v>46045</v>
      </c>
      <c r="C331" s="13">
        <v>329</v>
      </c>
      <c r="D331" s="4" t="str">
        <f t="shared" si="23"/>
        <v>00</v>
      </c>
      <c r="E331" s="14">
        <v>0</v>
      </c>
      <c r="F331">
        <f t="shared" si="21"/>
        <v>5</v>
      </c>
      <c r="G331" s="41" t="str">
        <f t="shared" si="22"/>
        <v>00</v>
      </c>
    </row>
    <row r="332" spans="1:7" x14ac:dyDescent="0.6">
      <c r="A332" t="str">
        <f t="shared" si="20"/>
        <v>20260123_0330</v>
      </c>
      <c r="B332" s="12">
        <v>46045</v>
      </c>
      <c r="C332" s="13">
        <v>330</v>
      </c>
      <c r="D332" s="4" t="str">
        <f t="shared" si="23"/>
        <v>00</v>
      </c>
      <c r="E332" s="14">
        <v>0</v>
      </c>
      <c r="F332">
        <f t="shared" si="21"/>
        <v>5</v>
      </c>
      <c r="G332" s="41" t="str">
        <f t="shared" si="22"/>
        <v>00</v>
      </c>
    </row>
    <row r="333" spans="1:7" x14ac:dyDescent="0.6">
      <c r="A333" t="str">
        <f t="shared" si="20"/>
        <v>20260123_0331</v>
      </c>
      <c r="B333" s="12">
        <v>46045</v>
      </c>
      <c r="C333" s="13">
        <v>331</v>
      </c>
      <c r="D333" s="4" t="str">
        <f t="shared" si="23"/>
        <v>00</v>
      </c>
      <c r="E333" s="14">
        <v>0</v>
      </c>
      <c r="F333">
        <f t="shared" si="21"/>
        <v>5</v>
      </c>
      <c r="G333" s="41" t="str">
        <f t="shared" si="22"/>
        <v>00</v>
      </c>
    </row>
    <row r="334" spans="1:7" x14ac:dyDescent="0.6">
      <c r="A334" t="str">
        <f t="shared" si="20"/>
        <v>20260123_0332</v>
      </c>
      <c r="B334" s="12">
        <v>46045</v>
      </c>
      <c r="C334" s="13">
        <v>332</v>
      </c>
      <c r="D334" s="4" t="str">
        <f t="shared" si="23"/>
        <v>00</v>
      </c>
      <c r="E334" s="14">
        <v>0</v>
      </c>
      <c r="F334">
        <f t="shared" si="21"/>
        <v>5</v>
      </c>
      <c r="G334" s="41" t="str">
        <f t="shared" si="22"/>
        <v>00</v>
      </c>
    </row>
    <row r="335" spans="1:7" x14ac:dyDescent="0.6">
      <c r="A335" t="str">
        <f t="shared" si="20"/>
        <v>20260123_0333</v>
      </c>
      <c r="B335" s="12">
        <v>46045</v>
      </c>
      <c r="C335" s="13">
        <v>333</v>
      </c>
      <c r="D335" s="4" t="str">
        <f t="shared" si="23"/>
        <v>00</v>
      </c>
      <c r="E335" s="14">
        <v>0</v>
      </c>
      <c r="F335">
        <f t="shared" si="21"/>
        <v>5</v>
      </c>
      <c r="G335" s="41" t="str">
        <f t="shared" si="22"/>
        <v>00</v>
      </c>
    </row>
    <row r="336" spans="1:7" x14ac:dyDescent="0.6">
      <c r="A336" t="str">
        <f t="shared" si="20"/>
        <v>20260123_0334</v>
      </c>
      <c r="B336" s="12">
        <v>46045</v>
      </c>
      <c r="C336" s="13">
        <v>334</v>
      </c>
      <c r="D336" s="4" t="str">
        <f t="shared" si="23"/>
        <v>00</v>
      </c>
      <c r="E336" s="14">
        <v>0</v>
      </c>
      <c r="F336">
        <f t="shared" si="21"/>
        <v>5</v>
      </c>
      <c r="G336" s="41" t="str">
        <f t="shared" si="22"/>
        <v>00</v>
      </c>
    </row>
    <row r="337" spans="1:7" x14ac:dyDescent="0.6">
      <c r="A337" t="str">
        <f t="shared" si="20"/>
        <v>20260123_0335</v>
      </c>
      <c r="B337" s="12">
        <v>46045</v>
      </c>
      <c r="C337" s="13">
        <v>335</v>
      </c>
      <c r="D337" s="4" t="str">
        <f t="shared" si="23"/>
        <v>00</v>
      </c>
      <c r="E337" s="14">
        <v>0</v>
      </c>
      <c r="F337">
        <f t="shared" si="21"/>
        <v>5</v>
      </c>
      <c r="G337" s="41" t="str">
        <f t="shared" si="22"/>
        <v>00</v>
      </c>
    </row>
    <row r="338" spans="1:7" x14ac:dyDescent="0.6">
      <c r="A338" t="str">
        <f t="shared" si="20"/>
        <v>20260123_0336</v>
      </c>
      <c r="B338" s="12">
        <v>46045</v>
      </c>
      <c r="C338" s="13">
        <v>336</v>
      </c>
      <c r="D338" s="4" t="str">
        <f t="shared" si="23"/>
        <v>00</v>
      </c>
      <c r="E338" s="14">
        <v>0</v>
      </c>
      <c r="F338">
        <f t="shared" si="21"/>
        <v>5</v>
      </c>
      <c r="G338" s="41" t="str">
        <f t="shared" si="22"/>
        <v>00</v>
      </c>
    </row>
    <row r="339" spans="1:7" x14ac:dyDescent="0.6">
      <c r="A339" t="str">
        <f t="shared" si="20"/>
        <v>20260123_0337</v>
      </c>
      <c r="B339" s="12">
        <v>46045</v>
      </c>
      <c r="C339" s="13">
        <v>337</v>
      </c>
      <c r="D339" s="4" t="str">
        <f t="shared" si="23"/>
        <v>00</v>
      </c>
      <c r="E339" s="14">
        <v>0</v>
      </c>
      <c r="F339">
        <f t="shared" si="21"/>
        <v>5</v>
      </c>
      <c r="G339" s="41" t="str">
        <f t="shared" si="22"/>
        <v>00</v>
      </c>
    </row>
    <row r="340" spans="1:7" x14ac:dyDescent="0.6">
      <c r="A340" t="str">
        <f t="shared" si="20"/>
        <v>20260123_0338</v>
      </c>
      <c r="B340" s="12">
        <v>46045</v>
      </c>
      <c r="C340" s="13">
        <v>338</v>
      </c>
      <c r="D340" s="4" t="str">
        <f t="shared" si="23"/>
        <v>00</v>
      </c>
      <c r="E340" s="14">
        <v>0</v>
      </c>
      <c r="F340">
        <f t="shared" si="21"/>
        <v>5</v>
      </c>
      <c r="G340" s="41" t="str">
        <f t="shared" si="22"/>
        <v>00</v>
      </c>
    </row>
    <row r="341" spans="1:7" x14ac:dyDescent="0.6">
      <c r="A341" t="str">
        <f t="shared" si="20"/>
        <v>20260123_0339</v>
      </c>
      <c r="B341" s="12">
        <v>46045</v>
      </c>
      <c r="C341" s="13">
        <v>339</v>
      </c>
      <c r="D341" s="4" t="str">
        <f t="shared" si="23"/>
        <v>00</v>
      </c>
      <c r="E341" s="14">
        <v>0</v>
      </c>
      <c r="F341">
        <f t="shared" si="21"/>
        <v>5</v>
      </c>
      <c r="G341" s="41" t="str">
        <f t="shared" si="22"/>
        <v>00</v>
      </c>
    </row>
    <row r="342" spans="1:7" x14ac:dyDescent="0.6">
      <c r="A342" t="str">
        <f t="shared" si="20"/>
        <v>20260123_0340</v>
      </c>
      <c r="B342" s="12">
        <v>46045</v>
      </c>
      <c r="C342" s="13">
        <v>340</v>
      </c>
      <c r="D342" s="4" t="str">
        <f t="shared" si="23"/>
        <v>00</v>
      </c>
      <c r="E342" s="14">
        <v>0</v>
      </c>
      <c r="F342">
        <f t="shared" si="21"/>
        <v>5</v>
      </c>
      <c r="G342" s="41" t="str">
        <f t="shared" si="22"/>
        <v>00</v>
      </c>
    </row>
    <row r="343" spans="1:7" x14ac:dyDescent="0.6">
      <c r="A343" t="str">
        <f t="shared" si="20"/>
        <v>20260123_0341</v>
      </c>
      <c r="B343" s="12">
        <v>46045</v>
      </c>
      <c r="C343" s="13">
        <v>341</v>
      </c>
      <c r="D343" s="4" t="str">
        <f t="shared" si="23"/>
        <v>00</v>
      </c>
      <c r="E343" s="14">
        <v>0</v>
      </c>
      <c r="F343">
        <f t="shared" si="21"/>
        <v>5</v>
      </c>
      <c r="G343" s="41" t="str">
        <f t="shared" si="22"/>
        <v>00</v>
      </c>
    </row>
    <row r="344" spans="1:7" x14ac:dyDescent="0.6">
      <c r="A344" t="str">
        <f t="shared" si="20"/>
        <v>20260123_0342</v>
      </c>
      <c r="B344" s="12">
        <v>46045</v>
      </c>
      <c r="C344" s="13">
        <v>342</v>
      </c>
      <c r="D344" s="4" t="str">
        <f t="shared" si="23"/>
        <v>00</v>
      </c>
      <c r="E344" s="14">
        <v>0</v>
      </c>
      <c r="F344">
        <f t="shared" si="21"/>
        <v>5</v>
      </c>
      <c r="G344" s="41" t="str">
        <f t="shared" si="22"/>
        <v>00</v>
      </c>
    </row>
    <row r="345" spans="1:7" x14ac:dyDescent="0.6">
      <c r="A345" t="str">
        <f t="shared" si="20"/>
        <v>20260123_0343</v>
      </c>
      <c r="B345" s="12">
        <v>46045</v>
      </c>
      <c r="C345" s="13">
        <v>343</v>
      </c>
      <c r="D345" s="4" t="str">
        <f t="shared" si="23"/>
        <v>00</v>
      </c>
      <c r="E345" s="14">
        <v>0</v>
      </c>
      <c r="F345">
        <f t="shared" si="21"/>
        <v>5</v>
      </c>
      <c r="G345" s="41" t="str">
        <f t="shared" si="22"/>
        <v>00</v>
      </c>
    </row>
    <row r="346" spans="1:7" x14ac:dyDescent="0.6">
      <c r="A346" t="str">
        <f t="shared" si="20"/>
        <v>20260123_0344</v>
      </c>
      <c r="B346" s="12">
        <v>46045</v>
      </c>
      <c r="C346" s="13">
        <v>344</v>
      </c>
      <c r="D346" s="4" t="str">
        <f t="shared" si="23"/>
        <v>00</v>
      </c>
      <c r="E346" s="14">
        <v>0</v>
      </c>
      <c r="F346">
        <f t="shared" si="21"/>
        <v>5</v>
      </c>
      <c r="G346" s="41" t="str">
        <f t="shared" si="22"/>
        <v>00</v>
      </c>
    </row>
    <row r="347" spans="1:7" x14ac:dyDescent="0.6">
      <c r="A347" t="str">
        <f t="shared" si="20"/>
        <v>20260123_0345</v>
      </c>
      <c r="B347" s="12">
        <v>46045</v>
      </c>
      <c r="C347" s="13">
        <v>345</v>
      </c>
      <c r="D347" s="4" t="str">
        <f t="shared" si="23"/>
        <v>00</v>
      </c>
      <c r="E347" s="14">
        <v>0</v>
      </c>
      <c r="F347">
        <f t="shared" si="21"/>
        <v>5</v>
      </c>
      <c r="G347" s="41" t="str">
        <f t="shared" si="22"/>
        <v>00</v>
      </c>
    </row>
    <row r="348" spans="1:7" x14ac:dyDescent="0.6">
      <c r="A348" t="str">
        <f t="shared" si="20"/>
        <v>20260123_0346</v>
      </c>
      <c r="B348" s="12">
        <v>46045</v>
      </c>
      <c r="C348" s="13">
        <v>346</v>
      </c>
      <c r="D348" s="4" t="str">
        <f t="shared" si="23"/>
        <v>00</v>
      </c>
      <c r="E348" s="14">
        <v>0</v>
      </c>
      <c r="F348">
        <f t="shared" si="21"/>
        <v>5</v>
      </c>
      <c r="G348" s="41" t="str">
        <f t="shared" si="22"/>
        <v>00</v>
      </c>
    </row>
    <row r="349" spans="1:7" x14ac:dyDescent="0.6">
      <c r="A349" t="str">
        <f t="shared" si="20"/>
        <v>20260123_0347</v>
      </c>
      <c r="B349" s="12">
        <v>46045</v>
      </c>
      <c r="C349" s="13">
        <v>347</v>
      </c>
      <c r="D349" s="4" t="str">
        <f t="shared" si="23"/>
        <v>00</v>
      </c>
      <c r="E349" s="14">
        <v>0</v>
      </c>
      <c r="F349">
        <f t="shared" si="21"/>
        <v>5</v>
      </c>
      <c r="G349" s="41" t="str">
        <f t="shared" si="22"/>
        <v>00</v>
      </c>
    </row>
    <row r="350" spans="1:7" x14ac:dyDescent="0.6">
      <c r="A350" t="str">
        <f t="shared" si="20"/>
        <v>20260123_0348</v>
      </c>
      <c r="B350" s="12">
        <v>46045</v>
      </c>
      <c r="C350" s="13">
        <v>348</v>
      </c>
      <c r="D350" s="4" t="str">
        <f t="shared" si="23"/>
        <v>00</v>
      </c>
      <c r="E350" s="14">
        <v>0</v>
      </c>
      <c r="F350">
        <f t="shared" si="21"/>
        <v>5</v>
      </c>
      <c r="G350" s="41" t="str">
        <f t="shared" si="22"/>
        <v>00</v>
      </c>
    </row>
    <row r="351" spans="1:7" x14ac:dyDescent="0.6">
      <c r="A351" t="str">
        <f t="shared" si="20"/>
        <v>20260123_0349</v>
      </c>
      <c r="B351" s="12">
        <v>46045</v>
      </c>
      <c r="C351" s="13">
        <v>349</v>
      </c>
      <c r="D351" s="4" t="str">
        <f t="shared" si="23"/>
        <v>00</v>
      </c>
      <c r="E351" s="14">
        <v>0</v>
      </c>
      <c r="F351">
        <f t="shared" si="21"/>
        <v>5</v>
      </c>
      <c r="G351" s="41" t="str">
        <f t="shared" si="22"/>
        <v>00</v>
      </c>
    </row>
    <row r="352" spans="1:7" x14ac:dyDescent="0.6">
      <c r="A352" t="str">
        <f t="shared" si="20"/>
        <v>20260123_0350</v>
      </c>
      <c r="B352" s="12">
        <v>46045</v>
      </c>
      <c r="C352" s="13">
        <v>350</v>
      </c>
      <c r="D352" s="4" t="str">
        <f t="shared" si="23"/>
        <v>00</v>
      </c>
      <c r="E352" s="14">
        <v>0</v>
      </c>
      <c r="F352">
        <f t="shared" si="21"/>
        <v>5</v>
      </c>
      <c r="G352" s="41" t="str">
        <f t="shared" si="22"/>
        <v>00</v>
      </c>
    </row>
    <row r="353" spans="1:7" x14ac:dyDescent="0.6">
      <c r="A353" t="str">
        <f t="shared" si="20"/>
        <v>20260123_0351</v>
      </c>
      <c r="B353" s="12">
        <v>46045</v>
      </c>
      <c r="C353" s="13">
        <v>351</v>
      </c>
      <c r="D353" s="4" t="str">
        <f t="shared" si="23"/>
        <v>00</v>
      </c>
      <c r="E353" s="14">
        <v>0</v>
      </c>
      <c r="F353">
        <f t="shared" si="21"/>
        <v>5</v>
      </c>
      <c r="G353" s="41" t="str">
        <f t="shared" si="22"/>
        <v>00</v>
      </c>
    </row>
    <row r="354" spans="1:7" x14ac:dyDescent="0.6">
      <c r="A354" t="str">
        <f t="shared" si="20"/>
        <v>20260123_0352</v>
      </c>
      <c r="B354" s="12">
        <v>46045</v>
      </c>
      <c r="C354" s="13">
        <v>352</v>
      </c>
      <c r="D354" s="4" t="str">
        <f t="shared" si="23"/>
        <v>00</v>
      </c>
      <c r="E354" s="14">
        <v>0</v>
      </c>
      <c r="F354">
        <f t="shared" si="21"/>
        <v>5</v>
      </c>
      <c r="G354" s="41" t="str">
        <f t="shared" si="22"/>
        <v>00</v>
      </c>
    </row>
    <row r="355" spans="1:7" x14ac:dyDescent="0.6">
      <c r="A355" t="str">
        <f t="shared" si="20"/>
        <v>20260123_0353</v>
      </c>
      <c r="B355" s="12">
        <v>46045</v>
      </c>
      <c r="C355" s="13">
        <v>353</v>
      </c>
      <c r="D355" s="4" t="str">
        <f t="shared" si="23"/>
        <v>00</v>
      </c>
      <c r="E355" s="14">
        <v>0</v>
      </c>
      <c r="F355">
        <f t="shared" si="21"/>
        <v>5</v>
      </c>
      <c r="G355" s="41" t="str">
        <f t="shared" si="22"/>
        <v>00</v>
      </c>
    </row>
    <row r="356" spans="1:7" x14ac:dyDescent="0.6">
      <c r="A356" t="str">
        <f t="shared" si="20"/>
        <v>20260123_0354</v>
      </c>
      <c r="B356" s="12">
        <v>46045</v>
      </c>
      <c r="C356" s="13">
        <v>354</v>
      </c>
      <c r="D356" s="4" t="str">
        <f t="shared" si="23"/>
        <v>00</v>
      </c>
      <c r="E356" s="14">
        <v>0</v>
      </c>
      <c r="F356">
        <f t="shared" si="21"/>
        <v>5</v>
      </c>
      <c r="G356" s="41" t="str">
        <f t="shared" si="22"/>
        <v>00</v>
      </c>
    </row>
    <row r="357" spans="1:7" x14ac:dyDescent="0.6">
      <c r="A357" t="str">
        <f t="shared" si="20"/>
        <v>20260123_0355</v>
      </c>
      <c r="B357" s="12">
        <v>46045</v>
      </c>
      <c r="C357" s="13">
        <v>355</v>
      </c>
      <c r="D357" s="4" t="str">
        <f t="shared" si="23"/>
        <v>00</v>
      </c>
      <c r="E357" s="14">
        <v>0</v>
      </c>
      <c r="F357">
        <f t="shared" si="21"/>
        <v>5</v>
      </c>
      <c r="G357" s="41" t="str">
        <f t="shared" si="22"/>
        <v>00</v>
      </c>
    </row>
    <row r="358" spans="1:7" x14ac:dyDescent="0.6">
      <c r="A358" t="str">
        <f t="shared" si="20"/>
        <v>20260123_0356</v>
      </c>
      <c r="B358" s="12">
        <v>46045</v>
      </c>
      <c r="C358" s="13">
        <v>356</v>
      </c>
      <c r="D358" s="4" t="str">
        <f t="shared" si="23"/>
        <v>00</v>
      </c>
      <c r="E358" s="14">
        <v>0</v>
      </c>
      <c r="F358">
        <f t="shared" si="21"/>
        <v>5</v>
      </c>
      <c r="G358" s="41" t="str">
        <f t="shared" si="22"/>
        <v>00</v>
      </c>
    </row>
    <row r="359" spans="1:7" x14ac:dyDescent="0.6">
      <c r="A359" t="str">
        <f t="shared" si="20"/>
        <v>20260123_0357</v>
      </c>
      <c r="B359" s="12">
        <v>46045</v>
      </c>
      <c r="C359" s="13">
        <v>357</v>
      </c>
      <c r="D359" s="4" t="str">
        <f t="shared" si="23"/>
        <v>00</v>
      </c>
      <c r="E359" s="14">
        <v>0</v>
      </c>
      <c r="F359">
        <f t="shared" si="21"/>
        <v>5</v>
      </c>
      <c r="G359" s="41" t="str">
        <f t="shared" si="22"/>
        <v>00</v>
      </c>
    </row>
    <row r="360" spans="1:7" x14ac:dyDescent="0.6">
      <c r="A360" t="str">
        <f t="shared" si="20"/>
        <v>20260123_0358</v>
      </c>
      <c r="B360" s="12">
        <v>46045</v>
      </c>
      <c r="C360" s="13">
        <v>358</v>
      </c>
      <c r="D360" s="4" t="str">
        <f t="shared" si="23"/>
        <v>00</v>
      </c>
      <c r="E360" s="14">
        <v>0</v>
      </c>
      <c r="F360">
        <f t="shared" si="21"/>
        <v>5</v>
      </c>
      <c r="G360" s="41" t="str">
        <f t="shared" si="22"/>
        <v>00</v>
      </c>
    </row>
    <row r="361" spans="1:7" x14ac:dyDescent="0.6">
      <c r="A361" t="str">
        <f t="shared" si="20"/>
        <v>20260123_0359</v>
      </c>
      <c r="B361" s="12">
        <v>46045</v>
      </c>
      <c r="C361" s="13">
        <v>359</v>
      </c>
      <c r="D361" s="4" t="str">
        <f t="shared" si="23"/>
        <v>00</v>
      </c>
      <c r="E361" s="14">
        <v>0</v>
      </c>
      <c r="F361">
        <f t="shared" si="21"/>
        <v>5</v>
      </c>
      <c r="G361" s="41" t="str">
        <f t="shared" si="22"/>
        <v>00</v>
      </c>
    </row>
    <row r="362" spans="1:7" x14ac:dyDescent="0.6">
      <c r="A362" t="str">
        <f t="shared" si="20"/>
        <v>20260123_0360</v>
      </c>
      <c r="B362" s="12">
        <v>46045</v>
      </c>
      <c r="C362" s="13">
        <v>360</v>
      </c>
      <c r="D362" s="4" t="str">
        <f t="shared" si="23"/>
        <v>00</v>
      </c>
      <c r="E362" s="14">
        <v>0</v>
      </c>
      <c r="F362">
        <f t="shared" si="21"/>
        <v>6</v>
      </c>
      <c r="G362" s="41" t="str">
        <f t="shared" si="22"/>
        <v>00</v>
      </c>
    </row>
    <row r="363" spans="1:7" x14ac:dyDescent="0.6">
      <c r="A363" t="str">
        <f t="shared" si="20"/>
        <v>20260123_0361</v>
      </c>
      <c r="B363" s="12">
        <v>46045</v>
      </c>
      <c r="C363" s="13">
        <v>361</v>
      </c>
      <c r="D363" s="4" t="str">
        <f t="shared" si="23"/>
        <v>00</v>
      </c>
      <c r="E363" s="14">
        <v>0</v>
      </c>
      <c r="F363">
        <f t="shared" si="21"/>
        <v>6</v>
      </c>
      <c r="G363" s="41" t="str">
        <f t="shared" si="22"/>
        <v>00</v>
      </c>
    </row>
    <row r="364" spans="1:7" x14ac:dyDescent="0.6">
      <c r="A364" t="str">
        <f t="shared" si="20"/>
        <v>20260123_0362</v>
      </c>
      <c r="B364" s="12">
        <v>46045</v>
      </c>
      <c r="C364" s="13">
        <v>362</v>
      </c>
      <c r="D364" s="4" t="str">
        <f t="shared" si="23"/>
        <v>00</v>
      </c>
      <c r="E364" s="14">
        <v>0</v>
      </c>
      <c r="F364">
        <f t="shared" si="21"/>
        <v>6</v>
      </c>
      <c r="G364" s="41" t="str">
        <f t="shared" si="22"/>
        <v>00</v>
      </c>
    </row>
    <row r="365" spans="1:7" x14ac:dyDescent="0.6">
      <c r="A365" t="str">
        <f t="shared" si="20"/>
        <v>20260123_0363</v>
      </c>
      <c r="B365" s="12">
        <v>46045</v>
      </c>
      <c r="C365" s="13">
        <v>363</v>
      </c>
      <c r="D365" s="4" t="str">
        <f t="shared" si="23"/>
        <v>00</v>
      </c>
      <c r="E365" s="14">
        <v>0</v>
      </c>
      <c r="F365">
        <f t="shared" si="21"/>
        <v>6</v>
      </c>
      <c r="G365" s="41" t="str">
        <f t="shared" si="22"/>
        <v>00</v>
      </c>
    </row>
    <row r="366" spans="1:7" x14ac:dyDescent="0.6">
      <c r="A366" t="str">
        <f t="shared" si="20"/>
        <v>20260123_0364</v>
      </c>
      <c r="B366" s="12">
        <v>46045</v>
      </c>
      <c r="C366" s="13">
        <v>364</v>
      </c>
      <c r="D366" s="4" t="str">
        <f t="shared" si="23"/>
        <v>00</v>
      </c>
      <c r="E366" s="14">
        <v>0</v>
      </c>
      <c r="F366">
        <f t="shared" si="21"/>
        <v>6</v>
      </c>
      <c r="G366" s="41" t="str">
        <f t="shared" si="22"/>
        <v>00</v>
      </c>
    </row>
    <row r="367" spans="1:7" x14ac:dyDescent="0.6">
      <c r="A367" t="str">
        <f t="shared" si="20"/>
        <v>20260123_0365</v>
      </c>
      <c r="B367" s="12">
        <v>46045</v>
      </c>
      <c r="C367" s="13">
        <v>365</v>
      </c>
      <c r="D367" s="4" t="str">
        <f t="shared" si="23"/>
        <v>00</v>
      </c>
      <c r="E367" s="14">
        <v>0</v>
      </c>
      <c r="F367">
        <f t="shared" si="21"/>
        <v>6</v>
      </c>
      <c r="G367" s="41" t="str">
        <f t="shared" si="22"/>
        <v>00</v>
      </c>
    </row>
    <row r="368" spans="1:7" x14ac:dyDescent="0.6">
      <c r="A368" t="str">
        <f t="shared" si="20"/>
        <v>20260123_0366</v>
      </c>
      <c r="B368" s="12">
        <v>46045</v>
      </c>
      <c r="C368" s="13">
        <v>366</v>
      </c>
      <c r="D368" s="4" t="str">
        <f t="shared" si="23"/>
        <v>00</v>
      </c>
      <c r="E368" s="14">
        <v>0</v>
      </c>
      <c r="F368">
        <f t="shared" si="21"/>
        <v>6</v>
      </c>
      <c r="G368" s="41" t="str">
        <f t="shared" si="22"/>
        <v>00</v>
      </c>
    </row>
    <row r="369" spans="1:7" x14ac:dyDescent="0.6">
      <c r="A369" t="str">
        <f t="shared" si="20"/>
        <v>20260123_0367</v>
      </c>
      <c r="B369" s="12">
        <v>46045</v>
      </c>
      <c r="C369" s="13">
        <v>367</v>
      </c>
      <c r="D369" s="4" t="str">
        <f t="shared" si="23"/>
        <v>00</v>
      </c>
      <c r="E369" s="14">
        <v>0</v>
      </c>
      <c r="F369">
        <f t="shared" si="21"/>
        <v>6</v>
      </c>
      <c r="G369" s="41" t="str">
        <f t="shared" si="22"/>
        <v>00</v>
      </c>
    </row>
    <row r="370" spans="1:7" x14ac:dyDescent="0.6">
      <c r="A370" t="str">
        <f t="shared" si="20"/>
        <v>20260123_0368</v>
      </c>
      <c r="B370" s="12">
        <v>46045</v>
      </c>
      <c r="C370" s="13">
        <v>368</v>
      </c>
      <c r="D370" s="4" t="str">
        <f t="shared" si="23"/>
        <v>00</v>
      </c>
      <c r="E370" s="14">
        <v>0</v>
      </c>
      <c r="F370">
        <f t="shared" si="21"/>
        <v>6</v>
      </c>
      <c r="G370" s="41" t="str">
        <f t="shared" si="22"/>
        <v>00</v>
      </c>
    </row>
    <row r="371" spans="1:7" x14ac:dyDescent="0.6">
      <c r="A371" t="str">
        <f t="shared" si="20"/>
        <v>20260123_0369</v>
      </c>
      <c r="B371" s="12">
        <v>46045</v>
      </c>
      <c r="C371" s="13">
        <v>369</v>
      </c>
      <c r="D371" s="4" t="str">
        <f t="shared" si="23"/>
        <v>00</v>
      </c>
      <c r="E371" s="14">
        <v>0</v>
      </c>
      <c r="F371">
        <f t="shared" si="21"/>
        <v>6</v>
      </c>
      <c r="G371" s="41" t="str">
        <f t="shared" si="22"/>
        <v>00</v>
      </c>
    </row>
    <row r="372" spans="1:7" x14ac:dyDescent="0.6">
      <c r="A372" t="str">
        <f t="shared" si="20"/>
        <v>20260123_0370</v>
      </c>
      <c r="B372" s="12">
        <v>46045</v>
      </c>
      <c r="C372" s="13">
        <v>370</v>
      </c>
      <c r="D372" s="4" t="str">
        <f t="shared" si="23"/>
        <v>00</v>
      </c>
      <c r="E372" s="14">
        <v>0</v>
      </c>
      <c r="F372">
        <f t="shared" si="21"/>
        <v>6</v>
      </c>
      <c r="G372" s="41" t="str">
        <f t="shared" si="22"/>
        <v>00</v>
      </c>
    </row>
    <row r="373" spans="1:7" x14ac:dyDescent="0.6">
      <c r="A373" t="str">
        <f t="shared" si="20"/>
        <v>20260123_0371</v>
      </c>
      <c r="B373" s="12">
        <v>46045</v>
      </c>
      <c r="C373" s="13">
        <v>371</v>
      </c>
      <c r="D373" s="4" t="str">
        <f t="shared" si="23"/>
        <v>00</v>
      </c>
      <c r="E373" s="14">
        <v>0</v>
      </c>
      <c r="F373">
        <f t="shared" si="21"/>
        <v>6</v>
      </c>
      <c r="G373" s="41" t="str">
        <f t="shared" si="22"/>
        <v>00</v>
      </c>
    </row>
    <row r="374" spans="1:7" x14ac:dyDescent="0.6">
      <c r="A374" t="str">
        <f t="shared" si="20"/>
        <v>20260123_0372</v>
      </c>
      <c r="B374" s="12">
        <v>46045</v>
      </c>
      <c r="C374" s="13">
        <v>372</v>
      </c>
      <c r="D374" s="4" t="str">
        <f t="shared" si="23"/>
        <v>00</v>
      </c>
      <c r="E374" s="14">
        <v>0</v>
      </c>
      <c r="F374">
        <f t="shared" si="21"/>
        <v>6</v>
      </c>
      <c r="G374" s="41" t="str">
        <f t="shared" si="22"/>
        <v>00</v>
      </c>
    </row>
    <row r="375" spans="1:7" x14ac:dyDescent="0.6">
      <c r="A375" t="str">
        <f t="shared" si="20"/>
        <v>20260123_0373</v>
      </c>
      <c r="B375" s="12">
        <v>46045</v>
      </c>
      <c r="C375" s="13">
        <v>373</v>
      </c>
      <c r="D375" s="4" t="str">
        <f t="shared" si="23"/>
        <v>00</v>
      </c>
      <c r="E375" s="14">
        <v>0</v>
      </c>
      <c r="F375">
        <f t="shared" si="21"/>
        <v>6</v>
      </c>
      <c r="G375" s="41" t="str">
        <f t="shared" si="22"/>
        <v>00</v>
      </c>
    </row>
    <row r="376" spans="1:7" x14ac:dyDescent="0.6">
      <c r="A376" t="str">
        <f t="shared" si="20"/>
        <v>20260123_0374</v>
      </c>
      <c r="B376" s="12">
        <v>46045</v>
      </c>
      <c r="C376" s="13">
        <v>374</v>
      </c>
      <c r="D376" s="4" t="str">
        <f t="shared" si="23"/>
        <v>00</v>
      </c>
      <c r="E376" s="14">
        <v>0</v>
      </c>
      <c r="F376">
        <f t="shared" si="21"/>
        <v>6</v>
      </c>
      <c r="G376" s="41" t="str">
        <f t="shared" si="22"/>
        <v>00</v>
      </c>
    </row>
    <row r="377" spans="1:7" x14ac:dyDescent="0.6">
      <c r="A377" t="str">
        <f t="shared" si="20"/>
        <v>20260123_0375</v>
      </c>
      <c r="B377" s="12">
        <v>46045</v>
      </c>
      <c r="C377" s="13">
        <v>375</v>
      </c>
      <c r="D377" s="4" t="str">
        <f t="shared" si="23"/>
        <v>00</v>
      </c>
      <c r="E377" s="14">
        <v>0</v>
      </c>
      <c r="F377">
        <f t="shared" si="21"/>
        <v>6</v>
      </c>
      <c r="G377" s="41" t="str">
        <f t="shared" si="22"/>
        <v>00</v>
      </c>
    </row>
    <row r="378" spans="1:7" x14ac:dyDescent="0.6">
      <c r="A378" t="str">
        <f t="shared" si="20"/>
        <v>20260123_0376</v>
      </c>
      <c r="B378" s="12">
        <v>46045</v>
      </c>
      <c r="C378" s="13">
        <v>376</v>
      </c>
      <c r="D378" s="4" t="str">
        <f t="shared" si="23"/>
        <v>00</v>
      </c>
      <c r="E378" s="14">
        <v>0</v>
      </c>
      <c r="F378">
        <f t="shared" si="21"/>
        <v>6</v>
      </c>
      <c r="G378" s="41" t="str">
        <f t="shared" si="22"/>
        <v>00</v>
      </c>
    </row>
    <row r="379" spans="1:7" x14ac:dyDescent="0.6">
      <c r="A379" t="str">
        <f t="shared" si="20"/>
        <v>20260123_0377</v>
      </c>
      <c r="B379" s="12">
        <v>46045</v>
      </c>
      <c r="C379" s="13">
        <v>377</v>
      </c>
      <c r="D379" s="4" t="str">
        <f t="shared" si="23"/>
        <v>00</v>
      </c>
      <c r="E379" s="14">
        <v>0</v>
      </c>
      <c r="F379">
        <f t="shared" si="21"/>
        <v>6</v>
      </c>
      <c r="G379" s="41" t="str">
        <f t="shared" si="22"/>
        <v>00</v>
      </c>
    </row>
    <row r="380" spans="1:7" x14ac:dyDescent="0.6">
      <c r="A380" t="str">
        <f t="shared" si="20"/>
        <v>20260123_0378</v>
      </c>
      <c r="B380" s="12">
        <v>46045</v>
      </c>
      <c r="C380" s="13">
        <v>378</v>
      </c>
      <c r="D380" s="4" t="str">
        <f t="shared" si="23"/>
        <v>00</v>
      </c>
      <c r="E380" s="14">
        <v>0</v>
      </c>
      <c r="F380">
        <f t="shared" si="21"/>
        <v>6</v>
      </c>
      <c r="G380" s="41" t="str">
        <f t="shared" si="22"/>
        <v>00</v>
      </c>
    </row>
    <row r="381" spans="1:7" x14ac:dyDescent="0.6">
      <c r="A381" t="str">
        <f t="shared" si="20"/>
        <v>20260123_0379</v>
      </c>
      <c r="B381" s="12">
        <v>46045</v>
      </c>
      <c r="C381" s="13">
        <v>379</v>
      </c>
      <c r="D381" s="4" t="str">
        <f t="shared" si="23"/>
        <v>00</v>
      </c>
      <c r="E381" s="14">
        <v>0</v>
      </c>
      <c r="F381">
        <f t="shared" si="21"/>
        <v>6</v>
      </c>
      <c r="G381" s="41" t="str">
        <f t="shared" si="22"/>
        <v>00</v>
      </c>
    </row>
    <row r="382" spans="1:7" x14ac:dyDescent="0.6">
      <c r="A382" t="str">
        <f t="shared" si="20"/>
        <v>20260123_0380</v>
      </c>
      <c r="B382" s="12">
        <v>46045</v>
      </c>
      <c r="C382" s="13">
        <v>380</v>
      </c>
      <c r="D382" s="4" t="str">
        <f t="shared" si="23"/>
        <v>00</v>
      </c>
      <c r="E382" s="14">
        <v>0</v>
      </c>
      <c r="F382">
        <f t="shared" si="21"/>
        <v>6</v>
      </c>
      <c r="G382" s="41" t="str">
        <f t="shared" si="22"/>
        <v>00</v>
      </c>
    </row>
    <row r="383" spans="1:7" x14ac:dyDescent="0.6">
      <c r="A383" t="str">
        <f t="shared" si="20"/>
        <v>20260123_0381</v>
      </c>
      <c r="B383" s="12">
        <v>46045</v>
      </c>
      <c r="C383" s="13">
        <v>381</v>
      </c>
      <c r="D383" s="4" t="str">
        <f t="shared" si="23"/>
        <v>00</v>
      </c>
      <c r="E383" s="14">
        <v>0</v>
      </c>
      <c r="F383">
        <f t="shared" si="21"/>
        <v>6</v>
      </c>
      <c r="G383" s="41" t="str">
        <f t="shared" si="22"/>
        <v>00</v>
      </c>
    </row>
    <row r="384" spans="1:7" x14ac:dyDescent="0.6">
      <c r="A384" t="str">
        <f t="shared" si="20"/>
        <v>20260123_0382</v>
      </c>
      <c r="B384" s="12">
        <v>46045</v>
      </c>
      <c r="C384" s="13">
        <v>382</v>
      </c>
      <c r="D384" s="4" t="str">
        <f t="shared" si="23"/>
        <v>00</v>
      </c>
      <c r="E384" s="14">
        <v>0</v>
      </c>
      <c r="F384">
        <f t="shared" si="21"/>
        <v>6</v>
      </c>
      <c r="G384" s="41" t="str">
        <f t="shared" si="22"/>
        <v>00</v>
      </c>
    </row>
    <row r="385" spans="1:7" x14ac:dyDescent="0.6">
      <c r="A385" t="str">
        <f t="shared" si="20"/>
        <v>20260123_0383</v>
      </c>
      <c r="B385" s="12">
        <v>46045</v>
      </c>
      <c r="C385" s="13">
        <v>383</v>
      </c>
      <c r="D385" s="4" t="str">
        <f t="shared" si="23"/>
        <v>00</v>
      </c>
      <c r="E385" s="14">
        <v>0</v>
      </c>
      <c r="F385">
        <f t="shared" si="21"/>
        <v>6</v>
      </c>
      <c r="G385" s="41" t="str">
        <f t="shared" si="22"/>
        <v>00</v>
      </c>
    </row>
    <row r="386" spans="1:7" x14ac:dyDescent="0.6">
      <c r="A386" t="str">
        <f t="shared" ref="A386:A449" si="24">IF(B386="","",TEXT(B386,"yyyymmdd")&amp;"_"&amp;TEXT(C386,"0000"))</f>
        <v>20260123_0384</v>
      </c>
      <c r="B386" s="12">
        <v>46045</v>
      </c>
      <c r="C386" s="13">
        <v>384</v>
      </c>
      <c r="D386" s="4" t="str">
        <f t="shared" si="23"/>
        <v>00</v>
      </c>
      <c r="E386" s="14">
        <v>0</v>
      </c>
      <c r="F386">
        <f t="shared" ref="F386:F449" si="25">IF(C386="","",INT(C386/60))</f>
        <v>6</v>
      </c>
      <c r="G386" s="41" t="str">
        <f t="shared" ref="G386:G449" si="26">IF(D386="","",IF(LEN(UPPER(SUBSTITUTE(SUBSTITUTE(TRIM(D386),CHAR(160),"")," ","")))=1,"0"&amp;UPPER(SUBSTITUTE(SUBSTITUTE(TRIM(D386),CHAR(160),"")," ","")),UPPER(SUBSTITUTE(SUBSTITUTE(TRIM(D386),CHAR(160),"")," ",""))))</f>
        <v>00</v>
      </c>
    </row>
    <row r="387" spans="1:7" x14ac:dyDescent="0.6">
      <c r="A387" t="str">
        <f t="shared" si="24"/>
        <v>20260123_0385</v>
      </c>
      <c r="B387" s="12">
        <v>46045</v>
      </c>
      <c r="C387" s="13">
        <v>385</v>
      </c>
      <c r="D387" s="4" t="str">
        <f t="shared" ref="D387:D450" si="27">MID(I$1,$C387*2+1,2)</f>
        <v>00</v>
      </c>
      <c r="E387" s="14">
        <v>0</v>
      </c>
      <c r="F387">
        <f t="shared" si="25"/>
        <v>6</v>
      </c>
      <c r="G387" s="41" t="str">
        <f t="shared" si="26"/>
        <v>00</v>
      </c>
    </row>
    <row r="388" spans="1:7" x14ac:dyDescent="0.6">
      <c r="A388" t="str">
        <f t="shared" si="24"/>
        <v>20260123_0386</v>
      </c>
      <c r="B388" s="12">
        <v>46045</v>
      </c>
      <c r="C388" s="13">
        <v>386</v>
      </c>
      <c r="D388" s="4" t="str">
        <f t="shared" si="27"/>
        <v>00</v>
      </c>
      <c r="E388" s="14">
        <v>0</v>
      </c>
      <c r="F388">
        <f t="shared" si="25"/>
        <v>6</v>
      </c>
      <c r="G388" s="41" t="str">
        <f t="shared" si="26"/>
        <v>00</v>
      </c>
    </row>
    <row r="389" spans="1:7" x14ac:dyDescent="0.6">
      <c r="A389" t="str">
        <f t="shared" si="24"/>
        <v>20260123_0387</v>
      </c>
      <c r="B389" s="12">
        <v>46045</v>
      </c>
      <c r="C389" s="13">
        <v>387</v>
      </c>
      <c r="D389" s="4" t="str">
        <f t="shared" si="27"/>
        <v>00</v>
      </c>
      <c r="E389" s="14">
        <v>0</v>
      </c>
      <c r="F389">
        <f t="shared" si="25"/>
        <v>6</v>
      </c>
      <c r="G389" s="41" t="str">
        <f t="shared" si="26"/>
        <v>00</v>
      </c>
    </row>
    <row r="390" spans="1:7" x14ac:dyDescent="0.6">
      <c r="A390" t="str">
        <f t="shared" si="24"/>
        <v>20260123_0388</v>
      </c>
      <c r="B390" s="12">
        <v>46045</v>
      </c>
      <c r="C390" s="13">
        <v>388</v>
      </c>
      <c r="D390" s="4" t="str">
        <f t="shared" si="27"/>
        <v>00</v>
      </c>
      <c r="E390" s="14">
        <v>0</v>
      </c>
      <c r="F390">
        <f t="shared" si="25"/>
        <v>6</v>
      </c>
      <c r="G390" s="41" t="str">
        <f t="shared" si="26"/>
        <v>00</v>
      </c>
    </row>
    <row r="391" spans="1:7" x14ac:dyDescent="0.6">
      <c r="A391" t="str">
        <f t="shared" si="24"/>
        <v>20260123_0389</v>
      </c>
      <c r="B391" s="12">
        <v>46045</v>
      </c>
      <c r="C391" s="13">
        <v>389</v>
      </c>
      <c r="D391" s="4" t="str">
        <f t="shared" si="27"/>
        <v>00</v>
      </c>
      <c r="E391" s="14">
        <v>0</v>
      </c>
      <c r="F391">
        <f t="shared" si="25"/>
        <v>6</v>
      </c>
      <c r="G391" s="41" t="str">
        <f t="shared" si="26"/>
        <v>00</v>
      </c>
    </row>
    <row r="392" spans="1:7" x14ac:dyDescent="0.6">
      <c r="A392" t="str">
        <f t="shared" si="24"/>
        <v>20260123_0390</v>
      </c>
      <c r="B392" s="12">
        <v>46045</v>
      </c>
      <c r="C392" s="13">
        <v>390</v>
      </c>
      <c r="D392" s="4" t="str">
        <f t="shared" si="27"/>
        <v>00</v>
      </c>
      <c r="E392" s="14">
        <v>0</v>
      </c>
      <c r="F392">
        <f t="shared" si="25"/>
        <v>6</v>
      </c>
      <c r="G392" s="41" t="str">
        <f t="shared" si="26"/>
        <v>00</v>
      </c>
    </row>
    <row r="393" spans="1:7" x14ac:dyDescent="0.6">
      <c r="A393" t="str">
        <f t="shared" si="24"/>
        <v>20260123_0391</v>
      </c>
      <c r="B393" s="12">
        <v>46045</v>
      </c>
      <c r="C393" s="13">
        <v>391</v>
      </c>
      <c r="D393" s="4" t="str">
        <f t="shared" si="27"/>
        <v>00</v>
      </c>
      <c r="E393" s="14">
        <v>0</v>
      </c>
      <c r="F393">
        <f t="shared" si="25"/>
        <v>6</v>
      </c>
      <c r="G393" s="41" t="str">
        <f t="shared" si="26"/>
        <v>00</v>
      </c>
    </row>
    <row r="394" spans="1:7" x14ac:dyDescent="0.6">
      <c r="A394" t="str">
        <f t="shared" si="24"/>
        <v>20260123_0392</v>
      </c>
      <c r="B394" s="12">
        <v>46045</v>
      </c>
      <c r="C394" s="13">
        <v>392</v>
      </c>
      <c r="D394" s="4" t="str">
        <f t="shared" si="27"/>
        <v>00</v>
      </c>
      <c r="E394" s="14">
        <v>0</v>
      </c>
      <c r="F394">
        <f t="shared" si="25"/>
        <v>6</v>
      </c>
      <c r="G394" s="41" t="str">
        <f t="shared" si="26"/>
        <v>00</v>
      </c>
    </row>
    <row r="395" spans="1:7" x14ac:dyDescent="0.6">
      <c r="A395" t="str">
        <f t="shared" si="24"/>
        <v>20260123_0393</v>
      </c>
      <c r="B395" s="12">
        <v>46045</v>
      </c>
      <c r="C395" s="13">
        <v>393</v>
      </c>
      <c r="D395" s="4" t="str">
        <f t="shared" si="27"/>
        <v>00</v>
      </c>
      <c r="E395" s="14">
        <v>0</v>
      </c>
      <c r="F395">
        <f t="shared" si="25"/>
        <v>6</v>
      </c>
      <c r="G395" s="41" t="str">
        <f t="shared" si="26"/>
        <v>00</v>
      </c>
    </row>
    <row r="396" spans="1:7" x14ac:dyDescent="0.6">
      <c r="A396" t="str">
        <f t="shared" si="24"/>
        <v>20260123_0394</v>
      </c>
      <c r="B396" s="12">
        <v>46045</v>
      </c>
      <c r="C396" s="13">
        <v>394</v>
      </c>
      <c r="D396" s="4" t="str">
        <f t="shared" si="27"/>
        <v>00</v>
      </c>
      <c r="E396" s="14">
        <v>0</v>
      </c>
      <c r="F396">
        <f t="shared" si="25"/>
        <v>6</v>
      </c>
      <c r="G396" s="41" t="str">
        <f t="shared" si="26"/>
        <v>00</v>
      </c>
    </row>
    <row r="397" spans="1:7" x14ac:dyDescent="0.6">
      <c r="A397" t="str">
        <f t="shared" si="24"/>
        <v>20260123_0395</v>
      </c>
      <c r="B397" s="12">
        <v>46045</v>
      </c>
      <c r="C397" s="13">
        <v>395</v>
      </c>
      <c r="D397" s="4" t="str">
        <f t="shared" si="27"/>
        <v>00</v>
      </c>
      <c r="E397" s="14">
        <v>0</v>
      </c>
      <c r="F397">
        <f t="shared" si="25"/>
        <v>6</v>
      </c>
      <c r="G397" s="41" t="str">
        <f t="shared" si="26"/>
        <v>00</v>
      </c>
    </row>
    <row r="398" spans="1:7" x14ac:dyDescent="0.6">
      <c r="A398" t="str">
        <f t="shared" si="24"/>
        <v>20260123_0396</v>
      </c>
      <c r="B398" s="12">
        <v>46045</v>
      </c>
      <c r="C398" s="13">
        <v>396</v>
      </c>
      <c r="D398" s="4" t="str">
        <f t="shared" si="27"/>
        <v>00</v>
      </c>
      <c r="E398" s="14">
        <v>0</v>
      </c>
      <c r="F398">
        <f t="shared" si="25"/>
        <v>6</v>
      </c>
      <c r="G398" s="41" t="str">
        <f t="shared" si="26"/>
        <v>00</v>
      </c>
    </row>
    <row r="399" spans="1:7" x14ac:dyDescent="0.6">
      <c r="A399" t="str">
        <f t="shared" si="24"/>
        <v>20260123_0397</v>
      </c>
      <c r="B399" s="12">
        <v>46045</v>
      </c>
      <c r="C399" s="13">
        <v>397</v>
      </c>
      <c r="D399" s="4" t="str">
        <f t="shared" si="27"/>
        <v>00</v>
      </c>
      <c r="E399" s="14">
        <v>0</v>
      </c>
      <c r="F399">
        <f t="shared" si="25"/>
        <v>6</v>
      </c>
      <c r="G399" s="41" t="str">
        <f t="shared" si="26"/>
        <v>00</v>
      </c>
    </row>
    <row r="400" spans="1:7" x14ac:dyDescent="0.6">
      <c r="A400" t="str">
        <f t="shared" si="24"/>
        <v>20260123_0398</v>
      </c>
      <c r="B400" s="12">
        <v>46045</v>
      </c>
      <c r="C400" s="13">
        <v>398</v>
      </c>
      <c r="D400" s="4" t="str">
        <f t="shared" si="27"/>
        <v>00</v>
      </c>
      <c r="E400" s="14">
        <v>0</v>
      </c>
      <c r="F400">
        <f t="shared" si="25"/>
        <v>6</v>
      </c>
      <c r="G400" s="41" t="str">
        <f t="shared" si="26"/>
        <v>00</v>
      </c>
    </row>
    <row r="401" spans="1:7" x14ac:dyDescent="0.6">
      <c r="A401" t="str">
        <f t="shared" si="24"/>
        <v>20260123_0399</v>
      </c>
      <c r="B401" s="12">
        <v>46045</v>
      </c>
      <c r="C401" s="13">
        <v>399</v>
      </c>
      <c r="D401" s="4" t="str">
        <f t="shared" si="27"/>
        <v>00</v>
      </c>
      <c r="E401" s="14">
        <v>0</v>
      </c>
      <c r="F401">
        <f t="shared" si="25"/>
        <v>6</v>
      </c>
      <c r="G401" s="41" t="str">
        <f t="shared" si="26"/>
        <v>00</v>
      </c>
    </row>
    <row r="402" spans="1:7" x14ac:dyDescent="0.6">
      <c r="A402" t="str">
        <f t="shared" si="24"/>
        <v>20260123_0400</v>
      </c>
      <c r="B402" s="12">
        <v>46045</v>
      </c>
      <c r="C402" s="13">
        <v>400</v>
      </c>
      <c r="D402" s="4" t="str">
        <f t="shared" si="27"/>
        <v>00</v>
      </c>
      <c r="E402" s="14">
        <v>0</v>
      </c>
      <c r="F402">
        <f t="shared" si="25"/>
        <v>6</v>
      </c>
      <c r="G402" s="41" t="str">
        <f t="shared" si="26"/>
        <v>00</v>
      </c>
    </row>
    <row r="403" spans="1:7" x14ac:dyDescent="0.6">
      <c r="A403" t="str">
        <f t="shared" si="24"/>
        <v>20260123_0401</v>
      </c>
      <c r="B403" s="12">
        <v>46045</v>
      </c>
      <c r="C403" s="13">
        <v>401</v>
      </c>
      <c r="D403" s="4" t="str">
        <f t="shared" si="27"/>
        <v>00</v>
      </c>
      <c r="E403" s="14">
        <v>0</v>
      </c>
      <c r="F403">
        <f t="shared" si="25"/>
        <v>6</v>
      </c>
      <c r="G403" s="41" t="str">
        <f t="shared" si="26"/>
        <v>00</v>
      </c>
    </row>
    <row r="404" spans="1:7" x14ac:dyDescent="0.6">
      <c r="A404" t="str">
        <f t="shared" si="24"/>
        <v>20260123_0402</v>
      </c>
      <c r="B404" s="12">
        <v>46045</v>
      </c>
      <c r="C404" s="13">
        <v>402</v>
      </c>
      <c r="D404" s="4" t="str">
        <f t="shared" si="27"/>
        <v>00</v>
      </c>
      <c r="E404" s="14">
        <v>0</v>
      </c>
      <c r="F404">
        <f t="shared" si="25"/>
        <v>6</v>
      </c>
      <c r="G404" s="41" t="str">
        <f t="shared" si="26"/>
        <v>00</v>
      </c>
    </row>
    <row r="405" spans="1:7" x14ac:dyDescent="0.6">
      <c r="A405" t="str">
        <f t="shared" si="24"/>
        <v>20260123_0403</v>
      </c>
      <c r="B405" s="12">
        <v>46045</v>
      </c>
      <c r="C405" s="13">
        <v>403</v>
      </c>
      <c r="D405" s="4" t="str">
        <f t="shared" si="27"/>
        <v>00</v>
      </c>
      <c r="E405" s="14">
        <v>0</v>
      </c>
      <c r="F405">
        <f t="shared" si="25"/>
        <v>6</v>
      </c>
      <c r="G405" s="41" t="str">
        <f t="shared" si="26"/>
        <v>00</v>
      </c>
    </row>
    <row r="406" spans="1:7" x14ac:dyDescent="0.6">
      <c r="A406" t="str">
        <f t="shared" si="24"/>
        <v>20260123_0404</v>
      </c>
      <c r="B406" s="12">
        <v>46045</v>
      </c>
      <c r="C406" s="13">
        <v>404</v>
      </c>
      <c r="D406" s="4" t="str">
        <f t="shared" si="27"/>
        <v>00</v>
      </c>
      <c r="E406" s="14">
        <v>0</v>
      </c>
      <c r="F406">
        <f t="shared" si="25"/>
        <v>6</v>
      </c>
      <c r="G406" s="41" t="str">
        <f t="shared" si="26"/>
        <v>00</v>
      </c>
    </row>
    <row r="407" spans="1:7" x14ac:dyDescent="0.6">
      <c r="A407" t="str">
        <f t="shared" si="24"/>
        <v>20260123_0405</v>
      </c>
      <c r="B407" s="12">
        <v>46045</v>
      </c>
      <c r="C407" s="13">
        <v>405</v>
      </c>
      <c r="D407" s="4" t="str">
        <f t="shared" si="27"/>
        <v>00</v>
      </c>
      <c r="E407" s="14">
        <v>0</v>
      </c>
      <c r="F407">
        <f t="shared" si="25"/>
        <v>6</v>
      </c>
      <c r="G407" s="41" t="str">
        <f t="shared" si="26"/>
        <v>00</v>
      </c>
    </row>
    <row r="408" spans="1:7" x14ac:dyDescent="0.6">
      <c r="A408" t="str">
        <f t="shared" si="24"/>
        <v>20260123_0406</v>
      </c>
      <c r="B408" s="12">
        <v>46045</v>
      </c>
      <c r="C408" s="13">
        <v>406</v>
      </c>
      <c r="D408" s="4" t="str">
        <f t="shared" si="27"/>
        <v>00</v>
      </c>
      <c r="E408" s="14">
        <v>0</v>
      </c>
      <c r="F408">
        <f t="shared" si="25"/>
        <v>6</v>
      </c>
      <c r="G408" s="41" t="str">
        <f t="shared" si="26"/>
        <v>00</v>
      </c>
    </row>
    <row r="409" spans="1:7" x14ac:dyDescent="0.6">
      <c r="A409" t="str">
        <f t="shared" si="24"/>
        <v>20260123_0407</v>
      </c>
      <c r="B409" s="12">
        <v>46045</v>
      </c>
      <c r="C409" s="13">
        <v>407</v>
      </c>
      <c r="D409" s="4" t="str">
        <f t="shared" si="27"/>
        <v>00</v>
      </c>
      <c r="E409" s="14">
        <v>0</v>
      </c>
      <c r="F409">
        <f t="shared" si="25"/>
        <v>6</v>
      </c>
      <c r="G409" s="41" t="str">
        <f t="shared" si="26"/>
        <v>00</v>
      </c>
    </row>
    <row r="410" spans="1:7" x14ac:dyDescent="0.6">
      <c r="A410" t="str">
        <f t="shared" si="24"/>
        <v>20260123_0408</v>
      </c>
      <c r="B410" s="12">
        <v>46045</v>
      </c>
      <c r="C410" s="13">
        <v>408</v>
      </c>
      <c r="D410" s="4" t="str">
        <f t="shared" si="27"/>
        <v>00</v>
      </c>
      <c r="E410" s="14">
        <v>0</v>
      </c>
      <c r="F410">
        <f t="shared" si="25"/>
        <v>6</v>
      </c>
      <c r="G410" s="41" t="str">
        <f t="shared" si="26"/>
        <v>00</v>
      </c>
    </row>
    <row r="411" spans="1:7" x14ac:dyDescent="0.6">
      <c r="A411" t="str">
        <f t="shared" si="24"/>
        <v>20260123_0409</v>
      </c>
      <c r="B411" s="12">
        <v>46045</v>
      </c>
      <c r="C411" s="13">
        <v>409</v>
      </c>
      <c r="D411" s="4" t="str">
        <f t="shared" si="27"/>
        <v>00</v>
      </c>
      <c r="E411" s="14">
        <v>0</v>
      </c>
      <c r="F411">
        <f t="shared" si="25"/>
        <v>6</v>
      </c>
      <c r="G411" s="41" t="str">
        <f t="shared" si="26"/>
        <v>00</v>
      </c>
    </row>
    <row r="412" spans="1:7" x14ac:dyDescent="0.6">
      <c r="A412" t="str">
        <f t="shared" si="24"/>
        <v>20260123_0410</v>
      </c>
      <c r="B412" s="12">
        <v>46045</v>
      </c>
      <c r="C412" s="13">
        <v>410</v>
      </c>
      <c r="D412" s="4" t="str">
        <f t="shared" si="27"/>
        <v>00</v>
      </c>
      <c r="E412" s="14">
        <v>0</v>
      </c>
      <c r="F412">
        <f t="shared" si="25"/>
        <v>6</v>
      </c>
      <c r="G412" s="41" t="str">
        <f t="shared" si="26"/>
        <v>00</v>
      </c>
    </row>
    <row r="413" spans="1:7" x14ac:dyDescent="0.6">
      <c r="A413" t="str">
        <f t="shared" si="24"/>
        <v>20260123_0411</v>
      </c>
      <c r="B413" s="12">
        <v>46045</v>
      </c>
      <c r="C413" s="13">
        <v>411</v>
      </c>
      <c r="D413" s="4" t="str">
        <f t="shared" si="27"/>
        <v>00</v>
      </c>
      <c r="E413" s="14">
        <v>0</v>
      </c>
      <c r="F413">
        <f t="shared" si="25"/>
        <v>6</v>
      </c>
      <c r="G413" s="41" t="str">
        <f t="shared" si="26"/>
        <v>00</v>
      </c>
    </row>
    <row r="414" spans="1:7" x14ac:dyDescent="0.6">
      <c r="A414" t="str">
        <f t="shared" si="24"/>
        <v>20260123_0412</v>
      </c>
      <c r="B414" s="12">
        <v>46045</v>
      </c>
      <c r="C414" s="13">
        <v>412</v>
      </c>
      <c r="D414" s="4" t="str">
        <f t="shared" si="27"/>
        <v>00</v>
      </c>
      <c r="E414" s="14">
        <v>0</v>
      </c>
      <c r="F414">
        <f t="shared" si="25"/>
        <v>6</v>
      </c>
      <c r="G414" s="41" t="str">
        <f t="shared" si="26"/>
        <v>00</v>
      </c>
    </row>
    <row r="415" spans="1:7" x14ac:dyDescent="0.6">
      <c r="A415" t="str">
        <f t="shared" si="24"/>
        <v>20260123_0413</v>
      </c>
      <c r="B415" s="12">
        <v>46045</v>
      </c>
      <c r="C415" s="13">
        <v>413</v>
      </c>
      <c r="D415" s="4" t="str">
        <f t="shared" si="27"/>
        <v>00</v>
      </c>
      <c r="E415" s="14">
        <v>0</v>
      </c>
      <c r="F415">
        <f t="shared" si="25"/>
        <v>6</v>
      </c>
      <c r="G415" s="41" t="str">
        <f t="shared" si="26"/>
        <v>00</v>
      </c>
    </row>
    <row r="416" spans="1:7" x14ac:dyDescent="0.6">
      <c r="A416" t="str">
        <f t="shared" si="24"/>
        <v>20260123_0414</v>
      </c>
      <c r="B416" s="12">
        <v>46045</v>
      </c>
      <c r="C416" s="13">
        <v>414</v>
      </c>
      <c r="D416" s="4" t="str">
        <f t="shared" si="27"/>
        <v>00</v>
      </c>
      <c r="E416" s="14">
        <v>0</v>
      </c>
      <c r="F416">
        <f t="shared" si="25"/>
        <v>6</v>
      </c>
      <c r="G416" s="41" t="str">
        <f t="shared" si="26"/>
        <v>00</v>
      </c>
    </row>
    <row r="417" spans="1:7" x14ac:dyDescent="0.6">
      <c r="A417" t="str">
        <f t="shared" si="24"/>
        <v>20260123_0415</v>
      </c>
      <c r="B417" s="12">
        <v>46045</v>
      </c>
      <c r="C417" s="13">
        <v>415</v>
      </c>
      <c r="D417" s="4" t="str">
        <f t="shared" si="27"/>
        <v>00</v>
      </c>
      <c r="E417" s="14">
        <v>0</v>
      </c>
      <c r="F417">
        <f t="shared" si="25"/>
        <v>6</v>
      </c>
      <c r="G417" s="41" t="str">
        <f t="shared" si="26"/>
        <v>00</v>
      </c>
    </row>
    <row r="418" spans="1:7" x14ac:dyDescent="0.6">
      <c r="A418" t="str">
        <f t="shared" si="24"/>
        <v>20260123_0416</v>
      </c>
      <c r="B418" s="12">
        <v>46045</v>
      </c>
      <c r="C418" s="13">
        <v>416</v>
      </c>
      <c r="D418" s="4" t="str">
        <f t="shared" si="27"/>
        <v>00</v>
      </c>
      <c r="E418" s="14">
        <v>0</v>
      </c>
      <c r="F418">
        <f t="shared" si="25"/>
        <v>6</v>
      </c>
      <c r="G418" s="41" t="str">
        <f t="shared" si="26"/>
        <v>00</v>
      </c>
    </row>
    <row r="419" spans="1:7" x14ac:dyDescent="0.6">
      <c r="A419" t="str">
        <f t="shared" si="24"/>
        <v>20260123_0417</v>
      </c>
      <c r="B419" s="12">
        <v>46045</v>
      </c>
      <c r="C419" s="13">
        <v>417</v>
      </c>
      <c r="D419" s="4" t="str">
        <f t="shared" si="27"/>
        <v>00</v>
      </c>
      <c r="E419" s="14">
        <v>0</v>
      </c>
      <c r="F419">
        <f t="shared" si="25"/>
        <v>6</v>
      </c>
      <c r="G419" s="41" t="str">
        <f t="shared" si="26"/>
        <v>00</v>
      </c>
    </row>
    <row r="420" spans="1:7" x14ac:dyDescent="0.6">
      <c r="A420" t="str">
        <f t="shared" si="24"/>
        <v>20260123_0418</v>
      </c>
      <c r="B420" s="12">
        <v>46045</v>
      </c>
      <c r="C420" s="13">
        <v>418</v>
      </c>
      <c r="D420" s="4" t="str">
        <f t="shared" si="27"/>
        <v>00</v>
      </c>
      <c r="E420" s="14">
        <v>0</v>
      </c>
      <c r="F420">
        <f t="shared" si="25"/>
        <v>6</v>
      </c>
      <c r="G420" s="41" t="str">
        <f t="shared" si="26"/>
        <v>00</v>
      </c>
    </row>
    <row r="421" spans="1:7" x14ac:dyDescent="0.6">
      <c r="A421" t="str">
        <f t="shared" si="24"/>
        <v>20260123_0419</v>
      </c>
      <c r="B421" s="12">
        <v>46045</v>
      </c>
      <c r="C421" s="13">
        <v>419</v>
      </c>
      <c r="D421" s="4" t="str">
        <f t="shared" si="27"/>
        <v>00</v>
      </c>
      <c r="E421" s="14">
        <v>0</v>
      </c>
      <c r="F421">
        <f t="shared" si="25"/>
        <v>6</v>
      </c>
      <c r="G421" s="41" t="str">
        <f t="shared" si="26"/>
        <v>00</v>
      </c>
    </row>
    <row r="422" spans="1:7" x14ac:dyDescent="0.6">
      <c r="A422" t="str">
        <f t="shared" si="24"/>
        <v>20260123_0420</v>
      </c>
      <c r="B422" s="12">
        <v>46045</v>
      </c>
      <c r="C422" s="13">
        <v>420</v>
      </c>
      <c r="D422" s="4" t="str">
        <f t="shared" si="27"/>
        <v>00</v>
      </c>
      <c r="E422" s="14">
        <v>0</v>
      </c>
      <c r="F422">
        <f t="shared" si="25"/>
        <v>7</v>
      </c>
      <c r="G422" s="41" t="str">
        <f t="shared" si="26"/>
        <v>00</v>
      </c>
    </row>
    <row r="423" spans="1:7" x14ac:dyDescent="0.6">
      <c r="A423" t="str">
        <f t="shared" si="24"/>
        <v>20260123_0421</v>
      </c>
      <c r="B423" s="12">
        <v>46045</v>
      </c>
      <c r="C423" s="13">
        <v>421</v>
      </c>
      <c r="D423" s="4" t="str">
        <f t="shared" si="27"/>
        <v>00</v>
      </c>
      <c r="E423" s="14">
        <v>0</v>
      </c>
      <c r="F423">
        <f t="shared" si="25"/>
        <v>7</v>
      </c>
      <c r="G423" s="41" t="str">
        <f t="shared" si="26"/>
        <v>00</v>
      </c>
    </row>
    <row r="424" spans="1:7" x14ac:dyDescent="0.6">
      <c r="A424" t="str">
        <f t="shared" si="24"/>
        <v>20260123_0422</v>
      </c>
      <c r="B424" s="12">
        <v>46045</v>
      </c>
      <c r="C424" s="13">
        <v>422</v>
      </c>
      <c r="D424" s="4" t="str">
        <f t="shared" si="27"/>
        <v>00</v>
      </c>
      <c r="E424" s="14">
        <v>0</v>
      </c>
      <c r="F424">
        <f t="shared" si="25"/>
        <v>7</v>
      </c>
      <c r="G424" s="41" t="str">
        <f t="shared" si="26"/>
        <v>00</v>
      </c>
    </row>
    <row r="425" spans="1:7" x14ac:dyDescent="0.6">
      <c r="A425" t="str">
        <f t="shared" si="24"/>
        <v>20260123_0423</v>
      </c>
      <c r="B425" s="12">
        <v>46045</v>
      </c>
      <c r="C425" s="13">
        <v>423</v>
      </c>
      <c r="D425" s="4" t="str">
        <f t="shared" si="27"/>
        <v>00</v>
      </c>
      <c r="E425" s="14">
        <v>0</v>
      </c>
      <c r="F425">
        <f t="shared" si="25"/>
        <v>7</v>
      </c>
      <c r="G425" s="41" t="str">
        <f t="shared" si="26"/>
        <v>00</v>
      </c>
    </row>
    <row r="426" spans="1:7" x14ac:dyDescent="0.6">
      <c r="A426" t="str">
        <f t="shared" si="24"/>
        <v>20260123_0424</v>
      </c>
      <c r="B426" s="12">
        <v>46045</v>
      </c>
      <c r="C426" s="13">
        <v>424</v>
      </c>
      <c r="D426" s="4" t="str">
        <f t="shared" si="27"/>
        <v>00</v>
      </c>
      <c r="E426" s="14">
        <v>0</v>
      </c>
      <c r="F426">
        <f t="shared" si="25"/>
        <v>7</v>
      </c>
      <c r="G426" s="41" t="str">
        <f t="shared" si="26"/>
        <v>00</v>
      </c>
    </row>
    <row r="427" spans="1:7" x14ac:dyDescent="0.6">
      <c r="A427" t="str">
        <f t="shared" si="24"/>
        <v>20260123_0425</v>
      </c>
      <c r="B427" s="12">
        <v>46045</v>
      </c>
      <c r="C427" s="13">
        <v>425</v>
      </c>
      <c r="D427" s="4" t="str">
        <f t="shared" si="27"/>
        <v>00</v>
      </c>
      <c r="E427" s="14">
        <v>0</v>
      </c>
      <c r="F427">
        <f t="shared" si="25"/>
        <v>7</v>
      </c>
      <c r="G427" s="41" t="str">
        <f t="shared" si="26"/>
        <v>00</v>
      </c>
    </row>
    <row r="428" spans="1:7" x14ac:dyDescent="0.6">
      <c r="A428" t="str">
        <f t="shared" si="24"/>
        <v>20260123_0426</v>
      </c>
      <c r="B428" s="12">
        <v>46045</v>
      </c>
      <c r="C428" s="13">
        <v>426</v>
      </c>
      <c r="D428" s="4" t="str">
        <f t="shared" si="27"/>
        <v>00</v>
      </c>
      <c r="E428" s="14">
        <v>0</v>
      </c>
      <c r="F428">
        <f t="shared" si="25"/>
        <v>7</v>
      </c>
      <c r="G428" s="41" t="str">
        <f t="shared" si="26"/>
        <v>00</v>
      </c>
    </row>
    <row r="429" spans="1:7" x14ac:dyDescent="0.6">
      <c r="A429" t="str">
        <f t="shared" si="24"/>
        <v>20260123_0427</v>
      </c>
      <c r="B429" s="12">
        <v>46045</v>
      </c>
      <c r="C429" s="13">
        <v>427</v>
      </c>
      <c r="D429" s="4" t="str">
        <f t="shared" si="27"/>
        <v>00</v>
      </c>
      <c r="E429" s="14">
        <v>0</v>
      </c>
      <c r="F429">
        <f t="shared" si="25"/>
        <v>7</v>
      </c>
      <c r="G429" s="41" t="str">
        <f t="shared" si="26"/>
        <v>00</v>
      </c>
    </row>
    <row r="430" spans="1:7" x14ac:dyDescent="0.6">
      <c r="A430" t="str">
        <f t="shared" si="24"/>
        <v>20260123_0428</v>
      </c>
      <c r="B430" s="12">
        <v>46045</v>
      </c>
      <c r="C430" s="13">
        <v>428</v>
      </c>
      <c r="D430" s="4" t="str">
        <f t="shared" si="27"/>
        <v>00</v>
      </c>
      <c r="E430" s="14">
        <v>0</v>
      </c>
      <c r="F430">
        <f t="shared" si="25"/>
        <v>7</v>
      </c>
      <c r="G430" s="41" t="str">
        <f t="shared" si="26"/>
        <v>00</v>
      </c>
    </row>
    <row r="431" spans="1:7" x14ac:dyDescent="0.6">
      <c r="A431" t="str">
        <f t="shared" si="24"/>
        <v>20260123_0429</v>
      </c>
      <c r="B431" s="12">
        <v>46045</v>
      </c>
      <c r="C431" s="13">
        <v>429</v>
      </c>
      <c r="D431" s="4" t="str">
        <f t="shared" si="27"/>
        <v>00</v>
      </c>
      <c r="E431" s="14">
        <v>0</v>
      </c>
      <c r="F431">
        <f t="shared" si="25"/>
        <v>7</v>
      </c>
      <c r="G431" s="41" t="str">
        <f t="shared" si="26"/>
        <v>00</v>
      </c>
    </row>
    <row r="432" spans="1:7" x14ac:dyDescent="0.6">
      <c r="A432" t="str">
        <f t="shared" si="24"/>
        <v>20260123_0430</v>
      </c>
      <c r="B432" s="12">
        <v>46045</v>
      </c>
      <c r="C432" s="13">
        <v>430</v>
      </c>
      <c r="D432" s="4" t="str">
        <f t="shared" si="27"/>
        <v>00</v>
      </c>
      <c r="E432" s="14">
        <v>0</v>
      </c>
      <c r="F432">
        <f t="shared" si="25"/>
        <v>7</v>
      </c>
      <c r="G432" s="41" t="str">
        <f t="shared" si="26"/>
        <v>00</v>
      </c>
    </row>
    <row r="433" spans="1:7" x14ac:dyDescent="0.6">
      <c r="A433" t="str">
        <f t="shared" si="24"/>
        <v>20260123_0431</v>
      </c>
      <c r="B433" s="12">
        <v>46045</v>
      </c>
      <c r="C433" s="13">
        <v>431</v>
      </c>
      <c r="D433" s="4" t="str">
        <f t="shared" si="27"/>
        <v>00</v>
      </c>
      <c r="E433" s="14">
        <v>0</v>
      </c>
      <c r="F433">
        <f t="shared" si="25"/>
        <v>7</v>
      </c>
      <c r="G433" s="41" t="str">
        <f t="shared" si="26"/>
        <v>00</v>
      </c>
    </row>
    <row r="434" spans="1:7" x14ac:dyDescent="0.6">
      <c r="A434" t="str">
        <f t="shared" si="24"/>
        <v>20260123_0432</v>
      </c>
      <c r="B434" s="12">
        <v>46045</v>
      </c>
      <c r="C434" s="13">
        <v>432</v>
      </c>
      <c r="D434" s="4" t="str">
        <f t="shared" si="27"/>
        <v>00</v>
      </c>
      <c r="E434" s="14">
        <v>0</v>
      </c>
      <c r="F434">
        <f t="shared" si="25"/>
        <v>7</v>
      </c>
      <c r="G434" s="41" t="str">
        <f t="shared" si="26"/>
        <v>00</v>
      </c>
    </row>
    <row r="435" spans="1:7" x14ac:dyDescent="0.6">
      <c r="A435" t="str">
        <f t="shared" si="24"/>
        <v>20260123_0433</v>
      </c>
      <c r="B435" s="12">
        <v>46045</v>
      </c>
      <c r="C435" s="13">
        <v>433</v>
      </c>
      <c r="D435" s="4" t="str">
        <f t="shared" si="27"/>
        <v>00</v>
      </c>
      <c r="E435" s="14">
        <v>0</v>
      </c>
      <c r="F435">
        <f t="shared" si="25"/>
        <v>7</v>
      </c>
      <c r="G435" s="41" t="str">
        <f t="shared" si="26"/>
        <v>00</v>
      </c>
    </row>
    <row r="436" spans="1:7" x14ac:dyDescent="0.6">
      <c r="A436" t="str">
        <f t="shared" si="24"/>
        <v>20260123_0434</v>
      </c>
      <c r="B436" s="12">
        <v>46045</v>
      </c>
      <c r="C436" s="13">
        <v>434</v>
      </c>
      <c r="D436" s="4" t="str">
        <f t="shared" si="27"/>
        <v>00</v>
      </c>
      <c r="E436" s="14">
        <v>0</v>
      </c>
      <c r="F436">
        <f t="shared" si="25"/>
        <v>7</v>
      </c>
      <c r="G436" s="41" t="str">
        <f t="shared" si="26"/>
        <v>00</v>
      </c>
    </row>
    <row r="437" spans="1:7" x14ac:dyDescent="0.6">
      <c r="A437" t="str">
        <f t="shared" si="24"/>
        <v>20260123_0435</v>
      </c>
      <c r="B437" s="12">
        <v>46045</v>
      </c>
      <c r="C437" s="13">
        <v>435</v>
      </c>
      <c r="D437" s="4" t="str">
        <f t="shared" si="27"/>
        <v>00</v>
      </c>
      <c r="E437" s="14">
        <v>0</v>
      </c>
      <c r="F437">
        <f t="shared" si="25"/>
        <v>7</v>
      </c>
      <c r="G437" s="41" t="str">
        <f t="shared" si="26"/>
        <v>00</v>
      </c>
    </row>
    <row r="438" spans="1:7" x14ac:dyDescent="0.6">
      <c r="A438" t="str">
        <f t="shared" si="24"/>
        <v>20260123_0436</v>
      </c>
      <c r="B438" s="12">
        <v>46045</v>
      </c>
      <c r="C438" s="13">
        <v>436</v>
      </c>
      <c r="D438" s="4" t="str">
        <f t="shared" si="27"/>
        <v>00</v>
      </c>
      <c r="E438" s="14">
        <v>0</v>
      </c>
      <c r="F438">
        <f t="shared" si="25"/>
        <v>7</v>
      </c>
      <c r="G438" s="41" t="str">
        <f t="shared" si="26"/>
        <v>00</v>
      </c>
    </row>
    <row r="439" spans="1:7" x14ac:dyDescent="0.6">
      <c r="A439" t="str">
        <f t="shared" si="24"/>
        <v>20260123_0437</v>
      </c>
      <c r="B439" s="12">
        <v>46045</v>
      </c>
      <c r="C439" s="13">
        <v>437</v>
      </c>
      <c r="D439" s="4" t="str">
        <f t="shared" si="27"/>
        <v>00</v>
      </c>
      <c r="E439" s="14">
        <v>0</v>
      </c>
      <c r="F439">
        <f t="shared" si="25"/>
        <v>7</v>
      </c>
      <c r="G439" s="41" t="str">
        <f t="shared" si="26"/>
        <v>00</v>
      </c>
    </row>
    <row r="440" spans="1:7" x14ac:dyDescent="0.6">
      <c r="A440" t="str">
        <f t="shared" si="24"/>
        <v>20260123_0438</v>
      </c>
      <c r="B440" s="12">
        <v>46045</v>
      </c>
      <c r="C440" s="13">
        <v>438</v>
      </c>
      <c r="D440" s="4" t="str">
        <f t="shared" si="27"/>
        <v>00</v>
      </c>
      <c r="E440" s="14">
        <v>0</v>
      </c>
      <c r="F440">
        <f t="shared" si="25"/>
        <v>7</v>
      </c>
      <c r="G440" s="41" t="str">
        <f t="shared" si="26"/>
        <v>00</v>
      </c>
    </row>
    <row r="441" spans="1:7" x14ac:dyDescent="0.6">
      <c r="A441" t="str">
        <f t="shared" si="24"/>
        <v>20260123_0439</v>
      </c>
      <c r="B441" s="12">
        <v>46045</v>
      </c>
      <c r="C441" s="13">
        <v>439</v>
      </c>
      <c r="D441" s="4" t="str">
        <f t="shared" si="27"/>
        <v>00</v>
      </c>
      <c r="E441" s="14">
        <v>0</v>
      </c>
      <c r="F441">
        <f t="shared" si="25"/>
        <v>7</v>
      </c>
      <c r="G441" s="41" t="str">
        <f t="shared" si="26"/>
        <v>00</v>
      </c>
    </row>
    <row r="442" spans="1:7" x14ac:dyDescent="0.6">
      <c r="A442" t="str">
        <f t="shared" si="24"/>
        <v>20260123_0440</v>
      </c>
      <c r="B442" s="12">
        <v>46045</v>
      </c>
      <c r="C442" s="13">
        <v>440</v>
      </c>
      <c r="D442" s="4" t="str">
        <f t="shared" si="27"/>
        <v>00</v>
      </c>
      <c r="E442" s="14">
        <v>0</v>
      </c>
      <c r="F442">
        <f t="shared" si="25"/>
        <v>7</v>
      </c>
      <c r="G442" s="41" t="str">
        <f t="shared" si="26"/>
        <v>00</v>
      </c>
    </row>
    <row r="443" spans="1:7" x14ac:dyDescent="0.6">
      <c r="A443" t="str">
        <f t="shared" si="24"/>
        <v>20260123_0441</v>
      </c>
      <c r="B443" s="12">
        <v>46045</v>
      </c>
      <c r="C443" s="13">
        <v>441</v>
      </c>
      <c r="D443" s="4" t="str">
        <f t="shared" si="27"/>
        <v>00</v>
      </c>
      <c r="E443" s="14">
        <v>0</v>
      </c>
      <c r="F443">
        <f t="shared" si="25"/>
        <v>7</v>
      </c>
      <c r="G443" s="41" t="str">
        <f t="shared" si="26"/>
        <v>00</v>
      </c>
    </row>
    <row r="444" spans="1:7" x14ac:dyDescent="0.6">
      <c r="A444" t="str">
        <f t="shared" si="24"/>
        <v>20260123_0442</v>
      </c>
      <c r="B444" s="12">
        <v>46045</v>
      </c>
      <c r="C444" s="13">
        <v>442</v>
      </c>
      <c r="D444" s="4" t="str">
        <f t="shared" si="27"/>
        <v>00</v>
      </c>
      <c r="E444" s="14">
        <v>0</v>
      </c>
      <c r="F444">
        <f t="shared" si="25"/>
        <v>7</v>
      </c>
      <c r="G444" s="41" t="str">
        <f t="shared" si="26"/>
        <v>00</v>
      </c>
    </row>
    <row r="445" spans="1:7" x14ac:dyDescent="0.6">
      <c r="A445" t="str">
        <f t="shared" si="24"/>
        <v>20260123_0443</v>
      </c>
      <c r="B445" s="12">
        <v>46045</v>
      </c>
      <c r="C445" s="13">
        <v>443</v>
      </c>
      <c r="D445" s="4" t="str">
        <f t="shared" si="27"/>
        <v>00</v>
      </c>
      <c r="E445" s="14">
        <v>0</v>
      </c>
      <c r="F445">
        <f t="shared" si="25"/>
        <v>7</v>
      </c>
      <c r="G445" s="41" t="str">
        <f t="shared" si="26"/>
        <v>00</v>
      </c>
    </row>
    <row r="446" spans="1:7" x14ac:dyDescent="0.6">
      <c r="A446" t="str">
        <f t="shared" si="24"/>
        <v>20260123_0444</v>
      </c>
      <c r="B446" s="12">
        <v>46045</v>
      </c>
      <c r="C446" s="13">
        <v>444</v>
      </c>
      <c r="D446" s="4" t="str">
        <f t="shared" si="27"/>
        <v>00</v>
      </c>
      <c r="E446" s="14">
        <v>0</v>
      </c>
      <c r="F446">
        <f t="shared" si="25"/>
        <v>7</v>
      </c>
      <c r="G446" s="41" t="str">
        <f t="shared" si="26"/>
        <v>00</v>
      </c>
    </row>
    <row r="447" spans="1:7" x14ac:dyDescent="0.6">
      <c r="A447" t="str">
        <f t="shared" si="24"/>
        <v>20260123_0445</v>
      </c>
      <c r="B447" s="12">
        <v>46045</v>
      </c>
      <c r="C447" s="13">
        <v>445</v>
      </c>
      <c r="D447" s="4" t="str">
        <f t="shared" si="27"/>
        <v>00</v>
      </c>
      <c r="E447" s="14">
        <v>0</v>
      </c>
      <c r="F447">
        <f t="shared" si="25"/>
        <v>7</v>
      </c>
      <c r="G447" s="41" t="str">
        <f t="shared" si="26"/>
        <v>00</v>
      </c>
    </row>
    <row r="448" spans="1:7" x14ac:dyDescent="0.6">
      <c r="A448" t="str">
        <f t="shared" si="24"/>
        <v>20260123_0446</v>
      </c>
      <c r="B448" s="12">
        <v>46045</v>
      </c>
      <c r="C448" s="13">
        <v>446</v>
      </c>
      <c r="D448" s="4" t="str">
        <f t="shared" si="27"/>
        <v>00</v>
      </c>
      <c r="E448" s="14">
        <v>0</v>
      </c>
      <c r="F448">
        <f t="shared" si="25"/>
        <v>7</v>
      </c>
      <c r="G448" s="41" t="str">
        <f t="shared" si="26"/>
        <v>00</v>
      </c>
    </row>
    <row r="449" spans="1:7" x14ac:dyDescent="0.6">
      <c r="A449" t="str">
        <f t="shared" si="24"/>
        <v>20260123_0447</v>
      </c>
      <c r="B449" s="12">
        <v>46045</v>
      </c>
      <c r="C449" s="13">
        <v>447</v>
      </c>
      <c r="D449" s="4" t="str">
        <f t="shared" si="27"/>
        <v>00</v>
      </c>
      <c r="E449" s="14">
        <v>0</v>
      </c>
      <c r="F449">
        <f t="shared" si="25"/>
        <v>7</v>
      </c>
      <c r="G449" s="41" t="str">
        <f t="shared" si="26"/>
        <v>00</v>
      </c>
    </row>
    <row r="450" spans="1:7" x14ac:dyDescent="0.6">
      <c r="A450" t="str">
        <f t="shared" ref="A450:A513" si="28">IF(B450="","",TEXT(B450,"yyyymmdd")&amp;"_"&amp;TEXT(C450,"0000"))</f>
        <v>20260123_0448</v>
      </c>
      <c r="B450" s="12">
        <v>46045</v>
      </c>
      <c r="C450" s="13">
        <v>448</v>
      </c>
      <c r="D450" s="4" t="str">
        <f t="shared" si="27"/>
        <v>00</v>
      </c>
      <c r="E450" s="14">
        <v>0</v>
      </c>
      <c r="F450">
        <f t="shared" ref="F450:F513" si="29">IF(C450="","",INT(C450/60))</f>
        <v>7</v>
      </c>
      <c r="G450" s="41" t="str">
        <f t="shared" ref="G450:G513" si="30">IF(D450="","",IF(LEN(UPPER(SUBSTITUTE(SUBSTITUTE(TRIM(D450),CHAR(160),"")," ","")))=1,"0"&amp;UPPER(SUBSTITUTE(SUBSTITUTE(TRIM(D450),CHAR(160),"")," ","")),UPPER(SUBSTITUTE(SUBSTITUTE(TRIM(D450),CHAR(160),"")," ",""))))</f>
        <v>00</v>
      </c>
    </row>
    <row r="451" spans="1:7" x14ac:dyDescent="0.6">
      <c r="A451" t="str">
        <f t="shared" si="28"/>
        <v>20260123_0449</v>
      </c>
      <c r="B451" s="12">
        <v>46045</v>
      </c>
      <c r="C451" s="13">
        <v>449</v>
      </c>
      <c r="D451" s="4" t="str">
        <f t="shared" ref="D451:D514" si="31">MID(I$1,$C451*2+1,2)</f>
        <v>00</v>
      </c>
      <c r="E451" s="14">
        <v>0</v>
      </c>
      <c r="F451">
        <f t="shared" si="29"/>
        <v>7</v>
      </c>
      <c r="G451" s="41" t="str">
        <f t="shared" si="30"/>
        <v>00</v>
      </c>
    </row>
    <row r="452" spans="1:7" x14ac:dyDescent="0.6">
      <c r="A452" t="str">
        <f t="shared" si="28"/>
        <v>20260123_0450</v>
      </c>
      <c r="B452" s="12">
        <v>46045</v>
      </c>
      <c r="C452" s="13">
        <v>450</v>
      </c>
      <c r="D452" s="4" t="str">
        <f t="shared" si="31"/>
        <v>00</v>
      </c>
      <c r="E452" s="14">
        <v>0</v>
      </c>
      <c r="F452">
        <f t="shared" si="29"/>
        <v>7</v>
      </c>
      <c r="G452" s="41" t="str">
        <f t="shared" si="30"/>
        <v>00</v>
      </c>
    </row>
    <row r="453" spans="1:7" x14ac:dyDescent="0.6">
      <c r="A453" t="str">
        <f t="shared" si="28"/>
        <v>20260123_0451</v>
      </c>
      <c r="B453" s="12">
        <v>46045</v>
      </c>
      <c r="C453" s="13">
        <v>451</v>
      </c>
      <c r="D453" s="4" t="str">
        <f t="shared" si="31"/>
        <v>00</v>
      </c>
      <c r="E453" s="14">
        <v>0</v>
      </c>
      <c r="F453">
        <f t="shared" si="29"/>
        <v>7</v>
      </c>
      <c r="G453" s="41" t="str">
        <f t="shared" si="30"/>
        <v>00</v>
      </c>
    </row>
    <row r="454" spans="1:7" x14ac:dyDescent="0.6">
      <c r="A454" t="str">
        <f t="shared" si="28"/>
        <v>20260123_0452</v>
      </c>
      <c r="B454" s="12">
        <v>46045</v>
      </c>
      <c r="C454" s="13">
        <v>452</v>
      </c>
      <c r="D454" s="4" t="str">
        <f t="shared" si="31"/>
        <v>00</v>
      </c>
      <c r="E454" s="14">
        <v>0</v>
      </c>
      <c r="F454">
        <f t="shared" si="29"/>
        <v>7</v>
      </c>
      <c r="G454" s="41" t="str">
        <f t="shared" si="30"/>
        <v>00</v>
      </c>
    </row>
    <row r="455" spans="1:7" x14ac:dyDescent="0.6">
      <c r="A455" t="str">
        <f t="shared" si="28"/>
        <v>20260123_0453</v>
      </c>
      <c r="B455" s="12">
        <v>46045</v>
      </c>
      <c r="C455" s="13">
        <v>453</v>
      </c>
      <c r="D455" s="4" t="str">
        <f t="shared" si="31"/>
        <v>00</v>
      </c>
      <c r="E455" s="14">
        <v>0</v>
      </c>
      <c r="F455">
        <f t="shared" si="29"/>
        <v>7</v>
      </c>
      <c r="G455" s="41" t="str">
        <f t="shared" si="30"/>
        <v>00</v>
      </c>
    </row>
    <row r="456" spans="1:7" x14ac:dyDescent="0.6">
      <c r="A456" t="str">
        <f t="shared" si="28"/>
        <v>20260123_0454</v>
      </c>
      <c r="B456" s="12">
        <v>46045</v>
      </c>
      <c r="C456" s="13">
        <v>454</v>
      </c>
      <c r="D456" s="4" t="str">
        <f t="shared" si="31"/>
        <v>00</v>
      </c>
      <c r="E456" s="14">
        <v>0</v>
      </c>
      <c r="F456">
        <f t="shared" si="29"/>
        <v>7</v>
      </c>
      <c r="G456" s="41" t="str">
        <f t="shared" si="30"/>
        <v>00</v>
      </c>
    </row>
    <row r="457" spans="1:7" x14ac:dyDescent="0.6">
      <c r="A457" t="str">
        <f t="shared" si="28"/>
        <v>20260123_0455</v>
      </c>
      <c r="B457" s="12">
        <v>46045</v>
      </c>
      <c r="C457" s="13">
        <v>455</v>
      </c>
      <c r="D457" s="4" t="str">
        <f t="shared" si="31"/>
        <v>00</v>
      </c>
      <c r="E457" s="14">
        <v>0</v>
      </c>
      <c r="F457">
        <f t="shared" si="29"/>
        <v>7</v>
      </c>
      <c r="G457" s="41" t="str">
        <f t="shared" si="30"/>
        <v>00</v>
      </c>
    </row>
    <row r="458" spans="1:7" x14ac:dyDescent="0.6">
      <c r="A458" t="str">
        <f t="shared" si="28"/>
        <v>20260123_0456</v>
      </c>
      <c r="B458" s="12">
        <v>46045</v>
      </c>
      <c r="C458" s="13">
        <v>456</v>
      </c>
      <c r="D458" s="4" t="str">
        <f t="shared" si="31"/>
        <v>00</v>
      </c>
      <c r="E458" s="14">
        <v>0</v>
      </c>
      <c r="F458">
        <f t="shared" si="29"/>
        <v>7</v>
      </c>
      <c r="G458" s="41" t="str">
        <f t="shared" si="30"/>
        <v>00</v>
      </c>
    </row>
    <row r="459" spans="1:7" x14ac:dyDescent="0.6">
      <c r="A459" t="str">
        <f t="shared" si="28"/>
        <v>20260123_0457</v>
      </c>
      <c r="B459" s="12">
        <v>46045</v>
      </c>
      <c r="C459" s="13">
        <v>457</v>
      </c>
      <c r="D459" s="4" t="str">
        <f t="shared" si="31"/>
        <v>00</v>
      </c>
      <c r="E459" s="14">
        <v>0</v>
      </c>
      <c r="F459">
        <f t="shared" si="29"/>
        <v>7</v>
      </c>
      <c r="G459" s="41" t="str">
        <f t="shared" si="30"/>
        <v>00</v>
      </c>
    </row>
    <row r="460" spans="1:7" x14ac:dyDescent="0.6">
      <c r="A460" t="str">
        <f t="shared" si="28"/>
        <v>20260123_0458</v>
      </c>
      <c r="B460" s="12">
        <v>46045</v>
      </c>
      <c r="C460" s="13">
        <v>458</v>
      </c>
      <c r="D460" s="4" t="str">
        <f t="shared" si="31"/>
        <v>00</v>
      </c>
      <c r="E460" s="14">
        <v>0</v>
      </c>
      <c r="F460">
        <f t="shared" si="29"/>
        <v>7</v>
      </c>
      <c r="G460" s="41" t="str">
        <f t="shared" si="30"/>
        <v>00</v>
      </c>
    </row>
    <row r="461" spans="1:7" x14ac:dyDescent="0.6">
      <c r="A461" t="str">
        <f t="shared" si="28"/>
        <v>20260123_0459</v>
      </c>
      <c r="B461" s="12">
        <v>46045</v>
      </c>
      <c r="C461" s="13">
        <v>459</v>
      </c>
      <c r="D461" s="4" t="str">
        <f t="shared" si="31"/>
        <v>00</v>
      </c>
      <c r="E461" s="14">
        <v>0</v>
      </c>
      <c r="F461">
        <f t="shared" si="29"/>
        <v>7</v>
      </c>
      <c r="G461" s="41" t="str">
        <f t="shared" si="30"/>
        <v>00</v>
      </c>
    </row>
    <row r="462" spans="1:7" x14ac:dyDescent="0.6">
      <c r="A462" t="str">
        <f t="shared" si="28"/>
        <v>20260123_0460</v>
      </c>
      <c r="B462" s="12">
        <v>46045</v>
      </c>
      <c r="C462" s="13">
        <v>460</v>
      </c>
      <c r="D462" s="4" t="str">
        <f t="shared" si="31"/>
        <v>00</v>
      </c>
      <c r="E462" s="14">
        <v>0</v>
      </c>
      <c r="F462">
        <f t="shared" si="29"/>
        <v>7</v>
      </c>
      <c r="G462" s="41" t="str">
        <f t="shared" si="30"/>
        <v>00</v>
      </c>
    </row>
    <row r="463" spans="1:7" x14ac:dyDescent="0.6">
      <c r="A463" t="str">
        <f t="shared" si="28"/>
        <v>20260123_0461</v>
      </c>
      <c r="B463" s="12">
        <v>46045</v>
      </c>
      <c r="C463" s="13">
        <v>461</v>
      </c>
      <c r="D463" s="4" t="str">
        <f t="shared" si="31"/>
        <v>00</v>
      </c>
      <c r="E463" s="14">
        <v>0</v>
      </c>
      <c r="F463">
        <f t="shared" si="29"/>
        <v>7</v>
      </c>
      <c r="G463" s="41" t="str">
        <f t="shared" si="30"/>
        <v>00</v>
      </c>
    </row>
    <row r="464" spans="1:7" x14ac:dyDescent="0.6">
      <c r="A464" t="str">
        <f t="shared" si="28"/>
        <v>20260123_0462</v>
      </c>
      <c r="B464" s="12">
        <v>46045</v>
      </c>
      <c r="C464" s="13">
        <v>462</v>
      </c>
      <c r="D464" s="4" t="str">
        <f t="shared" si="31"/>
        <v>00</v>
      </c>
      <c r="E464" s="14">
        <v>0</v>
      </c>
      <c r="F464">
        <f t="shared" si="29"/>
        <v>7</v>
      </c>
      <c r="G464" s="41" t="str">
        <f t="shared" si="30"/>
        <v>00</v>
      </c>
    </row>
    <row r="465" spans="1:7" x14ac:dyDescent="0.6">
      <c r="A465" t="str">
        <f t="shared" si="28"/>
        <v>20260123_0463</v>
      </c>
      <c r="B465" s="12">
        <v>46045</v>
      </c>
      <c r="C465" s="13">
        <v>463</v>
      </c>
      <c r="D465" s="4" t="str">
        <f t="shared" si="31"/>
        <v>00</v>
      </c>
      <c r="E465" s="14">
        <v>0</v>
      </c>
      <c r="F465">
        <f t="shared" si="29"/>
        <v>7</v>
      </c>
      <c r="G465" s="41" t="str">
        <f t="shared" si="30"/>
        <v>00</v>
      </c>
    </row>
    <row r="466" spans="1:7" x14ac:dyDescent="0.6">
      <c r="A466" t="str">
        <f t="shared" si="28"/>
        <v>20260123_0464</v>
      </c>
      <c r="B466" s="12">
        <v>46045</v>
      </c>
      <c r="C466" s="13">
        <v>464</v>
      </c>
      <c r="D466" s="4" t="str">
        <f t="shared" si="31"/>
        <v>00</v>
      </c>
      <c r="E466" s="14">
        <v>0</v>
      </c>
      <c r="F466">
        <f t="shared" si="29"/>
        <v>7</v>
      </c>
      <c r="G466" s="41" t="str">
        <f t="shared" si="30"/>
        <v>00</v>
      </c>
    </row>
    <row r="467" spans="1:7" x14ac:dyDescent="0.6">
      <c r="A467" t="str">
        <f t="shared" si="28"/>
        <v>20260123_0465</v>
      </c>
      <c r="B467" s="12">
        <v>46045</v>
      </c>
      <c r="C467" s="13">
        <v>465</v>
      </c>
      <c r="D467" s="4" t="str">
        <f t="shared" si="31"/>
        <v>00</v>
      </c>
      <c r="E467" s="14">
        <v>0</v>
      </c>
      <c r="F467">
        <f t="shared" si="29"/>
        <v>7</v>
      </c>
      <c r="G467" s="41" t="str">
        <f t="shared" si="30"/>
        <v>00</v>
      </c>
    </row>
    <row r="468" spans="1:7" x14ac:dyDescent="0.6">
      <c r="A468" t="str">
        <f t="shared" si="28"/>
        <v>20260123_0466</v>
      </c>
      <c r="B468" s="12">
        <v>46045</v>
      </c>
      <c r="C468" s="13">
        <v>466</v>
      </c>
      <c r="D468" s="4" t="str">
        <f t="shared" si="31"/>
        <v>00</v>
      </c>
      <c r="E468" s="14">
        <v>0</v>
      </c>
      <c r="F468">
        <f t="shared" si="29"/>
        <v>7</v>
      </c>
      <c r="G468" s="41" t="str">
        <f t="shared" si="30"/>
        <v>00</v>
      </c>
    </row>
    <row r="469" spans="1:7" x14ac:dyDescent="0.6">
      <c r="A469" t="str">
        <f t="shared" si="28"/>
        <v>20260123_0467</v>
      </c>
      <c r="B469" s="12">
        <v>46045</v>
      </c>
      <c r="C469" s="13">
        <v>467</v>
      </c>
      <c r="D469" s="4" t="str">
        <f t="shared" si="31"/>
        <v>00</v>
      </c>
      <c r="E469" s="14">
        <v>0</v>
      </c>
      <c r="F469">
        <f t="shared" si="29"/>
        <v>7</v>
      </c>
      <c r="G469" s="41" t="str">
        <f t="shared" si="30"/>
        <v>00</v>
      </c>
    </row>
    <row r="470" spans="1:7" x14ac:dyDescent="0.6">
      <c r="A470" t="str">
        <f t="shared" si="28"/>
        <v>20260123_0468</v>
      </c>
      <c r="B470" s="12">
        <v>46045</v>
      </c>
      <c r="C470" s="13">
        <v>468</v>
      </c>
      <c r="D470" s="4" t="str">
        <f t="shared" si="31"/>
        <v>00</v>
      </c>
      <c r="E470" s="14">
        <v>0</v>
      </c>
      <c r="F470">
        <f t="shared" si="29"/>
        <v>7</v>
      </c>
      <c r="G470" s="41" t="str">
        <f t="shared" si="30"/>
        <v>00</v>
      </c>
    </row>
    <row r="471" spans="1:7" x14ac:dyDescent="0.6">
      <c r="A471" t="str">
        <f t="shared" si="28"/>
        <v>20260123_0469</v>
      </c>
      <c r="B471" s="12">
        <v>46045</v>
      </c>
      <c r="C471" s="13">
        <v>469</v>
      </c>
      <c r="D471" s="4" t="str">
        <f t="shared" si="31"/>
        <v>00</v>
      </c>
      <c r="E471" s="14">
        <v>0</v>
      </c>
      <c r="F471">
        <f t="shared" si="29"/>
        <v>7</v>
      </c>
      <c r="G471" s="41" t="str">
        <f t="shared" si="30"/>
        <v>00</v>
      </c>
    </row>
    <row r="472" spans="1:7" x14ac:dyDescent="0.6">
      <c r="A472" t="str">
        <f t="shared" si="28"/>
        <v>20260123_0470</v>
      </c>
      <c r="B472" s="12">
        <v>46045</v>
      </c>
      <c r="C472" s="13">
        <v>470</v>
      </c>
      <c r="D472" s="4" t="str">
        <f t="shared" si="31"/>
        <v>00</v>
      </c>
      <c r="E472" s="14">
        <v>0</v>
      </c>
      <c r="F472">
        <f t="shared" si="29"/>
        <v>7</v>
      </c>
      <c r="G472" s="41" t="str">
        <f t="shared" si="30"/>
        <v>00</v>
      </c>
    </row>
    <row r="473" spans="1:7" x14ac:dyDescent="0.6">
      <c r="A473" t="str">
        <f t="shared" si="28"/>
        <v>20260123_0471</v>
      </c>
      <c r="B473" s="12">
        <v>46045</v>
      </c>
      <c r="C473" s="13">
        <v>471</v>
      </c>
      <c r="D473" s="4" t="str">
        <f t="shared" si="31"/>
        <v>00</v>
      </c>
      <c r="E473" s="14">
        <v>0</v>
      </c>
      <c r="F473">
        <f t="shared" si="29"/>
        <v>7</v>
      </c>
      <c r="G473" s="41" t="str">
        <f t="shared" si="30"/>
        <v>00</v>
      </c>
    </row>
    <row r="474" spans="1:7" x14ac:dyDescent="0.6">
      <c r="A474" t="str">
        <f t="shared" si="28"/>
        <v>20260123_0472</v>
      </c>
      <c r="B474" s="12">
        <v>46045</v>
      </c>
      <c r="C474" s="13">
        <v>472</v>
      </c>
      <c r="D474" s="4" t="str">
        <f t="shared" si="31"/>
        <v>00</v>
      </c>
      <c r="E474" s="14">
        <v>0</v>
      </c>
      <c r="F474">
        <f t="shared" si="29"/>
        <v>7</v>
      </c>
      <c r="G474" s="41" t="str">
        <f t="shared" si="30"/>
        <v>00</v>
      </c>
    </row>
    <row r="475" spans="1:7" x14ac:dyDescent="0.6">
      <c r="A475" t="str">
        <f t="shared" si="28"/>
        <v>20260123_0473</v>
      </c>
      <c r="B475" s="12">
        <v>46045</v>
      </c>
      <c r="C475" s="13">
        <v>473</v>
      </c>
      <c r="D475" s="4" t="str">
        <f t="shared" si="31"/>
        <v>00</v>
      </c>
      <c r="E475" s="14">
        <v>0</v>
      </c>
      <c r="F475">
        <f t="shared" si="29"/>
        <v>7</v>
      </c>
      <c r="G475" s="41" t="str">
        <f t="shared" si="30"/>
        <v>00</v>
      </c>
    </row>
    <row r="476" spans="1:7" x14ac:dyDescent="0.6">
      <c r="A476" t="str">
        <f t="shared" si="28"/>
        <v>20260123_0474</v>
      </c>
      <c r="B476" s="12">
        <v>46045</v>
      </c>
      <c r="C476" s="13">
        <v>474</v>
      </c>
      <c r="D476" s="4" t="str">
        <f t="shared" si="31"/>
        <v>00</v>
      </c>
      <c r="E476" s="14">
        <v>0</v>
      </c>
      <c r="F476">
        <f t="shared" si="29"/>
        <v>7</v>
      </c>
      <c r="G476" s="41" t="str">
        <f t="shared" si="30"/>
        <v>00</v>
      </c>
    </row>
    <row r="477" spans="1:7" x14ac:dyDescent="0.6">
      <c r="A477" t="str">
        <f t="shared" si="28"/>
        <v>20260123_0475</v>
      </c>
      <c r="B477" s="12">
        <v>46045</v>
      </c>
      <c r="C477" s="13">
        <v>475</v>
      </c>
      <c r="D477" s="4" t="str">
        <f t="shared" si="31"/>
        <v>00</v>
      </c>
      <c r="E477" s="14">
        <v>0</v>
      </c>
      <c r="F477">
        <f t="shared" si="29"/>
        <v>7</v>
      </c>
      <c r="G477" s="41" t="str">
        <f t="shared" si="30"/>
        <v>00</v>
      </c>
    </row>
    <row r="478" spans="1:7" x14ac:dyDescent="0.6">
      <c r="A478" t="str">
        <f t="shared" si="28"/>
        <v>20260123_0476</v>
      </c>
      <c r="B478" s="12">
        <v>46045</v>
      </c>
      <c r="C478" s="13">
        <v>476</v>
      </c>
      <c r="D478" s="4" t="str">
        <f t="shared" si="31"/>
        <v>00</v>
      </c>
      <c r="E478" s="14">
        <v>0</v>
      </c>
      <c r="F478">
        <f t="shared" si="29"/>
        <v>7</v>
      </c>
      <c r="G478" s="41" t="str">
        <f t="shared" si="30"/>
        <v>00</v>
      </c>
    </row>
    <row r="479" spans="1:7" x14ac:dyDescent="0.6">
      <c r="A479" t="str">
        <f t="shared" si="28"/>
        <v>20260123_0477</v>
      </c>
      <c r="B479" s="12">
        <v>46045</v>
      </c>
      <c r="C479" s="13">
        <v>477</v>
      </c>
      <c r="D479" s="4" t="str">
        <f t="shared" si="31"/>
        <v>00</v>
      </c>
      <c r="E479" s="14">
        <v>0</v>
      </c>
      <c r="F479">
        <f t="shared" si="29"/>
        <v>7</v>
      </c>
      <c r="G479" s="41" t="str">
        <f t="shared" si="30"/>
        <v>00</v>
      </c>
    </row>
    <row r="480" spans="1:7" x14ac:dyDescent="0.6">
      <c r="A480" t="str">
        <f t="shared" si="28"/>
        <v>20260123_0478</v>
      </c>
      <c r="B480" s="12">
        <v>46045</v>
      </c>
      <c r="C480" s="13">
        <v>478</v>
      </c>
      <c r="D480" s="4" t="str">
        <f t="shared" si="31"/>
        <v>00</v>
      </c>
      <c r="E480" s="14">
        <v>0</v>
      </c>
      <c r="F480">
        <f t="shared" si="29"/>
        <v>7</v>
      </c>
      <c r="G480" s="41" t="str">
        <f t="shared" si="30"/>
        <v>00</v>
      </c>
    </row>
    <row r="481" spans="1:7" x14ac:dyDescent="0.6">
      <c r="A481" t="str">
        <f t="shared" si="28"/>
        <v>20260123_0479</v>
      </c>
      <c r="B481" s="12">
        <v>46045</v>
      </c>
      <c r="C481" s="13">
        <v>479</v>
      </c>
      <c r="D481" s="4" t="str">
        <f t="shared" si="31"/>
        <v>00</v>
      </c>
      <c r="E481" s="14">
        <v>0</v>
      </c>
      <c r="F481">
        <f t="shared" si="29"/>
        <v>7</v>
      </c>
      <c r="G481" s="41" t="str">
        <f t="shared" si="30"/>
        <v>00</v>
      </c>
    </row>
    <row r="482" spans="1:7" x14ac:dyDescent="0.6">
      <c r="A482" t="str">
        <f t="shared" si="28"/>
        <v>20260123_0480</v>
      </c>
      <c r="B482" s="12">
        <v>46045</v>
      </c>
      <c r="C482" s="13">
        <v>480</v>
      </c>
      <c r="D482" s="4" t="str">
        <f t="shared" si="31"/>
        <v>00</v>
      </c>
      <c r="E482" s="14">
        <v>0</v>
      </c>
      <c r="F482">
        <f t="shared" si="29"/>
        <v>8</v>
      </c>
      <c r="G482" s="41" t="str">
        <f t="shared" si="30"/>
        <v>00</v>
      </c>
    </row>
    <row r="483" spans="1:7" x14ac:dyDescent="0.6">
      <c r="A483" t="str">
        <f t="shared" si="28"/>
        <v>20260123_0481</v>
      </c>
      <c r="B483" s="12">
        <v>46045</v>
      </c>
      <c r="C483" s="13">
        <v>481</v>
      </c>
      <c r="D483" s="4" t="str">
        <f t="shared" si="31"/>
        <v>00</v>
      </c>
      <c r="E483" s="14">
        <v>0</v>
      </c>
      <c r="F483">
        <f t="shared" si="29"/>
        <v>8</v>
      </c>
      <c r="G483" s="41" t="str">
        <f t="shared" si="30"/>
        <v>00</v>
      </c>
    </row>
    <row r="484" spans="1:7" x14ac:dyDescent="0.6">
      <c r="A484" t="str">
        <f t="shared" si="28"/>
        <v>20260123_0482</v>
      </c>
      <c r="B484" s="12">
        <v>46045</v>
      </c>
      <c r="C484" s="13">
        <v>482</v>
      </c>
      <c r="D484" s="4" t="str">
        <f t="shared" si="31"/>
        <v>00</v>
      </c>
      <c r="E484" s="14">
        <v>0</v>
      </c>
      <c r="F484">
        <f t="shared" si="29"/>
        <v>8</v>
      </c>
      <c r="G484" s="41" t="str">
        <f t="shared" si="30"/>
        <v>00</v>
      </c>
    </row>
    <row r="485" spans="1:7" x14ac:dyDescent="0.6">
      <c r="A485" t="str">
        <f t="shared" si="28"/>
        <v>20260123_0483</v>
      </c>
      <c r="B485" s="12">
        <v>46045</v>
      </c>
      <c r="C485" s="13">
        <v>483</v>
      </c>
      <c r="D485" s="4" t="str">
        <f t="shared" si="31"/>
        <v>00</v>
      </c>
      <c r="E485" s="14">
        <v>0</v>
      </c>
      <c r="F485">
        <f t="shared" si="29"/>
        <v>8</v>
      </c>
      <c r="G485" s="41" t="str">
        <f t="shared" si="30"/>
        <v>00</v>
      </c>
    </row>
    <row r="486" spans="1:7" x14ac:dyDescent="0.6">
      <c r="A486" t="str">
        <f t="shared" si="28"/>
        <v>20260123_0484</v>
      </c>
      <c r="B486" s="12">
        <v>46045</v>
      </c>
      <c r="C486" s="13">
        <v>484</v>
      </c>
      <c r="D486" s="4" t="str">
        <f t="shared" si="31"/>
        <v>00</v>
      </c>
      <c r="E486" s="14">
        <v>0</v>
      </c>
      <c r="F486">
        <f t="shared" si="29"/>
        <v>8</v>
      </c>
      <c r="G486" s="41" t="str">
        <f t="shared" si="30"/>
        <v>00</v>
      </c>
    </row>
    <row r="487" spans="1:7" x14ac:dyDescent="0.6">
      <c r="A487" t="str">
        <f t="shared" si="28"/>
        <v>20260123_0485</v>
      </c>
      <c r="B487" s="12">
        <v>46045</v>
      </c>
      <c r="C487" s="13">
        <v>485</v>
      </c>
      <c r="D487" s="4" t="str">
        <f t="shared" si="31"/>
        <v>00</v>
      </c>
      <c r="E487" s="14">
        <v>0</v>
      </c>
      <c r="F487">
        <f t="shared" si="29"/>
        <v>8</v>
      </c>
      <c r="G487" s="41" t="str">
        <f t="shared" si="30"/>
        <v>00</v>
      </c>
    </row>
    <row r="488" spans="1:7" x14ac:dyDescent="0.6">
      <c r="A488" t="str">
        <f t="shared" si="28"/>
        <v>20260123_0486</v>
      </c>
      <c r="B488" s="12">
        <v>46045</v>
      </c>
      <c r="C488" s="13">
        <v>486</v>
      </c>
      <c r="D488" s="4" t="str">
        <f t="shared" si="31"/>
        <v>00</v>
      </c>
      <c r="E488" s="14">
        <v>0</v>
      </c>
      <c r="F488">
        <f t="shared" si="29"/>
        <v>8</v>
      </c>
      <c r="G488" s="41" t="str">
        <f t="shared" si="30"/>
        <v>00</v>
      </c>
    </row>
    <row r="489" spans="1:7" x14ac:dyDescent="0.6">
      <c r="A489" t="str">
        <f t="shared" si="28"/>
        <v>20260123_0487</v>
      </c>
      <c r="B489" s="12">
        <v>46045</v>
      </c>
      <c r="C489" s="13">
        <v>487</v>
      </c>
      <c r="D489" s="4" t="str">
        <f t="shared" si="31"/>
        <v>00</v>
      </c>
      <c r="E489" s="14">
        <v>0</v>
      </c>
      <c r="F489">
        <f t="shared" si="29"/>
        <v>8</v>
      </c>
      <c r="G489" s="41" t="str">
        <f t="shared" si="30"/>
        <v>00</v>
      </c>
    </row>
    <row r="490" spans="1:7" x14ac:dyDescent="0.6">
      <c r="A490" t="str">
        <f t="shared" si="28"/>
        <v>20260123_0488</v>
      </c>
      <c r="B490" s="12">
        <v>46045</v>
      </c>
      <c r="C490" s="13">
        <v>488</v>
      </c>
      <c r="D490" s="4" t="str">
        <f t="shared" si="31"/>
        <v>00</v>
      </c>
      <c r="E490" s="14">
        <v>0</v>
      </c>
      <c r="F490">
        <f t="shared" si="29"/>
        <v>8</v>
      </c>
      <c r="G490" s="41" t="str">
        <f t="shared" si="30"/>
        <v>00</v>
      </c>
    </row>
    <row r="491" spans="1:7" x14ac:dyDescent="0.6">
      <c r="A491" t="str">
        <f t="shared" si="28"/>
        <v>20260123_0489</v>
      </c>
      <c r="B491" s="12">
        <v>46045</v>
      </c>
      <c r="C491" s="13">
        <v>489</v>
      </c>
      <c r="D491" s="4" t="str">
        <f t="shared" si="31"/>
        <v>00</v>
      </c>
      <c r="E491" s="14">
        <v>0</v>
      </c>
      <c r="F491">
        <f t="shared" si="29"/>
        <v>8</v>
      </c>
      <c r="G491" s="41" t="str">
        <f t="shared" si="30"/>
        <v>00</v>
      </c>
    </row>
    <row r="492" spans="1:7" x14ac:dyDescent="0.6">
      <c r="A492" t="str">
        <f t="shared" si="28"/>
        <v>20260123_0490</v>
      </c>
      <c r="B492" s="12">
        <v>46045</v>
      </c>
      <c r="C492" s="13">
        <v>490</v>
      </c>
      <c r="D492" s="4" t="str">
        <f t="shared" si="31"/>
        <v>00</v>
      </c>
      <c r="E492" s="14">
        <v>0</v>
      </c>
      <c r="F492">
        <f t="shared" si="29"/>
        <v>8</v>
      </c>
      <c r="G492" s="41" t="str">
        <f t="shared" si="30"/>
        <v>00</v>
      </c>
    </row>
    <row r="493" spans="1:7" x14ac:dyDescent="0.6">
      <c r="A493" t="str">
        <f t="shared" si="28"/>
        <v>20260123_0491</v>
      </c>
      <c r="B493" s="12">
        <v>46045</v>
      </c>
      <c r="C493" s="13">
        <v>491</v>
      </c>
      <c r="D493" s="4" t="str">
        <f t="shared" si="31"/>
        <v>00</v>
      </c>
      <c r="E493" s="14">
        <v>0</v>
      </c>
      <c r="F493">
        <f t="shared" si="29"/>
        <v>8</v>
      </c>
      <c r="G493" s="41" t="str">
        <f t="shared" si="30"/>
        <v>00</v>
      </c>
    </row>
    <row r="494" spans="1:7" x14ac:dyDescent="0.6">
      <c r="A494" t="str">
        <f t="shared" si="28"/>
        <v>20260123_0492</v>
      </c>
      <c r="B494" s="12">
        <v>46045</v>
      </c>
      <c r="C494" s="13">
        <v>492</v>
      </c>
      <c r="D494" s="4" t="str">
        <f t="shared" si="31"/>
        <v>00</v>
      </c>
      <c r="E494" s="14">
        <v>0</v>
      </c>
      <c r="F494">
        <f t="shared" si="29"/>
        <v>8</v>
      </c>
      <c r="G494" s="41" t="str">
        <f t="shared" si="30"/>
        <v>00</v>
      </c>
    </row>
    <row r="495" spans="1:7" x14ac:dyDescent="0.6">
      <c r="A495" t="str">
        <f t="shared" si="28"/>
        <v>20260123_0493</v>
      </c>
      <c r="B495" s="12">
        <v>46045</v>
      </c>
      <c r="C495" s="13">
        <v>493</v>
      </c>
      <c r="D495" s="4" t="str">
        <f t="shared" si="31"/>
        <v>00</v>
      </c>
      <c r="E495" s="14">
        <v>0</v>
      </c>
      <c r="F495">
        <f t="shared" si="29"/>
        <v>8</v>
      </c>
      <c r="G495" s="41" t="str">
        <f t="shared" si="30"/>
        <v>00</v>
      </c>
    </row>
    <row r="496" spans="1:7" x14ac:dyDescent="0.6">
      <c r="A496" t="str">
        <f t="shared" si="28"/>
        <v>20260123_0494</v>
      </c>
      <c r="B496" s="12">
        <v>46045</v>
      </c>
      <c r="C496" s="13">
        <v>494</v>
      </c>
      <c r="D496" s="4" t="str">
        <f t="shared" si="31"/>
        <v>00</v>
      </c>
      <c r="E496" s="14">
        <v>0</v>
      </c>
      <c r="F496">
        <f t="shared" si="29"/>
        <v>8</v>
      </c>
      <c r="G496" s="41" t="str">
        <f t="shared" si="30"/>
        <v>00</v>
      </c>
    </row>
    <row r="497" spans="1:7" x14ac:dyDescent="0.6">
      <c r="A497" t="str">
        <f t="shared" si="28"/>
        <v>20260123_0495</v>
      </c>
      <c r="B497" s="12">
        <v>46045</v>
      </c>
      <c r="C497" s="13">
        <v>495</v>
      </c>
      <c r="D497" s="4" t="str">
        <f t="shared" si="31"/>
        <v>00</v>
      </c>
      <c r="E497" s="14">
        <v>0</v>
      </c>
      <c r="F497">
        <f t="shared" si="29"/>
        <v>8</v>
      </c>
      <c r="G497" s="41" t="str">
        <f t="shared" si="30"/>
        <v>00</v>
      </c>
    </row>
    <row r="498" spans="1:7" x14ac:dyDescent="0.6">
      <c r="A498" t="str">
        <f t="shared" si="28"/>
        <v>20260123_0496</v>
      </c>
      <c r="B498" s="12">
        <v>46045</v>
      </c>
      <c r="C498" s="13">
        <v>496</v>
      </c>
      <c r="D498" s="4" t="str">
        <f t="shared" si="31"/>
        <v>00</v>
      </c>
      <c r="E498" s="14">
        <v>0</v>
      </c>
      <c r="F498">
        <f t="shared" si="29"/>
        <v>8</v>
      </c>
      <c r="G498" s="41" t="str">
        <f t="shared" si="30"/>
        <v>00</v>
      </c>
    </row>
    <row r="499" spans="1:7" x14ac:dyDescent="0.6">
      <c r="A499" t="str">
        <f t="shared" si="28"/>
        <v>20260123_0497</v>
      </c>
      <c r="B499" s="12">
        <v>46045</v>
      </c>
      <c r="C499" s="13">
        <v>497</v>
      </c>
      <c r="D499" s="4" t="str">
        <f t="shared" si="31"/>
        <v>00</v>
      </c>
      <c r="E499" s="14">
        <v>0</v>
      </c>
      <c r="F499">
        <f t="shared" si="29"/>
        <v>8</v>
      </c>
      <c r="G499" s="41" t="str">
        <f t="shared" si="30"/>
        <v>00</v>
      </c>
    </row>
    <row r="500" spans="1:7" x14ac:dyDescent="0.6">
      <c r="A500" t="str">
        <f t="shared" si="28"/>
        <v>20260123_0498</v>
      </c>
      <c r="B500" s="12">
        <v>46045</v>
      </c>
      <c r="C500" s="13">
        <v>498</v>
      </c>
      <c r="D500" s="4" t="str">
        <f t="shared" si="31"/>
        <v>00</v>
      </c>
      <c r="E500" s="14">
        <v>0</v>
      </c>
      <c r="F500">
        <f t="shared" si="29"/>
        <v>8</v>
      </c>
      <c r="G500" s="41" t="str">
        <f t="shared" si="30"/>
        <v>00</v>
      </c>
    </row>
    <row r="501" spans="1:7" x14ac:dyDescent="0.6">
      <c r="A501" t="str">
        <f t="shared" si="28"/>
        <v>20260123_0499</v>
      </c>
      <c r="B501" s="12">
        <v>46045</v>
      </c>
      <c r="C501" s="13">
        <v>499</v>
      </c>
      <c r="D501" s="4" t="str">
        <f t="shared" si="31"/>
        <v>00</v>
      </c>
      <c r="E501" s="14">
        <v>0</v>
      </c>
      <c r="F501">
        <f t="shared" si="29"/>
        <v>8</v>
      </c>
      <c r="G501" s="41" t="str">
        <f t="shared" si="30"/>
        <v>00</v>
      </c>
    </row>
    <row r="502" spans="1:7" x14ac:dyDescent="0.6">
      <c r="A502" t="str">
        <f t="shared" si="28"/>
        <v>20260123_0500</v>
      </c>
      <c r="B502" s="12">
        <v>46045</v>
      </c>
      <c r="C502" s="13">
        <v>500</v>
      </c>
      <c r="D502" s="4" t="str">
        <f t="shared" si="31"/>
        <v>00</v>
      </c>
      <c r="E502" s="14">
        <v>0</v>
      </c>
      <c r="F502">
        <f t="shared" si="29"/>
        <v>8</v>
      </c>
      <c r="G502" s="41" t="str">
        <f t="shared" si="30"/>
        <v>00</v>
      </c>
    </row>
    <row r="503" spans="1:7" x14ac:dyDescent="0.6">
      <c r="A503" t="str">
        <f t="shared" si="28"/>
        <v>20260123_0501</v>
      </c>
      <c r="B503" s="12">
        <v>46045</v>
      </c>
      <c r="C503" s="13">
        <v>501</v>
      </c>
      <c r="D503" s="4" t="str">
        <f t="shared" si="31"/>
        <v>00</v>
      </c>
      <c r="E503" s="14">
        <v>0</v>
      </c>
      <c r="F503">
        <f t="shared" si="29"/>
        <v>8</v>
      </c>
      <c r="G503" s="41" t="str">
        <f t="shared" si="30"/>
        <v>00</v>
      </c>
    </row>
    <row r="504" spans="1:7" x14ac:dyDescent="0.6">
      <c r="A504" t="str">
        <f t="shared" si="28"/>
        <v>20260123_0502</v>
      </c>
      <c r="B504" s="12">
        <v>46045</v>
      </c>
      <c r="C504" s="13">
        <v>502</v>
      </c>
      <c r="D504" s="4" t="str">
        <f t="shared" si="31"/>
        <v>00</v>
      </c>
      <c r="E504" s="14">
        <v>0</v>
      </c>
      <c r="F504">
        <f t="shared" si="29"/>
        <v>8</v>
      </c>
      <c r="G504" s="41" t="str">
        <f t="shared" si="30"/>
        <v>00</v>
      </c>
    </row>
    <row r="505" spans="1:7" x14ac:dyDescent="0.6">
      <c r="A505" t="str">
        <f t="shared" si="28"/>
        <v>20260123_0503</v>
      </c>
      <c r="B505" s="12">
        <v>46045</v>
      </c>
      <c r="C505" s="13">
        <v>503</v>
      </c>
      <c r="D505" s="4" t="str">
        <f t="shared" si="31"/>
        <v>00</v>
      </c>
      <c r="E505" s="14">
        <v>0</v>
      </c>
      <c r="F505">
        <f t="shared" si="29"/>
        <v>8</v>
      </c>
      <c r="G505" s="41" t="str">
        <f t="shared" si="30"/>
        <v>00</v>
      </c>
    </row>
    <row r="506" spans="1:7" x14ac:dyDescent="0.6">
      <c r="A506" t="str">
        <f t="shared" si="28"/>
        <v>20260123_0504</v>
      </c>
      <c r="B506" s="12">
        <v>46045</v>
      </c>
      <c r="C506" s="13">
        <v>504</v>
      </c>
      <c r="D506" s="4" t="str">
        <f t="shared" si="31"/>
        <v>00</v>
      </c>
      <c r="E506" s="14">
        <v>0</v>
      </c>
      <c r="F506">
        <f t="shared" si="29"/>
        <v>8</v>
      </c>
      <c r="G506" s="41" t="str">
        <f t="shared" si="30"/>
        <v>00</v>
      </c>
    </row>
    <row r="507" spans="1:7" x14ac:dyDescent="0.6">
      <c r="A507" t="str">
        <f t="shared" si="28"/>
        <v>20260123_0505</v>
      </c>
      <c r="B507" s="12">
        <v>46045</v>
      </c>
      <c r="C507" s="13">
        <v>505</v>
      </c>
      <c r="D507" s="4" t="str">
        <f t="shared" si="31"/>
        <v>00</v>
      </c>
      <c r="E507" s="14">
        <v>0</v>
      </c>
      <c r="F507">
        <f t="shared" si="29"/>
        <v>8</v>
      </c>
      <c r="G507" s="41" t="str">
        <f t="shared" si="30"/>
        <v>00</v>
      </c>
    </row>
    <row r="508" spans="1:7" x14ac:dyDescent="0.6">
      <c r="A508" t="str">
        <f t="shared" si="28"/>
        <v>20260123_0506</v>
      </c>
      <c r="B508" s="12">
        <v>46045</v>
      </c>
      <c r="C508" s="13">
        <v>506</v>
      </c>
      <c r="D508" s="4" t="str">
        <f t="shared" si="31"/>
        <v>00</v>
      </c>
      <c r="E508" s="14">
        <v>0</v>
      </c>
      <c r="F508">
        <f t="shared" si="29"/>
        <v>8</v>
      </c>
      <c r="G508" s="41" t="str">
        <f t="shared" si="30"/>
        <v>00</v>
      </c>
    </row>
    <row r="509" spans="1:7" x14ac:dyDescent="0.6">
      <c r="A509" t="str">
        <f t="shared" si="28"/>
        <v>20260123_0507</v>
      </c>
      <c r="B509" s="12">
        <v>46045</v>
      </c>
      <c r="C509" s="13">
        <v>507</v>
      </c>
      <c r="D509" s="4" t="str">
        <f t="shared" si="31"/>
        <v>00</v>
      </c>
      <c r="E509" s="14">
        <v>0</v>
      </c>
      <c r="F509">
        <f t="shared" si="29"/>
        <v>8</v>
      </c>
      <c r="G509" s="41" t="str">
        <f t="shared" si="30"/>
        <v>00</v>
      </c>
    </row>
    <row r="510" spans="1:7" x14ac:dyDescent="0.6">
      <c r="A510" t="str">
        <f t="shared" si="28"/>
        <v>20260123_0508</v>
      </c>
      <c r="B510" s="12">
        <v>46045</v>
      </c>
      <c r="C510" s="13">
        <v>508</v>
      </c>
      <c r="D510" s="4" t="str">
        <f t="shared" si="31"/>
        <v>00</v>
      </c>
      <c r="E510" s="14">
        <v>0</v>
      </c>
      <c r="F510">
        <f t="shared" si="29"/>
        <v>8</v>
      </c>
      <c r="G510" s="41" t="str">
        <f t="shared" si="30"/>
        <v>00</v>
      </c>
    </row>
    <row r="511" spans="1:7" x14ac:dyDescent="0.6">
      <c r="A511" t="str">
        <f t="shared" si="28"/>
        <v>20260123_0509</v>
      </c>
      <c r="B511" s="12">
        <v>46045</v>
      </c>
      <c r="C511" s="13">
        <v>509</v>
      </c>
      <c r="D511" s="4" t="str">
        <f t="shared" si="31"/>
        <v>00</v>
      </c>
      <c r="E511" s="14">
        <v>0</v>
      </c>
      <c r="F511">
        <f t="shared" si="29"/>
        <v>8</v>
      </c>
      <c r="G511" s="41" t="str">
        <f t="shared" si="30"/>
        <v>00</v>
      </c>
    </row>
    <row r="512" spans="1:7" x14ac:dyDescent="0.6">
      <c r="A512" t="str">
        <f t="shared" si="28"/>
        <v>20260123_0510</v>
      </c>
      <c r="B512" s="12">
        <v>46045</v>
      </c>
      <c r="C512" s="13">
        <v>510</v>
      </c>
      <c r="D512" s="4" t="str">
        <f t="shared" si="31"/>
        <v>00</v>
      </c>
      <c r="E512" s="14">
        <v>0</v>
      </c>
      <c r="F512">
        <f t="shared" si="29"/>
        <v>8</v>
      </c>
      <c r="G512" s="41" t="str">
        <f t="shared" si="30"/>
        <v>00</v>
      </c>
    </row>
    <row r="513" spans="1:7" x14ac:dyDescent="0.6">
      <c r="A513" t="str">
        <f t="shared" si="28"/>
        <v>20260123_0511</v>
      </c>
      <c r="B513" s="12">
        <v>46045</v>
      </c>
      <c r="C513" s="13">
        <v>511</v>
      </c>
      <c r="D513" s="4" t="str">
        <f t="shared" si="31"/>
        <v>00</v>
      </c>
      <c r="E513" s="14">
        <v>0</v>
      </c>
      <c r="F513">
        <f t="shared" si="29"/>
        <v>8</v>
      </c>
      <c r="G513" s="41" t="str">
        <f t="shared" si="30"/>
        <v>00</v>
      </c>
    </row>
    <row r="514" spans="1:7" x14ac:dyDescent="0.6">
      <c r="A514" t="str">
        <f t="shared" ref="A514:A577" si="32">IF(B514="","",TEXT(B514,"yyyymmdd")&amp;"_"&amp;TEXT(C514,"0000"))</f>
        <v>20260123_0512</v>
      </c>
      <c r="B514" s="12">
        <v>46045</v>
      </c>
      <c r="C514" s="13">
        <v>512</v>
      </c>
      <c r="D514" s="4" t="str">
        <f t="shared" si="31"/>
        <v>00</v>
      </c>
      <c r="E514" s="14">
        <v>0</v>
      </c>
      <c r="F514">
        <f t="shared" ref="F514:F577" si="33">IF(C514="","",INT(C514/60))</f>
        <v>8</v>
      </c>
      <c r="G514" s="41" t="str">
        <f t="shared" ref="G514:G577" si="34">IF(D514="","",IF(LEN(UPPER(SUBSTITUTE(SUBSTITUTE(TRIM(D514),CHAR(160),"")," ","")))=1,"0"&amp;UPPER(SUBSTITUTE(SUBSTITUTE(TRIM(D514),CHAR(160),"")," ","")),UPPER(SUBSTITUTE(SUBSTITUTE(TRIM(D514),CHAR(160),"")," ",""))))</f>
        <v>00</v>
      </c>
    </row>
    <row r="515" spans="1:7" x14ac:dyDescent="0.6">
      <c r="A515" t="str">
        <f t="shared" si="32"/>
        <v>20260123_0513</v>
      </c>
      <c r="B515" s="12">
        <v>46045</v>
      </c>
      <c r="C515" s="13">
        <v>513</v>
      </c>
      <c r="D515" s="4" t="str">
        <f t="shared" ref="D515:D578" si="35">MID(I$1,$C515*2+1,2)</f>
        <v>00</v>
      </c>
      <c r="E515" s="14">
        <v>0</v>
      </c>
      <c r="F515">
        <f t="shared" si="33"/>
        <v>8</v>
      </c>
      <c r="G515" s="41" t="str">
        <f t="shared" si="34"/>
        <v>00</v>
      </c>
    </row>
    <row r="516" spans="1:7" x14ac:dyDescent="0.6">
      <c r="A516" t="str">
        <f t="shared" si="32"/>
        <v>20260123_0514</v>
      </c>
      <c r="B516" s="12">
        <v>46045</v>
      </c>
      <c r="C516" s="13">
        <v>514</v>
      </c>
      <c r="D516" s="4" t="str">
        <f t="shared" si="35"/>
        <v>00</v>
      </c>
      <c r="E516" s="14">
        <v>0</v>
      </c>
      <c r="F516">
        <f t="shared" si="33"/>
        <v>8</v>
      </c>
      <c r="G516" s="41" t="str">
        <f t="shared" si="34"/>
        <v>00</v>
      </c>
    </row>
    <row r="517" spans="1:7" x14ac:dyDescent="0.6">
      <c r="A517" t="str">
        <f t="shared" si="32"/>
        <v>20260123_0515</v>
      </c>
      <c r="B517" s="12">
        <v>46045</v>
      </c>
      <c r="C517" s="13">
        <v>515</v>
      </c>
      <c r="D517" s="4" t="str">
        <f t="shared" si="35"/>
        <v>00</v>
      </c>
      <c r="E517" s="14">
        <v>0</v>
      </c>
      <c r="F517">
        <f t="shared" si="33"/>
        <v>8</v>
      </c>
      <c r="G517" s="41" t="str">
        <f t="shared" si="34"/>
        <v>00</v>
      </c>
    </row>
    <row r="518" spans="1:7" x14ac:dyDescent="0.6">
      <c r="A518" t="str">
        <f t="shared" si="32"/>
        <v>20260123_0516</v>
      </c>
      <c r="B518" s="12">
        <v>46045</v>
      </c>
      <c r="C518" s="13">
        <v>516</v>
      </c>
      <c r="D518" s="4" t="str">
        <f t="shared" si="35"/>
        <v>00</v>
      </c>
      <c r="E518" s="14">
        <v>0</v>
      </c>
      <c r="F518">
        <f t="shared" si="33"/>
        <v>8</v>
      </c>
      <c r="G518" s="41" t="str">
        <f t="shared" si="34"/>
        <v>00</v>
      </c>
    </row>
    <row r="519" spans="1:7" x14ac:dyDescent="0.6">
      <c r="A519" t="str">
        <f t="shared" si="32"/>
        <v>20260123_0517</v>
      </c>
      <c r="B519" s="12">
        <v>46045</v>
      </c>
      <c r="C519" s="13">
        <v>517</v>
      </c>
      <c r="D519" s="4" t="str">
        <f t="shared" si="35"/>
        <v>00</v>
      </c>
      <c r="E519" s="14">
        <v>0</v>
      </c>
      <c r="F519">
        <f t="shared" si="33"/>
        <v>8</v>
      </c>
      <c r="G519" s="41" t="str">
        <f t="shared" si="34"/>
        <v>00</v>
      </c>
    </row>
    <row r="520" spans="1:7" x14ac:dyDescent="0.6">
      <c r="A520" t="str">
        <f t="shared" si="32"/>
        <v>20260123_0518</v>
      </c>
      <c r="B520" s="12">
        <v>46045</v>
      </c>
      <c r="C520" s="13">
        <v>518</v>
      </c>
      <c r="D520" s="4" t="str">
        <f t="shared" si="35"/>
        <v>00</v>
      </c>
      <c r="E520" s="14">
        <v>0</v>
      </c>
      <c r="F520">
        <f t="shared" si="33"/>
        <v>8</v>
      </c>
      <c r="G520" s="41" t="str">
        <f t="shared" si="34"/>
        <v>00</v>
      </c>
    </row>
    <row r="521" spans="1:7" x14ac:dyDescent="0.6">
      <c r="A521" t="str">
        <f t="shared" si="32"/>
        <v>20260123_0519</v>
      </c>
      <c r="B521" s="12">
        <v>46045</v>
      </c>
      <c r="C521" s="13">
        <v>519</v>
      </c>
      <c r="D521" s="4" t="str">
        <f t="shared" si="35"/>
        <v>00</v>
      </c>
      <c r="E521" s="14">
        <v>0</v>
      </c>
      <c r="F521">
        <f t="shared" si="33"/>
        <v>8</v>
      </c>
      <c r="G521" s="41" t="str">
        <f t="shared" si="34"/>
        <v>00</v>
      </c>
    </row>
    <row r="522" spans="1:7" x14ac:dyDescent="0.6">
      <c r="A522" t="str">
        <f t="shared" si="32"/>
        <v>20260123_0520</v>
      </c>
      <c r="B522" s="12">
        <v>46045</v>
      </c>
      <c r="C522" s="13">
        <v>520</v>
      </c>
      <c r="D522" s="4" t="str">
        <f t="shared" si="35"/>
        <v>00</v>
      </c>
      <c r="E522" s="14">
        <v>0</v>
      </c>
      <c r="F522">
        <f t="shared" si="33"/>
        <v>8</v>
      </c>
      <c r="G522" s="41" t="str">
        <f t="shared" si="34"/>
        <v>00</v>
      </c>
    </row>
    <row r="523" spans="1:7" x14ac:dyDescent="0.6">
      <c r="A523" t="str">
        <f t="shared" si="32"/>
        <v>20260123_0521</v>
      </c>
      <c r="B523" s="12">
        <v>46045</v>
      </c>
      <c r="C523" s="13">
        <v>521</v>
      </c>
      <c r="D523" s="4" t="str">
        <f t="shared" si="35"/>
        <v>00</v>
      </c>
      <c r="E523" s="14">
        <v>0</v>
      </c>
      <c r="F523">
        <f t="shared" si="33"/>
        <v>8</v>
      </c>
      <c r="G523" s="41" t="str">
        <f t="shared" si="34"/>
        <v>00</v>
      </c>
    </row>
    <row r="524" spans="1:7" x14ac:dyDescent="0.6">
      <c r="A524" t="str">
        <f t="shared" si="32"/>
        <v>20260123_0522</v>
      </c>
      <c r="B524" s="12">
        <v>46045</v>
      </c>
      <c r="C524" s="13">
        <v>522</v>
      </c>
      <c r="D524" s="4" t="str">
        <f t="shared" si="35"/>
        <v>00</v>
      </c>
      <c r="E524" s="14">
        <v>0</v>
      </c>
      <c r="F524">
        <f t="shared" si="33"/>
        <v>8</v>
      </c>
      <c r="G524" s="41" t="str">
        <f t="shared" si="34"/>
        <v>00</v>
      </c>
    </row>
    <row r="525" spans="1:7" x14ac:dyDescent="0.6">
      <c r="A525" t="str">
        <f t="shared" si="32"/>
        <v>20260123_0523</v>
      </c>
      <c r="B525" s="12">
        <v>46045</v>
      </c>
      <c r="C525" s="13">
        <v>523</v>
      </c>
      <c r="D525" s="4" t="str">
        <f t="shared" si="35"/>
        <v>00</v>
      </c>
      <c r="E525" s="14">
        <v>0</v>
      </c>
      <c r="F525">
        <f t="shared" si="33"/>
        <v>8</v>
      </c>
      <c r="G525" s="41" t="str">
        <f t="shared" si="34"/>
        <v>00</v>
      </c>
    </row>
    <row r="526" spans="1:7" x14ac:dyDescent="0.6">
      <c r="A526" t="str">
        <f t="shared" si="32"/>
        <v>20260123_0524</v>
      </c>
      <c r="B526" s="12">
        <v>46045</v>
      </c>
      <c r="C526" s="13">
        <v>524</v>
      </c>
      <c r="D526" s="4" t="str">
        <f t="shared" si="35"/>
        <v>00</v>
      </c>
      <c r="E526" s="14">
        <v>0</v>
      </c>
      <c r="F526">
        <f t="shared" si="33"/>
        <v>8</v>
      </c>
      <c r="G526" s="41" t="str">
        <f t="shared" si="34"/>
        <v>00</v>
      </c>
    </row>
    <row r="527" spans="1:7" x14ac:dyDescent="0.6">
      <c r="A527" t="str">
        <f t="shared" si="32"/>
        <v>20260123_0525</v>
      </c>
      <c r="B527" s="12">
        <v>46045</v>
      </c>
      <c r="C527" s="13">
        <v>525</v>
      </c>
      <c r="D527" s="4" t="str">
        <f t="shared" si="35"/>
        <v>00</v>
      </c>
      <c r="E527" s="14">
        <v>0</v>
      </c>
      <c r="F527">
        <f t="shared" si="33"/>
        <v>8</v>
      </c>
      <c r="G527" s="41" t="str">
        <f t="shared" si="34"/>
        <v>00</v>
      </c>
    </row>
    <row r="528" spans="1:7" x14ac:dyDescent="0.6">
      <c r="A528" t="str">
        <f t="shared" si="32"/>
        <v>20260123_0526</v>
      </c>
      <c r="B528" s="12">
        <v>46045</v>
      </c>
      <c r="C528" s="13">
        <v>526</v>
      </c>
      <c r="D528" s="4" t="str">
        <f t="shared" si="35"/>
        <v>00</v>
      </c>
      <c r="E528" s="14">
        <v>0</v>
      </c>
      <c r="F528">
        <f t="shared" si="33"/>
        <v>8</v>
      </c>
      <c r="G528" s="41" t="str">
        <f t="shared" si="34"/>
        <v>00</v>
      </c>
    </row>
    <row r="529" spans="1:7" x14ac:dyDescent="0.6">
      <c r="A529" t="str">
        <f t="shared" si="32"/>
        <v>20260123_0527</v>
      </c>
      <c r="B529" s="12">
        <v>46045</v>
      </c>
      <c r="C529" s="13">
        <v>527</v>
      </c>
      <c r="D529" s="4" t="str">
        <f t="shared" si="35"/>
        <v>00</v>
      </c>
      <c r="E529" s="14">
        <v>0</v>
      </c>
      <c r="F529">
        <f t="shared" si="33"/>
        <v>8</v>
      </c>
      <c r="G529" s="41" t="str">
        <f t="shared" si="34"/>
        <v>00</v>
      </c>
    </row>
    <row r="530" spans="1:7" x14ac:dyDescent="0.6">
      <c r="A530" t="str">
        <f t="shared" si="32"/>
        <v>20260123_0528</v>
      </c>
      <c r="B530" s="12">
        <v>46045</v>
      </c>
      <c r="C530" s="13">
        <v>528</v>
      </c>
      <c r="D530" s="4" t="str">
        <f t="shared" si="35"/>
        <v>00</v>
      </c>
      <c r="E530" s="14">
        <v>0</v>
      </c>
      <c r="F530">
        <f t="shared" si="33"/>
        <v>8</v>
      </c>
      <c r="G530" s="41" t="str">
        <f t="shared" si="34"/>
        <v>00</v>
      </c>
    </row>
    <row r="531" spans="1:7" x14ac:dyDescent="0.6">
      <c r="A531" t="str">
        <f t="shared" si="32"/>
        <v>20260123_0529</v>
      </c>
      <c r="B531" s="12">
        <v>46045</v>
      </c>
      <c r="C531" s="13">
        <v>529</v>
      </c>
      <c r="D531" s="4" t="str">
        <f t="shared" si="35"/>
        <v>00</v>
      </c>
      <c r="E531" s="14">
        <v>0</v>
      </c>
      <c r="F531">
        <f t="shared" si="33"/>
        <v>8</v>
      </c>
      <c r="G531" s="41" t="str">
        <f t="shared" si="34"/>
        <v>00</v>
      </c>
    </row>
    <row r="532" spans="1:7" x14ac:dyDescent="0.6">
      <c r="A532" t="str">
        <f t="shared" si="32"/>
        <v>20260123_0530</v>
      </c>
      <c r="B532" s="12">
        <v>46045</v>
      </c>
      <c r="C532" s="13">
        <v>530</v>
      </c>
      <c r="D532" s="4" t="str">
        <f t="shared" si="35"/>
        <v>00</v>
      </c>
      <c r="E532" s="14">
        <v>0</v>
      </c>
      <c r="F532">
        <f t="shared" si="33"/>
        <v>8</v>
      </c>
      <c r="G532" s="41" t="str">
        <f t="shared" si="34"/>
        <v>00</v>
      </c>
    </row>
    <row r="533" spans="1:7" x14ac:dyDescent="0.6">
      <c r="A533" t="str">
        <f t="shared" si="32"/>
        <v>20260123_0531</v>
      </c>
      <c r="B533" s="12">
        <v>46045</v>
      </c>
      <c r="C533" s="13">
        <v>531</v>
      </c>
      <c r="D533" s="4" t="str">
        <f t="shared" si="35"/>
        <v>00</v>
      </c>
      <c r="E533" s="14">
        <v>0</v>
      </c>
      <c r="F533">
        <f t="shared" si="33"/>
        <v>8</v>
      </c>
      <c r="G533" s="41" t="str">
        <f t="shared" si="34"/>
        <v>00</v>
      </c>
    </row>
    <row r="534" spans="1:7" x14ac:dyDescent="0.6">
      <c r="A534" t="str">
        <f t="shared" si="32"/>
        <v>20260123_0532</v>
      </c>
      <c r="B534" s="12">
        <v>46045</v>
      </c>
      <c r="C534" s="13">
        <v>532</v>
      </c>
      <c r="D534" s="4" t="str">
        <f t="shared" si="35"/>
        <v>00</v>
      </c>
      <c r="E534" s="14">
        <v>0</v>
      </c>
      <c r="F534">
        <f t="shared" si="33"/>
        <v>8</v>
      </c>
      <c r="G534" s="41" t="str">
        <f t="shared" si="34"/>
        <v>00</v>
      </c>
    </row>
    <row r="535" spans="1:7" x14ac:dyDescent="0.6">
      <c r="A535" t="str">
        <f t="shared" si="32"/>
        <v>20260123_0533</v>
      </c>
      <c r="B535" s="12">
        <v>46045</v>
      </c>
      <c r="C535" s="13">
        <v>533</v>
      </c>
      <c r="D535" s="4" t="str">
        <f t="shared" si="35"/>
        <v>00</v>
      </c>
      <c r="E535" s="14">
        <v>0</v>
      </c>
      <c r="F535">
        <f t="shared" si="33"/>
        <v>8</v>
      </c>
      <c r="G535" s="41" t="str">
        <f t="shared" si="34"/>
        <v>00</v>
      </c>
    </row>
    <row r="536" spans="1:7" x14ac:dyDescent="0.6">
      <c r="A536" t="str">
        <f t="shared" si="32"/>
        <v>20260123_0534</v>
      </c>
      <c r="B536" s="12">
        <v>46045</v>
      </c>
      <c r="C536" s="13">
        <v>534</v>
      </c>
      <c r="D536" s="4" t="str">
        <f t="shared" si="35"/>
        <v>00</v>
      </c>
      <c r="E536" s="14">
        <v>0</v>
      </c>
      <c r="F536">
        <f t="shared" si="33"/>
        <v>8</v>
      </c>
      <c r="G536" s="41" t="str">
        <f t="shared" si="34"/>
        <v>00</v>
      </c>
    </row>
    <row r="537" spans="1:7" x14ac:dyDescent="0.6">
      <c r="A537" t="str">
        <f t="shared" si="32"/>
        <v>20260123_0535</v>
      </c>
      <c r="B537" s="12">
        <v>46045</v>
      </c>
      <c r="C537" s="13">
        <v>535</v>
      </c>
      <c r="D537" s="4" t="str">
        <f t="shared" si="35"/>
        <v>00</v>
      </c>
      <c r="E537" s="14">
        <v>0</v>
      </c>
      <c r="F537">
        <f t="shared" si="33"/>
        <v>8</v>
      </c>
      <c r="G537" s="41" t="str">
        <f t="shared" si="34"/>
        <v>00</v>
      </c>
    </row>
    <row r="538" spans="1:7" x14ac:dyDescent="0.6">
      <c r="A538" t="str">
        <f t="shared" si="32"/>
        <v>20260123_0536</v>
      </c>
      <c r="B538" s="12">
        <v>46045</v>
      </c>
      <c r="C538" s="13">
        <v>536</v>
      </c>
      <c r="D538" s="4" t="str">
        <f t="shared" si="35"/>
        <v>00</v>
      </c>
      <c r="E538" s="14">
        <v>0</v>
      </c>
      <c r="F538">
        <f t="shared" si="33"/>
        <v>8</v>
      </c>
      <c r="G538" s="41" t="str">
        <f t="shared" si="34"/>
        <v>00</v>
      </c>
    </row>
    <row r="539" spans="1:7" x14ac:dyDescent="0.6">
      <c r="A539" t="str">
        <f t="shared" si="32"/>
        <v>20260123_0537</v>
      </c>
      <c r="B539" s="12">
        <v>46045</v>
      </c>
      <c r="C539" s="13">
        <v>537</v>
      </c>
      <c r="D539" s="4" t="str">
        <f t="shared" si="35"/>
        <v>00</v>
      </c>
      <c r="E539" s="14">
        <v>0</v>
      </c>
      <c r="F539">
        <f t="shared" si="33"/>
        <v>8</v>
      </c>
      <c r="G539" s="41" t="str">
        <f t="shared" si="34"/>
        <v>00</v>
      </c>
    </row>
    <row r="540" spans="1:7" x14ac:dyDescent="0.6">
      <c r="A540" t="str">
        <f t="shared" si="32"/>
        <v>20260123_0538</v>
      </c>
      <c r="B540" s="12">
        <v>46045</v>
      </c>
      <c r="C540" s="13">
        <v>538</v>
      </c>
      <c r="D540" s="4" t="str">
        <f t="shared" si="35"/>
        <v>00</v>
      </c>
      <c r="E540" s="14">
        <v>0</v>
      </c>
      <c r="F540">
        <f t="shared" si="33"/>
        <v>8</v>
      </c>
      <c r="G540" s="41" t="str">
        <f t="shared" si="34"/>
        <v>00</v>
      </c>
    </row>
    <row r="541" spans="1:7" x14ac:dyDescent="0.6">
      <c r="A541" t="str">
        <f t="shared" si="32"/>
        <v>20260123_0539</v>
      </c>
      <c r="B541" s="12">
        <v>46045</v>
      </c>
      <c r="C541" s="13">
        <v>539</v>
      </c>
      <c r="D541" s="4" t="str">
        <f t="shared" si="35"/>
        <v>00</v>
      </c>
      <c r="E541" s="14">
        <v>0</v>
      </c>
      <c r="F541">
        <f t="shared" si="33"/>
        <v>8</v>
      </c>
      <c r="G541" s="41" t="str">
        <f t="shared" si="34"/>
        <v>00</v>
      </c>
    </row>
    <row r="542" spans="1:7" x14ac:dyDescent="0.6">
      <c r="A542" t="str">
        <f t="shared" si="32"/>
        <v>20260123_0540</v>
      </c>
      <c r="B542" s="12">
        <v>46045</v>
      </c>
      <c r="C542" s="13">
        <v>540</v>
      </c>
      <c r="D542" s="4" t="str">
        <f t="shared" si="35"/>
        <v>00</v>
      </c>
      <c r="E542" s="14">
        <v>0</v>
      </c>
      <c r="F542">
        <f t="shared" si="33"/>
        <v>9</v>
      </c>
      <c r="G542" s="41" t="str">
        <f t="shared" si="34"/>
        <v>00</v>
      </c>
    </row>
    <row r="543" spans="1:7" x14ac:dyDescent="0.6">
      <c r="A543" t="str">
        <f t="shared" si="32"/>
        <v>20260123_0541</v>
      </c>
      <c r="B543" s="12">
        <v>46045</v>
      </c>
      <c r="C543" s="13">
        <v>541</v>
      </c>
      <c r="D543" s="4" t="str">
        <f t="shared" si="35"/>
        <v>00</v>
      </c>
      <c r="E543" s="14">
        <v>0</v>
      </c>
      <c r="F543">
        <f t="shared" si="33"/>
        <v>9</v>
      </c>
      <c r="G543" s="41" t="str">
        <f t="shared" si="34"/>
        <v>00</v>
      </c>
    </row>
    <row r="544" spans="1:7" x14ac:dyDescent="0.6">
      <c r="A544" t="str">
        <f t="shared" si="32"/>
        <v>20260123_0542</v>
      </c>
      <c r="B544" s="12">
        <v>46045</v>
      </c>
      <c r="C544" s="13">
        <v>542</v>
      </c>
      <c r="D544" s="4" t="str">
        <f t="shared" si="35"/>
        <v>00</v>
      </c>
      <c r="E544" s="14">
        <v>0</v>
      </c>
      <c r="F544">
        <f t="shared" si="33"/>
        <v>9</v>
      </c>
      <c r="G544" s="41" t="str">
        <f t="shared" si="34"/>
        <v>00</v>
      </c>
    </row>
    <row r="545" spans="1:7" x14ac:dyDescent="0.6">
      <c r="A545" t="str">
        <f t="shared" si="32"/>
        <v>20260123_0543</v>
      </c>
      <c r="B545" s="12">
        <v>46045</v>
      </c>
      <c r="C545" s="13">
        <v>543</v>
      </c>
      <c r="D545" s="4" t="str">
        <f t="shared" si="35"/>
        <v>00</v>
      </c>
      <c r="E545" s="14">
        <v>0</v>
      </c>
      <c r="F545">
        <f t="shared" si="33"/>
        <v>9</v>
      </c>
      <c r="G545" s="41" t="str">
        <f t="shared" si="34"/>
        <v>00</v>
      </c>
    </row>
    <row r="546" spans="1:7" x14ac:dyDescent="0.6">
      <c r="A546" t="str">
        <f t="shared" si="32"/>
        <v>20260123_0544</v>
      </c>
      <c r="B546" s="12">
        <v>46045</v>
      </c>
      <c r="C546" s="13">
        <v>544</v>
      </c>
      <c r="D546" s="4" t="str">
        <f t="shared" si="35"/>
        <v>00</v>
      </c>
      <c r="E546" s="14">
        <v>0</v>
      </c>
      <c r="F546">
        <f t="shared" si="33"/>
        <v>9</v>
      </c>
      <c r="G546" s="41" t="str">
        <f t="shared" si="34"/>
        <v>00</v>
      </c>
    </row>
    <row r="547" spans="1:7" x14ac:dyDescent="0.6">
      <c r="A547" t="str">
        <f t="shared" si="32"/>
        <v>20260123_0545</v>
      </c>
      <c r="B547" s="12">
        <v>46045</v>
      </c>
      <c r="C547" s="13">
        <v>545</v>
      </c>
      <c r="D547" s="4" t="str">
        <f t="shared" si="35"/>
        <v>00</v>
      </c>
      <c r="E547" s="14">
        <v>0</v>
      </c>
      <c r="F547">
        <f t="shared" si="33"/>
        <v>9</v>
      </c>
      <c r="G547" s="41" t="str">
        <f t="shared" si="34"/>
        <v>00</v>
      </c>
    </row>
    <row r="548" spans="1:7" x14ac:dyDescent="0.6">
      <c r="A548" t="str">
        <f t="shared" si="32"/>
        <v>20260123_0546</v>
      </c>
      <c r="B548" s="12">
        <v>46045</v>
      </c>
      <c r="C548" s="13">
        <v>546</v>
      </c>
      <c r="D548" s="4" t="str">
        <f t="shared" si="35"/>
        <v>00</v>
      </c>
      <c r="E548" s="14">
        <v>0</v>
      </c>
      <c r="F548">
        <f t="shared" si="33"/>
        <v>9</v>
      </c>
      <c r="G548" s="41" t="str">
        <f t="shared" si="34"/>
        <v>00</v>
      </c>
    </row>
    <row r="549" spans="1:7" x14ac:dyDescent="0.6">
      <c r="A549" t="str">
        <f t="shared" si="32"/>
        <v>20260123_0547</v>
      </c>
      <c r="B549" s="12">
        <v>46045</v>
      </c>
      <c r="C549" s="13">
        <v>547</v>
      </c>
      <c r="D549" s="4" t="str">
        <f t="shared" si="35"/>
        <v>00</v>
      </c>
      <c r="E549" s="14">
        <v>0</v>
      </c>
      <c r="F549">
        <f t="shared" si="33"/>
        <v>9</v>
      </c>
      <c r="G549" s="41" t="str">
        <f t="shared" si="34"/>
        <v>00</v>
      </c>
    </row>
    <row r="550" spans="1:7" x14ac:dyDescent="0.6">
      <c r="A550" t="str">
        <f t="shared" si="32"/>
        <v>20260123_0548</v>
      </c>
      <c r="B550" s="12">
        <v>46045</v>
      </c>
      <c r="C550" s="13">
        <v>548</v>
      </c>
      <c r="D550" s="4" t="str">
        <f t="shared" si="35"/>
        <v>00</v>
      </c>
      <c r="E550" s="14">
        <v>0</v>
      </c>
      <c r="F550">
        <f t="shared" si="33"/>
        <v>9</v>
      </c>
      <c r="G550" s="41" t="str">
        <f t="shared" si="34"/>
        <v>00</v>
      </c>
    </row>
    <row r="551" spans="1:7" x14ac:dyDescent="0.6">
      <c r="A551" t="str">
        <f t="shared" si="32"/>
        <v>20260123_0549</v>
      </c>
      <c r="B551" s="12">
        <v>46045</v>
      </c>
      <c r="C551" s="13">
        <v>549</v>
      </c>
      <c r="D551" s="4" t="str">
        <f t="shared" si="35"/>
        <v>00</v>
      </c>
      <c r="E551" s="14">
        <v>0</v>
      </c>
      <c r="F551">
        <f t="shared" si="33"/>
        <v>9</v>
      </c>
      <c r="G551" s="41" t="str">
        <f t="shared" si="34"/>
        <v>00</v>
      </c>
    </row>
    <row r="552" spans="1:7" x14ac:dyDescent="0.6">
      <c r="A552" t="str">
        <f t="shared" si="32"/>
        <v>20260123_0550</v>
      </c>
      <c r="B552" s="12">
        <v>46045</v>
      </c>
      <c r="C552" s="13">
        <v>550</v>
      </c>
      <c r="D552" s="4" t="str">
        <f t="shared" si="35"/>
        <v>00</v>
      </c>
      <c r="E552" s="14">
        <v>0</v>
      </c>
      <c r="F552">
        <f t="shared" si="33"/>
        <v>9</v>
      </c>
      <c r="G552" s="41" t="str">
        <f t="shared" si="34"/>
        <v>00</v>
      </c>
    </row>
    <row r="553" spans="1:7" x14ac:dyDescent="0.6">
      <c r="A553" t="str">
        <f t="shared" si="32"/>
        <v>20260123_0551</v>
      </c>
      <c r="B553" s="12">
        <v>46045</v>
      </c>
      <c r="C553" s="13">
        <v>551</v>
      </c>
      <c r="D553" s="4" t="str">
        <f t="shared" si="35"/>
        <v>00</v>
      </c>
      <c r="E553" s="14">
        <v>0</v>
      </c>
      <c r="F553">
        <f t="shared" si="33"/>
        <v>9</v>
      </c>
      <c r="G553" s="41" t="str">
        <f t="shared" si="34"/>
        <v>00</v>
      </c>
    </row>
    <row r="554" spans="1:7" x14ac:dyDescent="0.6">
      <c r="A554" t="str">
        <f t="shared" si="32"/>
        <v>20260123_0552</v>
      </c>
      <c r="B554" s="12">
        <v>46045</v>
      </c>
      <c r="C554" s="13">
        <v>552</v>
      </c>
      <c r="D554" s="4" t="str">
        <f t="shared" si="35"/>
        <v>00</v>
      </c>
      <c r="E554" s="14">
        <v>0</v>
      </c>
      <c r="F554">
        <f t="shared" si="33"/>
        <v>9</v>
      </c>
      <c r="G554" s="41" t="str">
        <f t="shared" si="34"/>
        <v>00</v>
      </c>
    </row>
    <row r="555" spans="1:7" x14ac:dyDescent="0.6">
      <c r="A555" t="str">
        <f t="shared" si="32"/>
        <v>20260123_0553</v>
      </c>
      <c r="B555" s="12">
        <v>46045</v>
      </c>
      <c r="C555" s="13">
        <v>553</v>
      </c>
      <c r="D555" s="4" t="str">
        <f t="shared" si="35"/>
        <v>00</v>
      </c>
      <c r="E555" s="14">
        <v>0</v>
      </c>
      <c r="F555">
        <f t="shared" si="33"/>
        <v>9</v>
      </c>
      <c r="G555" s="41" t="str">
        <f t="shared" si="34"/>
        <v>00</v>
      </c>
    </row>
    <row r="556" spans="1:7" x14ac:dyDescent="0.6">
      <c r="A556" t="str">
        <f t="shared" si="32"/>
        <v>20260123_0554</v>
      </c>
      <c r="B556" s="12">
        <v>46045</v>
      </c>
      <c r="C556" s="13">
        <v>554</v>
      </c>
      <c r="D556" s="4" t="str">
        <f t="shared" si="35"/>
        <v>00</v>
      </c>
      <c r="E556" s="14">
        <v>0</v>
      </c>
      <c r="F556">
        <f t="shared" si="33"/>
        <v>9</v>
      </c>
      <c r="G556" s="41" t="str">
        <f t="shared" si="34"/>
        <v>00</v>
      </c>
    </row>
    <row r="557" spans="1:7" x14ac:dyDescent="0.6">
      <c r="A557" t="str">
        <f t="shared" si="32"/>
        <v>20260123_0555</v>
      </c>
      <c r="B557" s="12">
        <v>46045</v>
      </c>
      <c r="C557" s="13">
        <v>555</v>
      </c>
      <c r="D557" s="4" t="str">
        <f t="shared" si="35"/>
        <v>00</v>
      </c>
      <c r="E557" s="14">
        <v>0</v>
      </c>
      <c r="F557">
        <f t="shared" si="33"/>
        <v>9</v>
      </c>
      <c r="G557" s="41" t="str">
        <f t="shared" si="34"/>
        <v>00</v>
      </c>
    </row>
    <row r="558" spans="1:7" x14ac:dyDescent="0.6">
      <c r="A558" t="str">
        <f t="shared" si="32"/>
        <v>20260123_0556</v>
      </c>
      <c r="B558" s="12">
        <v>46045</v>
      </c>
      <c r="C558" s="13">
        <v>556</v>
      </c>
      <c r="D558" s="4" t="str">
        <f t="shared" si="35"/>
        <v>00</v>
      </c>
      <c r="E558" s="14">
        <v>0</v>
      </c>
      <c r="F558">
        <f t="shared" si="33"/>
        <v>9</v>
      </c>
      <c r="G558" s="41" t="str">
        <f t="shared" si="34"/>
        <v>00</v>
      </c>
    </row>
    <row r="559" spans="1:7" x14ac:dyDescent="0.6">
      <c r="A559" t="str">
        <f t="shared" si="32"/>
        <v>20260123_0557</v>
      </c>
      <c r="B559" s="12">
        <v>46045</v>
      </c>
      <c r="C559" s="13">
        <v>557</v>
      </c>
      <c r="D559" s="4" t="str">
        <f t="shared" si="35"/>
        <v>00</v>
      </c>
      <c r="E559" s="14">
        <v>0</v>
      </c>
      <c r="F559">
        <f t="shared" si="33"/>
        <v>9</v>
      </c>
      <c r="G559" s="41" t="str">
        <f t="shared" si="34"/>
        <v>00</v>
      </c>
    </row>
    <row r="560" spans="1:7" x14ac:dyDescent="0.6">
      <c r="A560" t="str">
        <f t="shared" si="32"/>
        <v>20260123_0558</v>
      </c>
      <c r="B560" s="12">
        <v>46045</v>
      </c>
      <c r="C560" s="13">
        <v>558</v>
      </c>
      <c r="D560" s="4" t="str">
        <f t="shared" si="35"/>
        <v>00</v>
      </c>
      <c r="E560" s="14">
        <v>0</v>
      </c>
      <c r="F560">
        <f t="shared" si="33"/>
        <v>9</v>
      </c>
      <c r="G560" s="41" t="str">
        <f t="shared" si="34"/>
        <v>00</v>
      </c>
    </row>
    <row r="561" spans="1:7" x14ac:dyDescent="0.6">
      <c r="A561" t="str">
        <f t="shared" si="32"/>
        <v>20260123_0559</v>
      </c>
      <c r="B561" s="12">
        <v>46045</v>
      </c>
      <c r="C561" s="13">
        <v>559</v>
      </c>
      <c r="D561" s="4" t="str">
        <f t="shared" si="35"/>
        <v>00</v>
      </c>
      <c r="E561" s="14">
        <v>0</v>
      </c>
      <c r="F561">
        <f t="shared" si="33"/>
        <v>9</v>
      </c>
      <c r="G561" s="41" t="str">
        <f t="shared" si="34"/>
        <v>00</v>
      </c>
    </row>
    <row r="562" spans="1:7" x14ac:dyDescent="0.6">
      <c r="A562" t="str">
        <f t="shared" si="32"/>
        <v>20260123_0560</v>
      </c>
      <c r="B562" s="12">
        <v>46045</v>
      </c>
      <c r="C562" s="13">
        <v>560</v>
      </c>
      <c r="D562" s="4" t="str">
        <f t="shared" si="35"/>
        <v>00</v>
      </c>
      <c r="E562" s="14">
        <v>0</v>
      </c>
      <c r="F562">
        <f t="shared" si="33"/>
        <v>9</v>
      </c>
      <c r="G562" s="41" t="str">
        <f t="shared" si="34"/>
        <v>00</v>
      </c>
    </row>
    <row r="563" spans="1:7" x14ac:dyDescent="0.6">
      <c r="A563" t="str">
        <f t="shared" si="32"/>
        <v>20260123_0561</v>
      </c>
      <c r="B563" s="12">
        <v>46045</v>
      </c>
      <c r="C563" s="13">
        <v>561</v>
      </c>
      <c r="D563" s="4" t="str">
        <f t="shared" si="35"/>
        <v>00</v>
      </c>
      <c r="E563" s="14">
        <v>0</v>
      </c>
      <c r="F563">
        <f t="shared" si="33"/>
        <v>9</v>
      </c>
      <c r="G563" s="41" t="str">
        <f t="shared" si="34"/>
        <v>00</v>
      </c>
    </row>
    <row r="564" spans="1:7" x14ac:dyDescent="0.6">
      <c r="A564" t="str">
        <f t="shared" si="32"/>
        <v>20260123_0562</v>
      </c>
      <c r="B564" s="12">
        <v>46045</v>
      </c>
      <c r="C564" s="13">
        <v>562</v>
      </c>
      <c r="D564" s="4" t="str">
        <f t="shared" si="35"/>
        <v>00</v>
      </c>
      <c r="E564" s="14">
        <v>0</v>
      </c>
      <c r="F564">
        <f t="shared" si="33"/>
        <v>9</v>
      </c>
      <c r="G564" s="41" t="str">
        <f t="shared" si="34"/>
        <v>00</v>
      </c>
    </row>
    <row r="565" spans="1:7" x14ac:dyDescent="0.6">
      <c r="A565" t="str">
        <f t="shared" si="32"/>
        <v>20260123_0563</v>
      </c>
      <c r="B565" s="12">
        <v>46045</v>
      </c>
      <c r="C565" s="13">
        <v>563</v>
      </c>
      <c r="D565" s="4" t="str">
        <f t="shared" si="35"/>
        <v>00</v>
      </c>
      <c r="E565" s="14">
        <v>0</v>
      </c>
      <c r="F565">
        <f t="shared" si="33"/>
        <v>9</v>
      </c>
      <c r="G565" s="41" t="str">
        <f t="shared" si="34"/>
        <v>00</v>
      </c>
    </row>
    <row r="566" spans="1:7" x14ac:dyDescent="0.6">
      <c r="A566" t="str">
        <f t="shared" si="32"/>
        <v>20260123_0564</v>
      </c>
      <c r="B566" s="12">
        <v>46045</v>
      </c>
      <c r="C566" s="13">
        <v>564</v>
      </c>
      <c r="D566" s="4" t="str">
        <f t="shared" si="35"/>
        <v>00</v>
      </c>
      <c r="E566" s="14">
        <v>0</v>
      </c>
      <c r="F566">
        <f t="shared" si="33"/>
        <v>9</v>
      </c>
      <c r="G566" s="41" t="str">
        <f t="shared" si="34"/>
        <v>00</v>
      </c>
    </row>
    <row r="567" spans="1:7" x14ac:dyDescent="0.6">
      <c r="A567" t="str">
        <f t="shared" si="32"/>
        <v>20260123_0565</v>
      </c>
      <c r="B567" s="12">
        <v>46045</v>
      </c>
      <c r="C567" s="13">
        <v>565</v>
      </c>
      <c r="D567" s="4" t="str">
        <f t="shared" si="35"/>
        <v>00</v>
      </c>
      <c r="E567" s="14">
        <v>0</v>
      </c>
      <c r="F567">
        <f t="shared" si="33"/>
        <v>9</v>
      </c>
      <c r="G567" s="41" t="str">
        <f t="shared" si="34"/>
        <v>00</v>
      </c>
    </row>
    <row r="568" spans="1:7" x14ac:dyDescent="0.6">
      <c r="A568" t="str">
        <f t="shared" si="32"/>
        <v>20260123_0566</v>
      </c>
      <c r="B568" s="12">
        <v>46045</v>
      </c>
      <c r="C568" s="13">
        <v>566</v>
      </c>
      <c r="D568" s="4" t="str">
        <f t="shared" si="35"/>
        <v>00</v>
      </c>
      <c r="E568" s="14">
        <v>0</v>
      </c>
      <c r="F568">
        <f t="shared" si="33"/>
        <v>9</v>
      </c>
      <c r="G568" s="41" t="str">
        <f t="shared" si="34"/>
        <v>00</v>
      </c>
    </row>
    <row r="569" spans="1:7" x14ac:dyDescent="0.6">
      <c r="A569" t="str">
        <f t="shared" si="32"/>
        <v>20260123_0567</v>
      </c>
      <c r="B569" s="12">
        <v>46045</v>
      </c>
      <c r="C569" s="13">
        <v>567</v>
      </c>
      <c r="D569" s="4" t="str">
        <f t="shared" si="35"/>
        <v>00</v>
      </c>
      <c r="E569" s="14">
        <v>0</v>
      </c>
      <c r="F569">
        <f t="shared" si="33"/>
        <v>9</v>
      </c>
      <c r="G569" s="41" t="str">
        <f t="shared" si="34"/>
        <v>00</v>
      </c>
    </row>
    <row r="570" spans="1:7" x14ac:dyDescent="0.6">
      <c r="A570" t="str">
        <f t="shared" si="32"/>
        <v>20260123_0568</v>
      </c>
      <c r="B570" s="12">
        <v>46045</v>
      </c>
      <c r="C570" s="13">
        <v>568</v>
      </c>
      <c r="D570" s="4" t="str">
        <f t="shared" si="35"/>
        <v>0A</v>
      </c>
      <c r="E570" s="14">
        <v>1.368050411</v>
      </c>
      <c r="F570">
        <f t="shared" si="33"/>
        <v>9</v>
      </c>
      <c r="G570" s="41" t="str">
        <f t="shared" si="34"/>
        <v>0A</v>
      </c>
    </row>
    <row r="571" spans="1:7" x14ac:dyDescent="0.6">
      <c r="A571" t="str">
        <f t="shared" si="32"/>
        <v>20260123_0569</v>
      </c>
      <c r="B571" s="12">
        <v>46045</v>
      </c>
      <c r="C571" s="13">
        <v>569</v>
      </c>
      <c r="D571" s="4" t="str">
        <f t="shared" si="35"/>
        <v>1E</v>
      </c>
      <c r="E571" s="14">
        <v>0</v>
      </c>
      <c r="F571">
        <f t="shared" si="33"/>
        <v>9</v>
      </c>
      <c r="G571" s="41" t="str">
        <f t="shared" si="34"/>
        <v>1E</v>
      </c>
    </row>
    <row r="572" spans="1:7" x14ac:dyDescent="0.6">
      <c r="A572" t="str">
        <f t="shared" si="32"/>
        <v>20260123_0570</v>
      </c>
      <c r="B572" s="12">
        <v>46045</v>
      </c>
      <c r="C572" s="13">
        <v>570</v>
      </c>
      <c r="D572" s="4" t="str">
        <f t="shared" si="35"/>
        <v>14</v>
      </c>
      <c r="E572" s="14">
        <v>0</v>
      </c>
      <c r="F572">
        <f t="shared" si="33"/>
        <v>9</v>
      </c>
      <c r="G572" s="41" t="str">
        <f t="shared" si="34"/>
        <v>14</v>
      </c>
    </row>
    <row r="573" spans="1:7" x14ac:dyDescent="0.6">
      <c r="A573" t="str">
        <f t="shared" si="32"/>
        <v>20260123_0571</v>
      </c>
      <c r="B573" s="12">
        <v>46045</v>
      </c>
      <c r="C573" s="13">
        <v>571</v>
      </c>
      <c r="D573" s="4" t="str">
        <f t="shared" si="35"/>
        <v>14</v>
      </c>
      <c r="E573" s="14">
        <v>0</v>
      </c>
      <c r="F573">
        <f t="shared" si="33"/>
        <v>9</v>
      </c>
      <c r="G573" s="41" t="str">
        <f t="shared" si="34"/>
        <v>14</v>
      </c>
    </row>
    <row r="574" spans="1:7" x14ac:dyDescent="0.6">
      <c r="A574" t="str">
        <f t="shared" si="32"/>
        <v>20260123_0572</v>
      </c>
      <c r="B574" s="12">
        <v>46045</v>
      </c>
      <c r="C574" s="13">
        <v>572</v>
      </c>
      <c r="D574" s="4" t="str">
        <f t="shared" si="35"/>
        <v>14</v>
      </c>
      <c r="E574" s="14">
        <v>0</v>
      </c>
      <c r="F574">
        <f t="shared" si="33"/>
        <v>9</v>
      </c>
      <c r="G574" s="41" t="str">
        <f t="shared" si="34"/>
        <v>14</v>
      </c>
    </row>
    <row r="575" spans="1:7" x14ac:dyDescent="0.6">
      <c r="A575" t="str">
        <f t="shared" si="32"/>
        <v>20260123_0573</v>
      </c>
      <c r="B575" s="12">
        <v>46045</v>
      </c>
      <c r="C575" s="13">
        <v>573</v>
      </c>
      <c r="D575" s="4" t="str">
        <f t="shared" si="35"/>
        <v>14</v>
      </c>
      <c r="E575" s="14">
        <v>0</v>
      </c>
      <c r="F575">
        <f t="shared" si="33"/>
        <v>9</v>
      </c>
      <c r="G575" s="41" t="str">
        <f t="shared" si="34"/>
        <v>14</v>
      </c>
    </row>
    <row r="576" spans="1:7" x14ac:dyDescent="0.6">
      <c r="A576" t="str">
        <f t="shared" si="32"/>
        <v>20260123_0574</v>
      </c>
      <c r="B576" s="12">
        <v>46045</v>
      </c>
      <c r="C576" s="13">
        <v>574</v>
      </c>
      <c r="D576" s="4" t="str">
        <f t="shared" si="35"/>
        <v>14</v>
      </c>
      <c r="E576" s="14">
        <v>0</v>
      </c>
      <c r="F576">
        <f t="shared" si="33"/>
        <v>9</v>
      </c>
      <c r="G576" s="41" t="str">
        <f t="shared" si="34"/>
        <v>14</v>
      </c>
    </row>
    <row r="577" spans="1:7" x14ac:dyDescent="0.6">
      <c r="A577" t="str">
        <f t="shared" si="32"/>
        <v>20260123_0575</v>
      </c>
      <c r="B577" s="12">
        <v>46045</v>
      </c>
      <c r="C577" s="13">
        <v>575</v>
      </c>
      <c r="D577" s="4" t="str">
        <f t="shared" si="35"/>
        <v>14</v>
      </c>
      <c r="E577" s="14">
        <v>0</v>
      </c>
      <c r="F577">
        <f t="shared" si="33"/>
        <v>9</v>
      </c>
      <c r="G577" s="41" t="str">
        <f t="shared" si="34"/>
        <v>14</v>
      </c>
    </row>
    <row r="578" spans="1:7" x14ac:dyDescent="0.6">
      <c r="A578" t="str">
        <f t="shared" ref="A578:A641" si="36">IF(B578="","",TEXT(B578,"yyyymmdd")&amp;"_"&amp;TEXT(C578,"0000"))</f>
        <v>20260123_0576</v>
      </c>
      <c r="B578" s="12">
        <v>46045</v>
      </c>
      <c r="C578" s="13">
        <v>576</v>
      </c>
      <c r="D578" s="4" t="str">
        <f t="shared" si="35"/>
        <v>14</v>
      </c>
      <c r="E578" s="14">
        <v>0</v>
      </c>
      <c r="F578">
        <f t="shared" ref="F578:F641" si="37">IF(C578="","",INT(C578/60))</f>
        <v>9</v>
      </c>
      <c r="G578" s="41" t="str">
        <f t="shared" ref="G578:G641" si="38">IF(D578="","",IF(LEN(UPPER(SUBSTITUTE(SUBSTITUTE(TRIM(D578),CHAR(160),"")," ","")))=1,"0"&amp;UPPER(SUBSTITUTE(SUBSTITUTE(TRIM(D578),CHAR(160),"")," ","")),UPPER(SUBSTITUTE(SUBSTITUTE(TRIM(D578),CHAR(160),"")," ",""))))</f>
        <v>14</v>
      </c>
    </row>
    <row r="579" spans="1:7" x14ac:dyDescent="0.6">
      <c r="A579" t="str">
        <f t="shared" si="36"/>
        <v>20260123_0577</v>
      </c>
      <c r="B579" s="12">
        <v>46045</v>
      </c>
      <c r="C579" s="13">
        <v>577</v>
      </c>
      <c r="D579" s="4" t="str">
        <f t="shared" ref="D579:D642" si="39">MID(I$1,$C579*2+1,2)</f>
        <v>14</v>
      </c>
      <c r="E579" s="14">
        <v>0</v>
      </c>
      <c r="F579">
        <f t="shared" si="37"/>
        <v>9</v>
      </c>
      <c r="G579" s="41" t="str">
        <f t="shared" si="38"/>
        <v>14</v>
      </c>
    </row>
    <row r="580" spans="1:7" x14ac:dyDescent="0.6">
      <c r="A580" t="str">
        <f t="shared" si="36"/>
        <v>20260123_0578</v>
      </c>
      <c r="B580" s="12">
        <v>46045</v>
      </c>
      <c r="C580" s="13">
        <v>578</v>
      </c>
      <c r="D580" s="4" t="str">
        <f t="shared" si="39"/>
        <v>14</v>
      </c>
      <c r="E580" s="14">
        <v>0</v>
      </c>
      <c r="F580">
        <f t="shared" si="37"/>
        <v>9</v>
      </c>
      <c r="G580" s="41" t="str">
        <f t="shared" si="38"/>
        <v>14</v>
      </c>
    </row>
    <row r="581" spans="1:7" x14ac:dyDescent="0.6">
      <c r="A581" t="str">
        <f t="shared" si="36"/>
        <v>20260123_0579</v>
      </c>
      <c r="B581" s="12">
        <v>46045</v>
      </c>
      <c r="C581" s="13">
        <v>579</v>
      </c>
      <c r="D581" s="4" t="str">
        <f t="shared" si="39"/>
        <v>14</v>
      </c>
      <c r="E581" s="14">
        <v>0</v>
      </c>
      <c r="F581">
        <f t="shared" si="37"/>
        <v>9</v>
      </c>
      <c r="G581" s="41" t="str">
        <f t="shared" si="38"/>
        <v>14</v>
      </c>
    </row>
    <row r="582" spans="1:7" x14ac:dyDescent="0.6">
      <c r="A582" t="str">
        <f t="shared" si="36"/>
        <v>20260123_0580</v>
      </c>
      <c r="B582" s="12">
        <v>46045</v>
      </c>
      <c r="C582" s="13">
        <v>580</v>
      </c>
      <c r="D582" s="4" t="str">
        <f t="shared" si="39"/>
        <v>14</v>
      </c>
      <c r="E582" s="14">
        <v>0</v>
      </c>
      <c r="F582">
        <f t="shared" si="37"/>
        <v>9</v>
      </c>
      <c r="G582" s="41" t="str">
        <f t="shared" si="38"/>
        <v>14</v>
      </c>
    </row>
    <row r="583" spans="1:7" x14ac:dyDescent="0.6">
      <c r="A583" t="str">
        <f t="shared" si="36"/>
        <v>20260123_0581</v>
      </c>
      <c r="B583" s="12">
        <v>46045</v>
      </c>
      <c r="C583" s="13">
        <v>581</v>
      </c>
      <c r="D583" s="4" t="str">
        <f t="shared" si="39"/>
        <v>14</v>
      </c>
      <c r="E583" s="14">
        <v>0</v>
      </c>
      <c r="F583">
        <f t="shared" si="37"/>
        <v>9</v>
      </c>
      <c r="G583" s="41" t="str">
        <f t="shared" si="38"/>
        <v>14</v>
      </c>
    </row>
    <row r="584" spans="1:7" x14ac:dyDescent="0.6">
      <c r="A584" t="str">
        <f t="shared" si="36"/>
        <v>20260123_0582</v>
      </c>
      <c r="B584" s="12">
        <v>46045</v>
      </c>
      <c r="C584" s="13">
        <v>582</v>
      </c>
      <c r="D584" s="4" t="str">
        <f t="shared" si="39"/>
        <v>14</v>
      </c>
      <c r="E584" s="14">
        <v>0</v>
      </c>
      <c r="F584">
        <f t="shared" si="37"/>
        <v>9</v>
      </c>
      <c r="G584" s="41" t="str">
        <f t="shared" si="38"/>
        <v>14</v>
      </c>
    </row>
    <row r="585" spans="1:7" x14ac:dyDescent="0.6">
      <c r="A585" t="str">
        <f t="shared" si="36"/>
        <v>20260123_0583</v>
      </c>
      <c r="B585" s="12">
        <v>46045</v>
      </c>
      <c r="C585" s="13">
        <v>583</v>
      </c>
      <c r="D585" s="4" t="str">
        <f t="shared" si="39"/>
        <v>14</v>
      </c>
      <c r="E585" s="14">
        <v>0</v>
      </c>
      <c r="F585">
        <f t="shared" si="37"/>
        <v>9</v>
      </c>
      <c r="G585" s="41" t="str">
        <f t="shared" si="38"/>
        <v>14</v>
      </c>
    </row>
    <row r="586" spans="1:7" x14ac:dyDescent="0.6">
      <c r="A586" t="str">
        <f t="shared" si="36"/>
        <v>20260123_0584</v>
      </c>
      <c r="B586" s="12">
        <v>46045</v>
      </c>
      <c r="C586" s="13">
        <v>584</v>
      </c>
      <c r="D586" s="4" t="str">
        <f t="shared" si="39"/>
        <v>00</v>
      </c>
      <c r="E586" s="14">
        <v>0</v>
      </c>
      <c r="F586">
        <f t="shared" si="37"/>
        <v>9</v>
      </c>
      <c r="G586" s="41" t="str">
        <f t="shared" si="38"/>
        <v>00</v>
      </c>
    </row>
    <row r="587" spans="1:7" x14ac:dyDescent="0.6">
      <c r="A587" t="str">
        <f t="shared" si="36"/>
        <v>20260123_0585</v>
      </c>
      <c r="B587" s="12">
        <v>46045</v>
      </c>
      <c r="C587" s="13">
        <v>585</v>
      </c>
      <c r="D587" s="4" t="str">
        <f t="shared" si="39"/>
        <v>00</v>
      </c>
      <c r="E587" s="14">
        <v>0</v>
      </c>
      <c r="F587">
        <f t="shared" si="37"/>
        <v>9</v>
      </c>
      <c r="G587" s="41" t="str">
        <f t="shared" si="38"/>
        <v>00</v>
      </c>
    </row>
    <row r="588" spans="1:7" x14ac:dyDescent="0.6">
      <c r="A588" t="str">
        <f t="shared" si="36"/>
        <v>20260123_0586</v>
      </c>
      <c r="B588" s="12">
        <v>46045</v>
      </c>
      <c r="C588" s="13">
        <v>586</v>
      </c>
      <c r="D588" s="4" t="str">
        <f t="shared" si="39"/>
        <v>1E</v>
      </c>
      <c r="E588" s="14">
        <v>0</v>
      </c>
      <c r="F588">
        <f t="shared" si="37"/>
        <v>9</v>
      </c>
      <c r="G588" s="41" t="str">
        <f t="shared" si="38"/>
        <v>1E</v>
      </c>
    </row>
    <row r="589" spans="1:7" x14ac:dyDescent="0.6">
      <c r="A589" t="str">
        <f t="shared" si="36"/>
        <v>20260123_0587</v>
      </c>
      <c r="B589" s="12">
        <v>46045</v>
      </c>
      <c r="C589" s="13">
        <v>587</v>
      </c>
      <c r="D589" s="4" t="str">
        <f t="shared" si="39"/>
        <v>00</v>
      </c>
      <c r="E589" s="14">
        <v>0</v>
      </c>
      <c r="F589">
        <f t="shared" si="37"/>
        <v>9</v>
      </c>
      <c r="G589" s="41" t="str">
        <f t="shared" si="38"/>
        <v>00</v>
      </c>
    </row>
    <row r="590" spans="1:7" x14ac:dyDescent="0.6">
      <c r="A590" t="str">
        <f t="shared" si="36"/>
        <v>20260123_0588</v>
      </c>
      <c r="B590" s="12">
        <v>46045</v>
      </c>
      <c r="C590" s="13">
        <v>588</v>
      </c>
      <c r="D590" s="4" t="str">
        <f t="shared" si="39"/>
        <v>00</v>
      </c>
      <c r="E590" s="14">
        <v>0</v>
      </c>
      <c r="F590">
        <f t="shared" si="37"/>
        <v>9</v>
      </c>
      <c r="G590" s="41" t="str">
        <f t="shared" si="38"/>
        <v>00</v>
      </c>
    </row>
    <row r="591" spans="1:7" x14ac:dyDescent="0.6">
      <c r="A591" t="str">
        <f t="shared" si="36"/>
        <v>20260123_0589</v>
      </c>
      <c r="B591" s="12">
        <v>46045</v>
      </c>
      <c r="C591" s="13">
        <v>589</v>
      </c>
      <c r="D591" s="4" t="str">
        <f t="shared" si="39"/>
        <v>14</v>
      </c>
      <c r="E591" s="14">
        <v>0</v>
      </c>
      <c r="F591">
        <f t="shared" si="37"/>
        <v>9</v>
      </c>
      <c r="G591" s="41" t="str">
        <f t="shared" si="38"/>
        <v>14</v>
      </c>
    </row>
    <row r="592" spans="1:7" x14ac:dyDescent="0.6">
      <c r="A592" t="str">
        <f t="shared" si="36"/>
        <v>20260123_0590</v>
      </c>
      <c r="B592" s="12">
        <v>46045</v>
      </c>
      <c r="C592" s="13">
        <v>590</v>
      </c>
      <c r="D592" s="4" t="str">
        <f t="shared" si="39"/>
        <v>14</v>
      </c>
      <c r="E592" s="14">
        <v>0</v>
      </c>
      <c r="F592">
        <f t="shared" si="37"/>
        <v>9</v>
      </c>
      <c r="G592" s="41" t="str">
        <f t="shared" si="38"/>
        <v>14</v>
      </c>
    </row>
    <row r="593" spans="1:7" x14ac:dyDescent="0.6">
      <c r="A593" t="str">
        <f t="shared" si="36"/>
        <v>20260123_0591</v>
      </c>
      <c r="B593" s="12">
        <v>46045</v>
      </c>
      <c r="C593" s="13">
        <v>591</v>
      </c>
      <c r="D593" s="4" t="str">
        <f t="shared" si="39"/>
        <v>14</v>
      </c>
      <c r="E593" s="14">
        <v>0</v>
      </c>
      <c r="F593">
        <f t="shared" si="37"/>
        <v>9</v>
      </c>
      <c r="G593" s="41" t="str">
        <f t="shared" si="38"/>
        <v>14</v>
      </c>
    </row>
    <row r="594" spans="1:7" x14ac:dyDescent="0.6">
      <c r="A594" t="str">
        <f t="shared" si="36"/>
        <v>20260123_0592</v>
      </c>
      <c r="B594" s="12">
        <v>46045</v>
      </c>
      <c r="C594" s="13">
        <v>592</v>
      </c>
      <c r="D594" s="4" t="str">
        <f t="shared" si="39"/>
        <v>14</v>
      </c>
      <c r="E594" s="14">
        <v>0</v>
      </c>
      <c r="F594">
        <f t="shared" si="37"/>
        <v>9</v>
      </c>
      <c r="G594" s="41" t="str">
        <f t="shared" si="38"/>
        <v>14</v>
      </c>
    </row>
    <row r="595" spans="1:7" x14ac:dyDescent="0.6">
      <c r="A595" t="str">
        <f t="shared" si="36"/>
        <v>20260123_0593</v>
      </c>
      <c r="B595" s="12">
        <v>46045</v>
      </c>
      <c r="C595" s="13">
        <v>593</v>
      </c>
      <c r="D595" s="4" t="str">
        <f t="shared" si="39"/>
        <v>14</v>
      </c>
      <c r="E595" s="14">
        <v>0</v>
      </c>
      <c r="F595">
        <f t="shared" si="37"/>
        <v>9</v>
      </c>
      <c r="G595" s="41" t="str">
        <f t="shared" si="38"/>
        <v>14</v>
      </c>
    </row>
    <row r="596" spans="1:7" x14ac:dyDescent="0.6">
      <c r="A596" t="str">
        <f t="shared" si="36"/>
        <v>20260123_0594</v>
      </c>
      <c r="B596" s="12">
        <v>46045</v>
      </c>
      <c r="C596" s="13">
        <v>594</v>
      </c>
      <c r="D596" s="4" t="str">
        <f t="shared" si="39"/>
        <v>14</v>
      </c>
      <c r="E596" s="14">
        <v>0</v>
      </c>
      <c r="F596">
        <f t="shared" si="37"/>
        <v>9</v>
      </c>
      <c r="G596" s="41" t="str">
        <f t="shared" si="38"/>
        <v>14</v>
      </c>
    </row>
    <row r="597" spans="1:7" x14ac:dyDescent="0.6">
      <c r="A597" t="str">
        <f t="shared" si="36"/>
        <v>20260123_0595</v>
      </c>
      <c r="B597" s="12">
        <v>46045</v>
      </c>
      <c r="C597" s="13">
        <v>595</v>
      </c>
      <c r="D597" s="4" t="str">
        <f t="shared" si="39"/>
        <v>14</v>
      </c>
      <c r="E597" s="14">
        <v>0</v>
      </c>
      <c r="F597">
        <f t="shared" si="37"/>
        <v>9</v>
      </c>
      <c r="G597" s="41" t="str">
        <f t="shared" si="38"/>
        <v>14</v>
      </c>
    </row>
    <row r="598" spans="1:7" x14ac:dyDescent="0.6">
      <c r="A598" t="str">
        <f t="shared" si="36"/>
        <v>20260123_0596</v>
      </c>
      <c r="B598" s="12">
        <v>46045</v>
      </c>
      <c r="C598" s="13">
        <v>596</v>
      </c>
      <c r="D598" s="4" t="str">
        <f t="shared" si="39"/>
        <v>14</v>
      </c>
      <c r="E598" s="14">
        <v>0</v>
      </c>
      <c r="F598">
        <f t="shared" si="37"/>
        <v>9</v>
      </c>
      <c r="G598" s="41" t="str">
        <f t="shared" si="38"/>
        <v>14</v>
      </c>
    </row>
    <row r="599" spans="1:7" x14ac:dyDescent="0.6">
      <c r="A599" t="str">
        <f t="shared" si="36"/>
        <v>20260123_0597</v>
      </c>
      <c r="B599" s="12">
        <v>46045</v>
      </c>
      <c r="C599" s="13">
        <v>597</v>
      </c>
      <c r="D599" s="4" t="str">
        <f t="shared" si="39"/>
        <v>14</v>
      </c>
      <c r="E599" s="14">
        <v>0</v>
      </c>
      <c r="F599">
        <f t="shared" si="37"/>
        <v>9</v>
      </c>
      <c r="G599" s="41" t="str">
        <f t="shared" si="38"/>
        <v>14</v>
      </c>
    </row>
    <row r="600" spans="1:7" x14ac:dyDescent="0.6">
      <c r="A600" t="str">
        <f t="shared" si="36"/>
        <v>20260123_0598</v>
      </c>
      <c r="B600" s="12">
        <v>46045</v>
      </c>
      <c r="C600" s="13">
        <v>598</v>
      </c>
      <c r="D600" s="4" t="str">
        <f t="shared" si="39"/>
        <v>14</v>
      </c>
      <c r="E600" s="14">
        <v>0</v>
      </c>
      <c r="F600">
        <f t="shared" si="37"/>
        <v>9</v>
      </c>
      <c r="G600" s="41" t="str">
        <f t="shared" si="38"/>
        <v>14</v>
      </c>
    </row>
    <row r="601" spans="1:7" x14ac:dyDescent="0.6">
      <c r="A601" t="str">
        <f t="shared" si="36"/>
        <v>20260123_0599</v>
      </c>
      <c r="B601" s="12">
        <v>46045</v>
      </c>
      <c r="C601" s="13">
        <v>599</v>
      </c>
      <c r="D601" s="4" t="str">
        <f t="shared" si="39"/>
        <v>14</v>
      </c>
      <c r="E601" s="14">
        <v>0</v>
      </c>
      <c r="F601">
        <f t="shared" si="37"/>
        <v>9</v>
      </c>
      <c r="G601" s="41" t="str">
        <f t="shared" si="38"/>
        <v>14</v>
      </c>
    </row>
    <row r="602" spans="1:7" x14ac:dyDescent="0.6">
      <c r="A602" t="str">
        <f t="shared" si="36"/>
        <v>20260123_0600</v>
      </c>
      <c r="B602" s="12">
        <v>46045</v>
      </c>
      <c r="C602" s="13">
        <v>600</v>
      </c>
      <c r="D602" s="4" t="str">
        <f t="shared" si="39"/>
        <v>14</v>
      </c>
      <c r="E602" s="14">
        <v>0</v>
      </c>
      <c r="F602">
        <f t="shared" si="37"/>
        <v>10</v>
      </c>
      <c r="G602" s="41" t="str">
        <f t="shared" si="38"/>
        <v>14</v>
      </c>
    </row>
    <row r="603" spans="1:7" x14ac:dyDescent="0.6">
      <c r="A603" t="str">
        <f t="shared" si="36"/>
        <v>20260123_0601</v>
      </c>
      <c r="B603" s="12">
        <v>46045</v>
      </c>
      <c r="C603" s="13">
        <v>601</v>
      </c>
      <c r="D603" s="4" t="str">
        <f t="shared" si="39"/>
        <v>1E</v>
      </c>
      <c r="E603" s="14">
        <v>0</v>
      </c>
      <c r="F603">
        <f t="shared" si="37"/>
        <v>10</v>
      </c>
      <c r="G603" s="41" t="str">
        <f t="shared" si="38"/>
        <v>1E</v>
      </c>
    </row>
    <row r="604" spans="1:7" x14ac:dyDescent="0.6">
      <c r="A604" t="str">
        <f t="shared" si="36"/>
        <v>20260123_0602</v>
      </c>
      <c r="B604" s="12">
        <v>46045</v>
      </c>
      <c r="C604" s="13">
        <v>602</v>
      </c>
      <c r="D604" s="4" t="str">
        <f t="shared" si="39"/>
        <v>00</v>
      </c>
      <c r="E604" s="14">
        <v>0</v>
      </c>
      <c r="F604">
        <f t="shared" si="37"/>
        <v>10</v>
      </c>
      <c r="G604" s="41" t="str">
        <f t="shared" si="38"/>
        <v>00</v>
      </c>
    </row>
    <row r="605" spans="1:7" x14ac:dyDescent="0.6">
      <c r="A605" t="str">
        <f t="shared" si="36"/>
        <v>20260123_0603</v>
      </c>
      <c r="B605" s="12">
        <v>46045</v>
      </c>
      <c r="C605" s="13">
        <v>603</v>
      </c>
      <c r="D605" s="4" t="str">
        <f t="shared" si="39"/>
        <v>00</v>
      </c>
      <c r="E605" s="14">
        <v>0</v>
      </c>
      <c r="F605">
        <f t="shared" si="37"/>
        <v>10</v>
      </c>
      <c r="G605" s="41" t="str">
        <f t="shared" si="38"/>
        <v>00</v>
      </c>
    </row>
    <row r="606" spans="1:7" x14ac:dyDescent="0.6">
      <c r="A606" t="str">
        <f t="shared" si="36"/>
        <v>20260123_0604</v>
      </c>
      <c r="B606" s="12">
        <v>46045</v>
      </c>
      <c r="C606" s="13">
        <v>604</v>
      </c>
      <c r="D606" s="4" t="str">
        <f t="shared" si="39"/>
        <v>00</v>
      </c>
      <c r="E606" s="14">
        <v>0</v>
      </c>
      <c r="F606">
        <f t="shared" si="37"/>
        <v>10</v>
      </c>
      <c r="G606" s="41" t="str">
        <f t="shared" si="38"/>
        <v>00</v>
      </c>
    </row>
    <row r="607" spans="1:7" x14ac:dyDescent="0.6">
      <c r="A607" t="str">
        <f t="shared" si="36"/>
        <v>20260123_0605</v>
      </c>
      <c r="B607" s="12">
        <v>46045</v>
      </c>
      <c r="C607" s="13">
        <v>605</v>
      </c>
      <c r="D607" s="4" t="str">
        <f t="shared" si="39"/>
        <v>00</v>
      </c>
      <c r="E607" s="14">
        <v>0</v>
      </c>
      <c r="F607">
        <f t="shared" si="37"/>
        <v>10</v>
      </c>
      <c r="G607" s="41" t="str">
        <f t="shared" si="38"/>
        <v>00</v>
      </c>
    </row>
    <row r="608" spans="1:7" x14ac:dyDescent="0.6">
      <c r="A608" t="str">
        <f t="shared" si="36"/>
        <v>20260123_0606</v>
      </c>
      <c r="B608" s="12">
        <v>46045</v>
      </c>
      <c r="C608" s="13">
        <v>606</v>
      </c>
      <c r="D608" s="4" t="str">
        <f t="shared" si="39"/>
        <v>00</v>
      </c>
      <c r="E608" s="14">
        <v>0</v>
      </c>
      <c r="F608">
        <f t="shared" si="37"/>
        <v>10</v>
      </c>
      <c r="G608" s="41" t="str">
        <f t="shared" si="38"/>
        <v>00</v>
      </c>
    </row>
    <row r="609" spans="1:7" x14ac:dyDescent="0.6">
      <c r="A609" t="str">
        <f t="shared" si="36"/>
        <v>20260123_0607</v>
      </c>
      <c r="B609" s="12">
        <v>46045</v>
      </c>
      <c r="C609" s="13">
        <v>607</v>
      </c>
      <c r="D609" s="4" t="str">
        <f t="shared" si="39"/>
        <v>00</v>
      </c>
      <c r="E609" s="14">
        <v>0</v>
      </c>
      <c r="F609">
        <f t="shared" si="37"/>
        <v>10</v>
      </c>
      <c r="G609" s="41" t="str">
        <f t="shared" si="38"/>
        <v>00</v>
      </c>
    </row>
    <row r="610" spans="1:7" x14ac:dyDescent="0.6">
      <c r="A610" t="str">
        <f t="shared" si="36"/>
        <v>20260123_0608</v>
      </c>
      <c r="B610" s="12">
        <v>46045</v>
      </c>
      <c r="C610" s="13">
        <v>608</v>
      </c>
      <c r="D610" s="4" t="str">
        <f t="shared" si="39"/>
        <v>00</v>
      </c>
      <c r="E610" s="14">
        <v>0</v>
      </c>
      <c r="F610">
        <f t="shared" si="37"/>
        <v>10</v>
      </c>
      <c r="G610" s="41" t="str">
        <f t="shared" si="38"/>
        <v>00</v>
      </c>
    </row>
    <row r="611" spans="1:7" x14ac:dyDescent="0.6">
      <c r="A611" t="str">
        <f t="shared" si="36"/>
        <v>20260123_0609</v>
      </c>
      <c r="B611" s="12">
        <v>46045</v>
      </c>
      <c r="C611" s="13">
        <v>609</v>
      </c>
      <c r="D611" s="4" t="str">
        <f t="shared" si="39"/>
        <v>00</v>
      </c>
      <c r="E611" s="14">
        <v>0</v>
      </c>
      <c r="F611">
        <f t="shared" si="37"/>
        <v>10</v>
      </c>
      <c r="G611" s="41" t="str">
        <f t="shared" si="38"/>
        <v>00</v>
      </c>
    </row>
    <row r="612" spans="1:7" x14ac:dyDescent="0.6">
      <c r="A612" t="str">
        <f t="shared" si="36"/>
        <v>20260123_0610</v>
      </c>
      <c r="B612" s="12">
        <v>46045</v>
      </c>
      <c r="C612" s="13">
        <v>610</v>
      </c>
      <c r="D612" s="4" t="str">
        <f t="shared" si="39"/>
        <v>00</v>
      </c>
      <c r="E612" s="14">
        <v>0</v>
      </c>
      <c r="F612">
        <f t="shared" si="37"/>
        <v>10</v>
      </c>
      <c r="G612" s="41" t="str">
        <f t="shared" si="38"/>
        <v>00</v>
      </c>
    </row>
    <row r="613" spans="1:7" x14ac:dyDescent="0.6">
      <c r="A613" t="str">
        <f t="shared" si="36"/>
        <v>20260123_0611</v>
      </c>
      <c r="B613" s="12">
        <v>46045</v>
      </c>
      <c r="C613" s="13">
        <v>611</v>
      </c>
      <c r="D613" s="4" t="str">
        <f t="shared" si="39"/>
        <v>0A</v>
      </c>
      <c r="E613" s="14">
        <v>0</v>
      </c>
      <c r="F613">
        <f t="shared" si="37"/>
        <v>10</v>
      </c>
      <c r="G613" s="41" t="str">
        <f t="shared" si="38"/>
        <v>0A</v>
      </c>
    </row>
    <row r="614" spans="1:7" x14ac:dyDescent="0.6">
      <c r="A614" t="str">
        <f t="shared" si="36"/>
        <v>20260123_0612</v>
      </c>
      <c r="B614" s="12">
        <v>46045</v>
      </c>
      <c r="C614" s="13">
        <v>612</v>
      </c>
      <c r="D614" s="4" t="str">
        <f t="shared" si="39"/>
        <v>1E</v>
      </c>
      <c r="E614" s="14">
        <v>0</v>
      </c>
      <c r="F614">
        <f t="shared" si="37"/>
        <v>10</v>
      </c>
      <c r="G614" s="41" t="str">
        <f t="shared" si="38"/>
        <v>1E</v>
      </c>
    </row>
    <row r="615" spans="1:7" x14ac:dyDescent="0.6">
      <c r="A615" t="str">
        <f t="shared" si="36"/>
        <v>20260123_0613</v>
      </c>
      <c r="B615" s="12">
        <v>46045</v>
      </c>
      <c r="C615" s="13">
        <v>613</v>
      </c>
      <c r="D615" s="4" t="str">
        <f t="shared" si="39"/>
        <v>1E</v>
      </c>
      <c r="E615" s="14">
        <v>0</v>
      </c>
      <c r="F615">
        <f t="shared" si="37"/>
        <v>10</v>
      </c>
      <c r="G615" s="41" t="str">
        <f t="shared" si="38"/>
        <v>1E</v>
      </c>
    </row>
    <row r="616" spans="1:7" x14ac:dyDescent="0.6">
      <c r="A616" t="str">
        <f t="shared" si="36"/>
        <v>20260123_0614</v>
      </c>
      <c r="B616" s="12">
        <v>46045</v>
      </c>
      <c r="C616" s="13">
        <v>614</v>
      </c>
      <c r="D616" s="4" t="str">
        <f t="shared" si="39"/>
        <v>0A</v>
      </c>
      <c r="E616" s="14">
        <v>0</v>
      </c>
      <c r="F616">
        <f t="shared" si="37"/>
        <v>10</v>
      </c>
      <c r="G616" s="41" t="str">
        <f t="shared" si="38"/>
        <v>0A</v>
      </c>
    </row>
    <row r="617" spans="1:7" x14ac:dyDescent="0.6">
      <c r="A617" t="str">
        <f t="shared" si="36"/>
        <v>20260123_0615</v>
      </c>
      <c r="B617" s="12">
        <v>46045</v>
      </c>
      <c r="C617" s="13">
        <v>615</v>
      </c>
      <c r="D617" s="4" t="str">
        <f t="shared" si="39"/>
        <v>0A</v>
      </c>
      <c r="E617" s="14">
        <v>0</v>
      </c>
      <c r="F617">
        <f t="shared" si="37"/>
        <v>10</v>
      </c>
      <c r="G617" s="41" t="str">
        <f t="shared" si="38"/>
        <v>0A</v>
      </c>
    </row>
    <row r="618" spans="1:7" x14ac:dyDescent="0.6">
      <c r="A618" t="str">
        <f t="shared" si="36"/>
        <v>20260123_0616</v>
      </c>
      <c r="B618" s="12">
        <v>46045</v>
      </c>
      <c r="C618" s="13">
        <v>616</v>
      </c>
      <c r="D618" s="4" t="str">
        <f t="shared" si="39"/>
        <v>0A</v>
      </c>
      <c r="E618" s="14">
        <v>0</v>
      </c>
      <c r="F618">
        <f t="shared" si="37"/>
        <v>10</v>
      </c>
      <c r="G618" s="41" t="str">
        <f t="shared" si="38"/>
        <v>0A</v>
      </c>
    </row>
    <row r="619" spans="1:7" x14ac:dyDescent="0.6">
      <c r="A619" t="str">
        <f t="shared" si="36"/>
        <v>20260123_0617</v>
      </c>
      <c r="B619" s="12">
        <v>46045</v>
      </c>
      <c r="C619" s="13">
        <v>617</v>
      </c>
      <c r="D619" s="4" t="str">
        <f t="shared" si="39"/>
        <v>0A</v>
      </c>
      <c r="E619" s="14">
        <v>0</v>
      </c>
      <c r="F619">
        <f t="shared" si="37"/>
        <v>10</v>
      </c>
      <c r="G619" s="41" t="str">
        <f t="shared" si="38"/>
        <v>0A</v>
      </c>
    </row>
    <row r="620" spans="1:7" x14ac:dyDescent="0.6">
      <c r="A620" t="str">
        <f t="shared" si="36"/>
        <v>20260123_0618</v>
      </c>
      <c r="B620" s="12">
        <v>46045</v>
      </c>
      <c r="C620" s="13">
        <v>618</v>
      </c>
      <c r="D620" s="4" t="str">
        <f t="shared" si="39"/>
        <v>0A</v>
      </c>
      <c r="E620" s="14">
        <v>0</v>
      </c>
      <c r="F620">
        <f t="shared" si="37"/>
        <v>10</v>
      </c>
      <c r="G620" s="41" t="str">
        <f t="shared" si="38"/>
        <v>0A</v>
      </c>
    </row>
    <row r="621" spans="1:7" x14ac:dyDescent="0.6">
      <c r="A621" t="str">
        <f t="shared" si="36"/>
        <v>20260123_0619</v>
      </c>
      <c r="B621" s="12">
        <v>46045</v>
      </c>
      <c r="C621" s="13">
        <v>619</v>
      </c>
      <c r="D621" s="4" t="str">
        <f t="shared" si="39"/>
        <v>0A</v>
      </c>
      <c r="E621" s="14">
        <v>0</v>
      </c>
      <c r="F621">
        <f t="shared" si="37"/>
        <v>10</v>
      </c>
      <c r="G621" s="41" t="str">
        <f t="shared" si="38"/>
        <v>0A</v>
      </c>
    </row>
    <row r="622" spans="1:7" x14ac:dyDescent="0.6">
      <c r="A622" t="str">
        <f t="shared" si="36"/>
        <v>20260123_0620</v>
      </c>
      <c r="B622" s="12">
        <v>46045</v>
      </c>
      <c r="C622" s="13">
        <v>620</v>
      </c>
      <c r="D622" s="4" t="str">
        <f t="shared" si="39"/>
        <v>0A</v>
      </c>
      <c r="E622" s="14">
        <v>0</v>
      </c>
      <c r="F622">
        <f t="shared" si="37"/>
        <v>10</v>
      </c>
      <c r="G622" s="41" t="str">
        <f t="shared" si="38"/>
        <v>0A</v>
      </c>
    </row>
    <row r="623" spans="1:7" x14ac:dyDescent="0.6">
      <c r="A623" t="str">
        <f t="shared" si="36"/>
        <v>20260123_0621</v>
      </c>
      <c r="B623" s="12">
        <v>46045</v>
      </c>
      <c r="C623" s="13">
        <v>621</v>
      </c>
      <c r="D623" s="4" t="str">
        <f t="shared" si="39"/>
        <v>0A</v>
      </c>
      <c r="E623" s="14">
        <v>0</v>
      </c>
      <c r="F623">
        <f t="shared" si="37"/>
        <v>10</v>
      </c>
      <c r="G623" s="41" t="str">
        <f t="shared" si="38"/>
        <v>0A</v>
      </c>
    </row>
    <row r="624" spans="1:7" x14ac:dyDescent="0.6">
      <c r="A624" t="str">
        <f t="shared" si="36"/>
        <v>20260123_0622</v>
      </c>
      <c r="B624" s="12">
        <v>46045</v>
      </c>
      <c r="C624" s="13">
        <v>622</v>
      </c>
      <c r="D624" s="4" t="str">
        <f t="shared" si="39"/>
        <v>0A</v>
      </c>
      <c r="E624" s="14">
        <v>0</v>
      </c>
      <c r="F624">
        <f t="shared" si="37"/>
        <v>10</v>
      </c>
      <c r="G624" s="41" t="str">
        <f t="shared" si="38"/>
        <v>0A</v>
      </c>
    </row>
    <row r="625" spans="1:7" x14ac:dyDescent="0.6">
      <c r="A625" t="str">
        <f t="shared" si="36"/>
        <v>20260123_0623</v>
      </c>
      <c r="B625" s="12">
        <v>46045</v>
      </c>
      <c r="C625" s="13">
        <v>623</v>
      </c>
      <c r="D625" s="4" t="str">
        <f t="shared" si="39"/>
        <v>0A</v>
      </c>
      <c r="E625" s="14">
        <v>0</v>
      </c>
      <c r="F625">
        <f t="shared" si="37"/>
        <v>10</v>
      </c>
      <c r="G625" s="41" t="str">
        <f t="shared" si="38"/>
        <v>0A</v>
      </c>
    </row>
    <row r="626" spans="1:7" x14ac:dyDescent="0.6">
      <c r="A626" t="str">
        <f t="shared" si="36"/>
        <v>20260123_0624</v>
      </c>
      <c r="B626" s="12">
        <v>46045</v>
      </c>
      <c r="C626" s="13">
        <v>624</v>
      </c>
      <c r="D626" s="4" t="str">
        <f t="shared" si="39"/>
        <v>0A</v>
      </c>
      <c r="E626" s="14">
        <v>0</v>
      </c>
      <c r="F626">
        <f t="shared" si="37"/>
        <v>10</v>
      </c>
      <c r="G626" s="41" t="str">
        <f t="shared" si="38"/>
        <v>0A</v>
      </c>
    </row>
    <row r="627" spans="1:7" x14ac:dyDescent="0.6">
      <c r="A627" t="str">
        <f t="shared" si="36"/>
        <v>20260123_0625</v>
      </c>
      <c r="B627" s="12">
        <v>46045</v>
      </c>
      <c r="C627" s="13">
        <v>625</v>
      </c>
      <c r="D627" s="4" t="str">
        <f t="shared" si="39"/>
        <v>01</v>
      </c>
      <c r="E627" s="14">
        <v>0.10603757799999999</v>
      </c>
      <c r="F627">
        <f t="shared" si="37"/>
        <v>10</v>
      </c>
      <c r="G627" s="41" t="str">
        <f t="shared" si="38"/>
        <v>01</v>
      </c>
    </row>
    <row r="628" spans="1:7" x14ac:dyDescent="0.6">
      <c r="A628" t="str">
        <f t="shared" si="36"/>
        <v>20260123_0626</v>
      </c>
      <c r="B628" s="12">
        <v>46045</v>
      </c>
      <c r="C628" s="13">
        <v>626</v>
      </c>
      <c r="D628" s="4" t="str">
        <f t="shared" si="39"/>
        <v>00</v>
      </c>
      <c r="E628" s="14">
        <v>1.932421505</v>
      </c>
      <c r="F628">
        <f t="shared" si="37"/>
        <v>10</v>
      </c>
      <c r="G628" s="41" t="str">
        <f t="shared" si="38"/>
        <v>00</v>
      </c>
    </row>
    <row r="629" spans="1:7" x14ac:dyDescent="0.6">
      <c r="A629" t="str">
        <f t="shared" si="36"/>
        <v>20260123_0627</v>
      </c>
      <c r="B629" s="12">
        <v>46045</v>
      </c>
      <c r="C629" s="13">
        <v>627</v>
      </c>
      <c r="D629" s="4" t="str">
        <f t="shared" si="39"/>
        <v>1E</v>
      </c>
      <c r="E629" s="14">
        <v>3.1300000000000002E-4</v>
      </c>
      <c r="F629">
        <f t="shared" si="37"/>
        <v>10</v>
      </c>
      <c r="G629" s="41" t="str">
        <f t="shared" si="38"/>
        <v>1E</v>
      </c>
    </row>
    <row r="630" spans="1:7" x14ac:dyDescent="0.6">
      <c r="A630" t="str">
        <f t="shared" si="36"/>
        <v>20260123_0628</v>
      </c>
      <c r="B630" s="12">
        <v>46045</v>
      </c>
      <c r="C630" s="13">
        <v>628</v>
      </c>
      <c r="D630" s="4" t="str">
        <f t="shared" si="39"/>
        <v>1E</v>
      </c>
      <c r="E630" s="14">
        <v>0</v>
      </c>
      <c r="F630">
        <f t="shared" si="37"/>
        <v>10</v>
      </c>
      <c r="G630" s="41" t="str">
        <f t="shared" si="38"/>
        <v>1E</v>
      </c>
    </row>
    <row r="631" spans="1:7" x14ac:dyDescent="0.6">
      <c r="A631" t="str">
        <f t="shared" si="36"/>
        <v>20260123_0629</v>
      </c>
      <c r="B631" s="12">
        <v>46045</v>
      </c>
      <c r="C631" s="13">
        <v>629</v>
      </c>
      <c r="D631" s="4" t="str">
        <f t="shared" si="39"/>
        <v>0A</v>
      </c>
      <c r="E631" s="14">
        <v>0</v>
      </c>
      <c r="F631">
        <f t="shared" si="37"/>
        <v>10</v>
      </c>
      <c r="G631" s="41" t="str">
        <f t="shared" si="38"/>
        <v>0A</v>
      </c>
    </row>
    <row r="632" spans="1:7" x14ac:dyDescent="0.6">
      <c r="A632" t="str">
        <f t="shared" si="36"/>
        <v>20260123_0630</v>
      </c>
      <c r="B632" s="12">
        <v>46045</v>
      </c>
      <c r="C632" s="13">
        <v>630</v>
      </c>
      <c r="D632" s="4" t="str">
        <f t="shared" si="39"/>
        <v>0A</v>
      </c>
      <c r="E632" s="14">
        <v>0</v>
      </c>
      <c r="F632">
        <f t="shared" si="37"/>
        <v>10</v>
      </c>
      <c r="G632" s="41" t="str">
        <f t="shared" si="38"/>
        <v>0A</v>
      </c>
    </row>
    <row r="633" spans="1:7" x14ac:dyDescent="0.6">
      <c r="A633" t="str">
        <f t="shared" si="36"/>
        <v>20260123_0631</v>
      </c>
      <c r="B633" s="12">
        <v>46045</v>
      </c>
      <c r="C633" s="13">
        <v>631</v>
      </c>
      <c r="D633" s="4" t="str">
        <f t="shared" si="39"/>
        <v>0A</v>
      </c>
      <c r="E633" s="14">
        <v>6.8599999999999998E-4</v>
      </c>
      <c r="F633">
        <f t="shared" si="37"/>
        <v>10</v>
      </c>
      <c r="G633" s="41" t="str">
        <f t="shared" si="38"/>
        <v>0A</v>
      </c>
    </row>
    <row r="634" spans="1:7" x14ac:dyDescent="0.6">
      <c r="A634" t="str">
        <f t="shared" si="36"/>
        <v>20260123_0632</v>
      </c>
      <c r="B634" s="12">
        <v>46045</v>
      </c>
      <c r="C634" s="13">
        <v>632</v>
      </c>
      <c r="D634" s="4" t="str">
        <f t="shared" si="39"/>
        <v>0A</v>
      </c>
      <c r="E634" s="14">
        <v>5.0100000000000003E-4</v>
      </c>
      <c r="F634">
        <f t="shared" si="37"/>
        <v>10</v>
      </c>
      <c r="G634" s="41" t="str">
        <f t="shared" si="38"/>
        <v>0A</v>
      </c>
    </row>
    <row r="635" spans="1:7" x14ac:dyDescent="0.6">
      <c r="A635" t="str">
        <f t="shared" si="36"/>
        <v>20260123_0633</v>
      </c>
      <c r="B635" s="12">
        <v>46045</v>
      </c>
      <c r="C635" s="13">
        <v>633</v>
      </c>
      <c r="D635" s="4" t="str">
        <f t="shared" si="39"/>
        <v>0A</v>
      </c>
      <c r="E635" s="14">
        <v>0</v>
      </c>
      <c r="F635">
        <f t="shared" si="37"/>
        <v>10</v>
      </c>
      <c r="G635" s="41" t="str">
        <f t="shared" si="38"/>
        <v>0A</v>
      </c>
    </row>
    <row r="636" spans="1:7" x14ac:dyDescent="0.6">
      <c r="A636" t="str">
        <f t="shared" si="36"/>
        <v>20260123_0634</v>
      </c>
      <c r="B636" s="12">
        <v>46045</v>
      </c>
      <c r="C636" s="13">
        <v>634</v>
      </c>
      <c r="D636" s="4" t="str">
        <f t="shared" si="39"/>
        <v>0A</v>
      </c>
      <c r="E636" s="14">
        <v>0</v>
      </c>
      <c r="F636">
        <f t="shared" si="37"/>
        <v>10</v>
      </c>
      <c r="G636" s="41" t="str">
        <f t="shared" si="38"/>
        <v>0A</v>
      </c>
    </row>
    <row r="637" spans="1:7" x14ac:dyDescent="0.6">
      <c r="A637" t="str">
        <f t="shared" si="36"/>
        <v>20260123_0635</v>
      </c>
      <c r="B637" s="12">
        <v>46045</v>
      </c>
      <c r="C637" s="13">
        <v>635</v>
      </c>
      <c r="D637" s="4" t="str">
        <f t="shared" si="39"/>
        <v>FE</v>
      </c>
      <c r="E637" s="14">
        <v>0</v>
      </c>
      <c r="F637">
        <f t="shared" si="37"/>
        <v>10</v>
      </c>
      <c r="G637" s="41" t="str">
        <f t="shared" si="38"/>
        <v>FE</v>
      </c>
    </row>
    <row r="638" spans="1:7" x14ac:dyDescent="0.6">
      <c r="A638" t="str">
        <f t="shared" si="36"/>
        <v>20260123_0636</v>
      </c>
      <c r="B638" s="12">
        <v>46045</v>
      </c>
      <c r="C638" s="13">
        <v>636</v>
      </c>
      <c r="D638" s="4" t="str">
        <f t="shared" si="39"/>
        <v>FE</v>
      </c>
      <c r="E638" s="14">
        <v>4.35E-4</v>
      </c>
      <c r="F638">
        <f t="shared" si="37"/>
        <v>10</v>
      </c>
      <c r="G638" s="41" t="str">
        <f t="shared" si="38"/>
        <v>FE</v>
      </c>
    </row>
    <row r="639" spans="1:7" x14ac:dyDescent="0.6">
      <c r="A639" t="str">
        <f t="shared" si="36"/>
        <v>20260123_0637</v>
      </c>
      <c r="B639" s="12">
        <v>46045</v>
      </c>
      <c r="C639" s="13">
        <v>637</v>
      </c>
      <c r="D639" s="4" t="str">
        <f t="shared" si="39"/>
        <v>FE</v>
      </c>
      <c r="E639" s="14">
        <v>7.9000000000000001E-4</v>
      </c>
      <c r="F639">
        <f t="shared" si="37"/>
        <v>10</v>
      </c>
      <c r="G639" s="41" t="str">
        <f t="shared" si="38"/>
        <v>FE</v>
      </c>
    </row>
    <row r="640" spans="1:7" x14ac:dyDescent="0.6">
      <c r="A640" t="str">
        <f t="shared" si="36"/>
        <v>20260123_0638</v>
      </c>
      <c r="B640" s="12">
        <v>46045</v>
      </c>
      <c r="C640" s="13">
        <v>638</v>
      </c>
      <c r="D640" s="4" t="str">
        <f t="shared" si="39"/>
        <v>FE</v>
      </c>
      <c r="E640" s="14">
        <v>3.4699999999999998E-4</v>
      </c>
      <c r="F640">
        <f t="shared" si="37"/>
        <v>10</v>
      </c>
      <c r="G640" s="41" t="str">
        <f t="shared" si="38"/>
        <v>FE</v>
      </c>
    </row>
    <row r="641" spans="1:7" x14ac:dyDescent="0.6">
      <c r="A641" t="str">
        <f t="shared" si="36"/>
        <v>20260123_0639</v>
      </c>
      <c r="B641" s="12">
        <v>46045</v>
      </c>
      <c r="C641" s="13">
        <v>639</v>
      </c>
      <c r="D641" s="4" t="str">
        <f t="shared" si="39"/>
        <v>FE</v>
      </c>
      <c r="E641" s="14">
        <v>0</v>
      </c>
      <c r="F641">
        <f t="shared" si="37"/>
        <v>10</v>
      </c>
      <c r="G641" s="41" t="str">
        <f t="shared" si="38"/>
        <v>FE</v>
      </c>
    </row>
    <row r="642" spans="1:7" x14ac:dyDescent="0.6">
      <c r="A642" t="str">
        <f t="shared" ref="A642:A705" si="40">IF(B642="","",TEXT(B642,"yyyymmdd")&amp;"_"&amp;TEXT(C642,"0000"))</f>
        <v>20260123_0640</v>
      </c>
      <c r="B642" s="12">
        <v>46045</v>
      </c>
      <c r="C642" s="13">
        <v>640</v>
      </c>
      <c r="D642" s="4" t="str">
        <f t="shared" si="39"/>
        <v>FE</v>
      </c>
      <c r="E642" s="14">
        <v>0</v>
      </c>
      <c r="F642">
        <f t="shared" ref="F642:F705" si="41">IF(C642="","",INT(C642/60))</f>
        <v>10</v>
      </c>
      <c r="G642" s="41" t="str">
        <f t="shared" ref="G642:G705" si="42">IF(D642="","",IF(LEN(UPPER(SUBSTITUTE(SUBSTITUTE(TRIM(D642),CHAR(160),"")," ","")))=1,"0"&amp;UPPER(SUBSTITUTE(SUBSTITUTE(TRIM(D642),CHAR(160),"")," ","")),UPPER(SUBSTITUTE(SUBSTITUTE(TRIM(D642),CHAR(160),"")," ",""))))</f>
        <v>FE</v>
      </c>
    </row>
    <row r="643" spans="1:7" x14ac:dyDescent="0.6">
      <c r="A643" t="str">
        <f t="shared" si="40"/>
        <v>20260123_0641</v>
      </c>
      <c r="B643" s="12">
        <v>46045</v>
      </c>
      <c r="C643" s="13">
        <v>641</v>
      </c>
      <c r="D643" s="4" t="str">
        <f t="shared" ref="D643:D706" si="43">MID(I$1,$C643*2+1,2)</f>
        <v>FE</v>
      </c>
      <c r="E643" s="14">
        <v>0</v>
      </c>
      <c r="F643">
        <f t="shared" si="41"/>
        <v>10</v>
      </c>
      <c r="G643" s="41" t="str">
        <f t="shared" si="42"/>
        <v>FE</v>
      </c>
    </row>
    <row r="644" spans="1:7" x14ac:dyDescent="0.6">
      <c r="A644" t="str">
        <f t="shared" si="40"/>
        <v>20260123_0642</v>
      </c>
      <c r="B644" s="12">
        <v>46045</v>
      </c>
      <c r="C644" s="13">
        <v>642</v>
      </c>
      <c r="D644" s="4" t="str">
        <f t="shared" si="43"/>
        <v>FE</v>
      </c>
      <c r="E644" s="14">
        <v>3.4600000000000001E-4</v>
      </c>
      <c r="F644">
        <f t="shared" si="41"/>
        <v>10</v>
      </c>
      <c r="G644" s="41" t="str">
        <f t="shared" si="42"/>
        <v>FE</v>
      </c>
    </row>
    <row r="645" spans="1:7" x14ac:dyDescent="0.6">
      <c r="A645" t="str">
        <f t="shared" si="40"/>
        <v>20260123_0643</v>
      </c>
      <c r="B645" s="12">
        <v>46045</v>
      </c>
      <c r="C645" s="13">
        <v>643</v>
      </c>
      <c r="D645" s="4" t="str">
        <f t="shared" si="43"/>
        <v>FE</v>
      </c>
      <c r="E645" s="14">
        <v>0</v>
      </c>
      <c r="F645">
        <f t="shared" si="41"/>
        <v>10</v>
      </c>
      <c r="G645" s="41" t="str">
        <f t="shared" si="42"/>
        <v>FE</v>
      </c>
    </row>
    <row r="646" spans="1:7" x14ac:dyDescent="0.6">
      <c r="A646" t="str">
        <f t="shared" si="40"/>
        <v>20260123_0644</v>
      </c>
      <c r="B646" s="12">
        <v>46045</v>
      </c>
      <c r="C646" s="13">
        <v>644</v>
      </c>
      <c r="D646" s="4" t="str">
        <f t="shared" si="43"/>
        <v>FE</v>
      </c>
      <c r="E646" s="14">
        <v>0</v>
      </c>
      <c r="F646">
        <f t="shared" si="41"/>
        <v>10</v>
      </c>
      <c r="G646" s="41" t="str">
        <f t="shared" si="42"/>
        <v>FE</v>
      </c>
    </row>
    <row r="647" spans="1:7" x14ac:dyDescent="0.6">
      <c r="A647" t="str">
        <f t="shared" si="40"/>
        <v>20260123_0645</v>
      </c>
      <c r="B647" s="12">
        <v>46045</v>
      </c>
      <c r="C647" s="13">
        <v>645</v>
      </c>
      <c r="D647" s="4" t="str">
        <f t="shared" si="43"/>
        <v>FE</v>
      </c>
      <c r="E647" s="14">
        <v>0</v>
      </c>
      <c r="F647">
        <f t="shared" si="41"/>
        <v>10</v>
      </c>
      <c r="G647" s="41" t="str">
        <f t="shared" si="42"/>
        <v>FE</v>
      </c>
    </row>
    <row r="648" spans="1:7" x14ac:dyDescent="0.6">
      <c r="A648" t="str">
        <f t="shared" si="40"/>
        <v>20260123_0646</v>
      </c>
      <c r="B648" s="12">
        <v>46045</v>
      </c>
      <c r="C648" s="13">
        <v>646</v>
      </c>
      <c r="D648" s="4" t="str">
        <f t="shared" si="43"/>
        <v>FE</v>
      </c>
      <c r="E648" s="14">
        <v>0</v>
      </c>
      <c r="F648">
        <f t="shared" si="41"/>
        <v>10</v>
      </c>
      <c r="G648" s="41" t="str">
        <f t="shared" si="42"/>
        <v>FE</v>
      </c>
    </row>
    <row r="649" spans="1:7" x14ac:dyDescent="0.6">
      <c r="A649" t="str">
        <f t="shared" si="40"/>
        <v>20260123_0647</v>
      </c>
      <c r="B649" s="12">
        <v>46045</v>
      </c>
      <c r="C649" s="13">
        <v>647</v>
      </c>
      <c r="D649" s="4" t="str">
        <f t="shared" si="43"/>
        <v>FE</v>
      </c>
      <c r="E649" s="14">
        <v>0</v>
      </c>
      <c r="F649">
        <f t="shared" si="41"/>
        <v>10</v>
      </c>
      <c r="G649" s="41" t="str">
        <f t="shared" si="42"/>
        <v>FE</v>
      </c>
    </row>
    <row r="650" spans="1:7" x14ac:dyDescent="0.6">
      <c r="A650" t="str">
        <f t="shared" si="40"/>
        <v>20260123_0648</v>
      </c>
      <c r="B650" s="12">
        <v>46045</v>
      </c>
      <c r="C650" s="13">
        <v>648</v>
      </c>
      <c r="D650" s="4" t="str">
        <f t="shared" si="43"/>
        <v>FE</v>
      </c>
      <c r="E650" s="14">
        <v>0</v>
      </c>
      <c r="F650">
        <f t="shared" si="41"/>
        <v>10</v>
      </c>
      <c r="G650" s="41" t="str">
        <f t="shared" si="42"/>
        <v>FE</v>
      </c>
    </row>
    <row r="651" spans="1:7" x14ac:dyDescent="0.6">
      <c r="A651" t="str">
        <f t="shared" si="40"/>
        <v>20260123_0649</v>
      </c>
      <c r="B651" s="12">
        <v>46045</v>
      </c>
      <c r="C651" s="13">
        <v>649</v>
      </c>
      <c r="D651" s="4" t="str">
        <f t="shared" si="43"/>
        <v>FE</v>
      </c>
      <c r="E651" s="14">
        <v>0</v>
      </c>
      <c r="F651">
        <f t="shared" si="41"/>
        <v>10</v>
      </c>
      <c r="G651" s="41" t="str">
        <f t="shared" si="42"/>
        <v>FE</v>
      </c>
    </row>
    <row r="652" spans="1:7" x14ac:dyDescent="0.6">
      <c r="A652" t="str">
        <f t="shared" si="40"/>
        <v>20260123_0650</v>
      </c>
      <c r="B652" s="12">
        <v>46045</v>
      </c>
      <c r="C652" s="13">
        <v>650</v>
      </c>
      <c r="D652" s="4" t="str">
        <f t="shared" si="43"/>
        <v>FE</v>
      </c>
      <c r="E652" s="14">
        <v>0</v>
      </c>
      <c r="F652">
        <f t="shared" si="41"/>
        <v>10</v>
      </c>
      <c r="G652" s="41" t="str">
        <f t="shared" si="42"/>
        <v>FE</v>
      </c>
    </row>
    <row r="653" spans="1:7" x14ac:dyDescent="0.6">
      <c r="A653" t="str">
        <f t="shared" si="40"/>
        <v>20260123_0651</v>
      </c>
      <c r="B653" s="12">
        <v>46045</v>
      </c>
      <c r="C653" s="13">
        <v>651</v>
      </c>
      <c r="D653" s="4" t="str">
        <f t="shared" si="43"/>
        <v>FE</v>
      </c>
      <c r="E653" s="14">
        <v>0</v>
      </c>
      <c r="F653">
        <f t="shared" si="41"/>
        <v>10</v>
      </c>
      <c r="G653" s="41" t="str">
        <f t="shared" si="42"/>
        <v>FE</v>
      </c>
    </row>
    <row r="654" spans="1:7" x14ac:dyDescent="0.6">
      <c r="A654" t="str">
        <f t="shared" si="40"/>
        <v>20260123_0652</v>
      </c>
      <c r="B654" s="12">
        <v>46045</v>
      </c>
      <c r="C654" s="13">
        <v>652</v>
      </c>
      <c r="D654" s="4" t="str">
        <f t="shared" si="43"/>
        <v>FE</v>
      </c>
      <c r="E654" s="14">
        <v>2.8600000000000001E-4</v>
      </c>
      <c r="F654">
        <f t="shared" si="41"/>
        <v>10</v>
      </c>
      <c r="G654" s="41" t="str">
        <f t="shared" si="42"/>
        <v>FE</v>
      </c>
    </row>
    <row r="655" spans="1:7" x14ac:dyDescent="0.6">
      <c r="A655" t="str">
        <f t="shared" si="40"/>
        <v>20260123_0653</v>
      </c>
      <c r="B655" s="12">
        <v>46045</v>
      </c>
      <c r="C655" s="13">
        <v>653</v>
      </c>
      <c r="D655" s="4" t="str">
        <f t="shared" si="43"/>
        <v>FE</v>
      </c>
      <c r="E655" s="14">
        <v>0</v>
      </c>
      <c r="F655">
        <f t="shared" si="41"/>
        <v>10</v>
      </c>
      <c r="G655" s="41" t="str">
        <f t="shared" si="42"/>
        <v>FE</v>
      </c>
    </row>
    <row r="656" spans="1:7" x14ac:dyDescent="0.6">
      <c r="A656" t="str">
        <f t="shared" si="40"/>
        <v>20260123_0654</v>
      </c>
      <c r="B656" s="12">
        <v>46045</v>
      </c>
      <c r="C656" s="13">
        <v>654</v>
      </c>
      <c r="D656" s="4" t="str">
        <f t="shared" si="43"/>
        <v>FE</v>
      </c>
      <c r="E656" s="14">
        <v>7.9799999999999999E-4</v>
      </c>
      <c r="F656">
        <f t="shared" si="41"/>
        <v>10</v>
      </c>
      <c r="G656" s="41" t="str">
        <f t="shared" si="42"/>
        <v>FE</v>
      </c>
    </row>
    <row r="657" spans="1:7" x14ac:dyDescent="0.6">
      <c r="A657" t="str">
        <f t="shared" si="40"/>
        <v>20260123_0655</v>
      </c>
      <c r="B657" s="12">
        <v>46045</v>
      </c>
      <c r="C657" s="13">
        <v>655</v>
      </c>
      <c r="D657" s="4" t="str">
        <f t="shared" si="43"/>
        <v>FE</v>
      </c>
      <c r="E657" s="14">
        <v>0</v>
      </c>
      <c r="F657">
        <f t="shared" si="41"/>
        <v>10</v>
      </c>
      <c r="G657" s="41" t="str">
        <f t="shared" si="42"/>
        <v>FE</v>
      </c>
    </row>
    <row r="658" spans="1:7" x14ac:dyDescent="0.6">
      <c r="A658" t="str">
        <f t="shared" si="40"/>
        <v>20260123_0656</v>
      </c>
      <c r="B658" s="12">
        <v>46045</v>
      </c>
      <c r="C658" s="13">
        <v>656</v>
      </c>
      <c r="D658" s="4" t="str">
        <f t="shared" si="43"/>
        <v>FE</v>
      </c>
      <c r="E658" s="14">
        <v>5.5800000000000001E-4</v>
      </c>
      <c r="F658">
        <f t="shared" si="41"/>
        <v>10</v>
      </c>
      <c r="G658" s="41" t="str">
        <f t="shared" si="42"/>
        <v>FE</v>
      </c>
    </row>
    <row r="659" spans="1:7" x14ac:dyDescent="0.6">
      <c r="A659" t="str">
        <f t="shared" si="40"/>
        <v>20260123_0657</v>
      </c>
      <c r="B659" s="12">
        <v>46045</v>
      </c>
      <c r="C659" s="13">
        <v>657</v>
      </c>
      <c r="D659" s="4" t="str">
        <f t="shared" si="43"/>
        <v>FE</v>
      </c>
      <c r="E659" s="14">
        <v>1.85E-4</v>
      </c>
      <c r="F659">
        <f t="shared" si="41"/>
        <v>10</v>
      </c>
      <c r="G659" s="41" t="str">
        <f t="shared" si="42"/>
        <v>FE</v>
      </c>
    </row>
    <row r="660" spans="1:7" x14ac:dyDescent="0.6">
      <c r="A660" t="str">
        <f t="shared" si="40"/>
        <v>20260123_0658</v>
      </c>
      <c r="B660" s="12">
        <v>46045</v>
      </c>
      <c r="C660" s="13">
        <v>658</v>
      </c>
      <c r="D660" s="4" t="str">
        <f t="shared" si="43"/>
        <v>FE</v>
      </c>
      <c r="E660" s="14">
        <v>0</v>
      </c>
      <c r="F660">
        <f t="shared" si="41"/>
        <v>10</v>
      </c>
      <c r="G660" s="41" t="str">
        <f t="shared" si="42"/>
        <v>FE</v>
      </c>
    </row>
    <row r="661" spans="1:7" x14ac:dyDescent="0.6">
      <c r="A661" t="str">
        <f t="shared" si="40"/>
        <v>20260123_0659</v>
      </c>
      <c r="B661" s="12">
        <v>46045</v>
      </c>
      <c r="C661" s="13">
        <v>659</v>
      </c>
      <c r="D661" s="4" t="str">
        <f t="shared" si="43"/>
        <v>FE</v>
      </c>
      <c r="E661" s="14">
        <v>0</v>
      </c>
      <c r="F661">
        <f t="shared" si="41"/>
        <v>10</v>
      </c>
      <c r="G661" s="41" t="str">
        <f t="shared" si="42"/>
        <v>FE</v>
      </c>
    </row>
    <row r="662" spans="1:7" x14ac:dyDescent="0.6">
      <c r="A662" t="str">
        <f t="shared" si="40"/>
        <v>20260123_0660</v>
      </c>
      <c r="B662" s="12">
        <v>46045</v>
      </c>
      <c r="C662" s="13">
        <v>660</v>
      </c>
      <c r="D662" s="4" t="str">
        <f t="shared" si="43"/>
        <v>FE</v>
      </c>
      <c r="E662" s="14">
        <v>0</v>
      </c>
      <c r="F662">
        <f t="shared" si="41"/>
        <v>11</v>
      </c>
      <c r="G662" s="41" t="str">
        <f t="shared" si="42"/>
        <v>FE</v>
      </c>
    </row>
    <row r="663" spans="1:7" x14ac:dyDescent="0.6">
      <c r="A663" t="str">
        <f t="shared" si="40"/>
        <v>20260123_0661</v>
      </c>
      <c r="B663" s="12">
        <v>46045</v>
      </c>
      <c r="C663" s="13">
        <v>661</v>
      </c>
      <c r="D663" s="4" t="str">
        <f t="shared" si="43"/>
        <v>FE</v>
      </c>
      <c r="E663" s="14">
        <v>0</v>
      </c>
      <c r="F663">
        <f t="shared" si="41"/>
        <v>11</v>
      </c>
      <c r="G663" s="41" t="str">
        <f t="shared" si="42"/>
        <v>FE</v>
      </c>
    </row>
    <row r="664" spans="1:7" x14ac:dyDescent="0.6">
      <c r="A664" t="str">
        <f t="shared" si="40"/>
        <v>20260123_0662</v>
      </c>
      <c r="B664" s="12">
        <v>46045</v>
      </c>
      <c r="C664" s="13">
        <v>662</v>
      </c>
      <c r="D664" s="4" t="str">
        <f t="shared" si="43"/>
        <v>FE</v>
      </c>
      <c r="E664" s="14">
        <v>0</v>
      </c>
      <c r="F664">
        <f t="shared" si="41"/>
        <v>11</v>
      </c>
      <c r="G664" s="41" t="str">
        <f t="shared" si="42"/>
        <v>FE</v>
      </c>
    </row>
    <row r="665" spans="1:7" x14ac:dyDescent="0.6">
      <c r="A665" t="str">
        <f t="shared" si="40"/>
        <v>20260123_0663</v>
      </c>
      <c r="B665" s="12">
        <v>46045</v>
      </c>
      <c r="C665" s="13">
        <v>663</v>
      </c>
      <c r="D665" s="4" t="str">
        <f t="shared" si="43"/>
        <v>FE</v>
      </c>
      <c r="E665" s="14">
        <v>0</v>
      </c>
      <c r="F665">
        <f t="shared" si="41"/>
        <v>11</v>
      </c>
      <c r="G665" s="41" t="str">
        <f t="shared" si="42"/>
        <v>FE</v>
      </c>
    </row>
    <row r="666" spans="1:7" x14ac:dyDescent="0.6">
      <c r="A666" t="str">
        <f t="shared" si="40"/>
        <v>20260123_0664</v>
      </c>
      <c r="B666" s="12">
        <v>46045</v>
      </c>
      <c r="C666" s="13">
        <v>664</v>
      </c>
      <c r="D666" s="4" t="str">
        <f t="shared" si="43"/>
        <v>FE</v>
      </c>
      <c r="E666" s="14">
        <v>0</v>
      </c>
      <c r="F666">
        <f t="shared" si="41"/>
        <v>11</v>
      </c>
      <c r="G666" s="41" t="str">
        <f t="shared" si="42"/>
        <v>FE</v>
      </c>
    </row>
    <row r="667" spans="1:7" x14ac:dyDescent="0.6">
      <c r="A667" t="str">
        <f t="shared" si="40"/>
        <v>20260123_0665</v>
      </c>
      <c r="B667" s="12">
        <v>46045</v>
      </c>
      <c r="C667" s="13">
        <v>665</v>
      </c>
      <c r="D667" s="4" t="str">
        <f t="shared" si="43"/>
        <v>FE</v>
      </c>
      <c r="E667" s="14">
        <v>0</v>
      </c>
      <c r="F667">
        <f t="shared" si="41"/>
        <v>11</v>
      </c>
      <c r="G667" s="41" t="str">
        <f t="shared" si="42"/>
        <v>FE</v>
      </c>
    </row>
    <row r="668" spans="1:7" x14ac:dyDescent="0.6">
      <c r="A668" t="str">
        <f t="shared" si="40"/>
        <v>20260123_0666</v>
      </c>
      <c r="B668" s="12">
        <v>46045</v>
      </c>
      <c r="C668" s="13">
        <v>666</v>
      </c>
      <c r="D668" s="4" t="str">
        <f t="shared" si="43"/>
        <v>FE</v>
      </c>
      <c r="E668" s="14">
        <v>0</v>
      </c>
      <c r="F668">
        <f t="shared" si="41"/>
        <v>11</v>
      </c>
      <c r="G668" s="41" t="str">
        <f t="shared" si="42"/>
        <v>FE</v>
      </c>
    </row>
    <row r="669" spans="1:7" x14ac:dyDescent="0.6">
      <c r="A669" t="str">
        <f t="shared" si="40"/>
        <v>20260123_0667</v>
      </c>
      <c r="B669" s="12">
        <v>46045</v>
      </c>
      <c r="C669" s="13">
        <v>667</v>
      </c>
      <c r="D669" s="4" t="str">
        <f t="shared" si="43"/>
        <v>FE</v>
      </c>
      <c r="E669" s="14">
        <v>0</v>
      </c>
      <c r="F669">
        <f t="shared" si="41"/>
        <v>11</v>
      </c>
      <c r="G669" s="41" t="str">
        <f t="shared" si="42"/>
        <v>FE</v>
      </c>
    </row>
    <row r="670" spans="1:7" x14ac:dyDescent="0.6">
      <c r="A670" t="str">
        <f t="shared" si="40"/>
        <v>20260123_0668</v>
      </c>
      <c r="B670" s="12">
        <v>46045</v>
      </c>
      <c r="C670" s="13">
        <v>668</v>
      </c>
      <c r="D670" s="4" t="str">
        <f t="shared" si="43"/>
        <v>FE</v>
      </c>
      <c r="E670" s="14">
        <v>0</v>
      </c>
      <c r="F670">
        <f t="shared" si="41"/>
        <v>11</v>
      </c>
      <c r="G670" s="41" t="str">
        <f t="shared" si="42"/>
        <v>FE</v>
      </c>
    </row>
    <row r="671" spans="1:7" x14ac:dyDescent="0.6">
      <c r="A671" t="str">
        <f t="shared" si="40"/>
        <v>20260123_0669</v>
      </c>
      <c r="B671" s="12">
        <v>46045</v>
      </c>
      <c r="C671" s="13">
        <v>669</v>
      </c>
      <c r="D671" s="4" t="str">
        <f t="shared" si="43"/>
        <v>FE</v>
      </c>
      <c r="E671" s="14">
        <v>5.3899999999999998E-4</v>
      </c>
      <c r="F671">
        <f t="shared" si="41"/>
        <v>11</v>
      </c>
      <c r="G671" s="41" t="str">
        <f t="shared" si="42"/>
        <v>FE</v>
      </c>
    </row>
    <row r="672" spans="1:7" x14ac:dyDescent="0.6">
      <c r="A672" t="str">
        <f t="shared" si="40"/>
        <v>20260123_0670</v>
      </c>
      <c r="B672" s="12">
        <v>46045</v>
      </c>
      <c r="C672" s="13">
        <v>670</v>
      </c>
      <c r="D672" s="4" t="str">
        <f t="shared" si="43"/>
        <v>FE</v>
      </c>
      <c r="E672" s="14">
        <v>0</v>
      </c>
      <c r="F672">
        <f t="shared" si="41"/>
        <v>11</v>
      </c>
      <c r="G672" s="41" t="str">
        <f t="shared" si="42"/>
        <v>FE</v>
      </c>
    </row>
    <row r="673" spans="1:7" x14ac:dyDescent="0.6">
      <c r="A673" t="str">
        <f t="shared" si="40"/>
        <v>20260123_0671</v>
      </c>
      <c r="B673" s="12">
        <v>46045</v>
      </c>
      <c r="C673" s="13">
        <v>671</v>
      </c>
      <c r="D673" s="4" t="str">
        <f t="shared" si="43"/>
        <v>FE</v>
      </c>
      <c r="E673" s="14">
        <v>0</v>
      </c>
      <c r="F673">
        <f t="shared" si="41"/>
        <v>11</v>
      </c>
      <c r="G673" s="41" t="str">
        <f t="shared" si="42"/>
        <v>FE</v>
      </c>
    </row>
    <row r="674" spans="1:7" x14ac:dyDescent="0.6">
      <c r="A674" t="str">
        <f t="shared" si="40"/>
        <v>20260123_0672</v>
      </c>
      <c r="B674" s="12">
        <v>46045</v>
      </c>
      <c r="C674" s="13">
        <v>672</v>
      </c>
      <c r="D674" s="4" t="str">
        <f t="shared" si="43"/>
        <v>FE</v>
      </c>
      <c r="E674" s="14">
        <v>4.2499999999999998E-4</v>
      </c>
      <c r="F674">
        <f t="shared" si="41"/>
        <v>11</v>
      </c>
      <c r="G674" s="41" t="str">
        <f t="shared" si="42"/>
        <v>FE</v>
      </c>
    </row>
    <row r="675" spans="1:7" x14ac:dyDescent="0.6">
      <c r="A675" t="str">
        <f t="shared" si="40"/>
        <v>20260123_0673</v>
      </c>
      <c r="B675" s="12">
        <v>46045</v>
      </c>
      <c r="C675" s="13">
        <v>673</v>
      </c>
      <c r="D675" s="4" t="str">
        <f t="shared" si="43"/>
        <v>FE</v>
      </c>
      <c r="E675" s="14">
        <v>4.5600000000000003E-4</v>
      </c>
      <c r="F675">
        <f t="shared" si="41"/>
        <v>11</v>
      </c>
      <c r="G675" s="41" t="str">
        <f t="shared" si="42"/>
        <v>FE</v>
      </c>
    </row>
    <row r="676" spans="1:7" x14ac:dyDescent="0.6">
      <c r="A676" t="str">
        <f t="shared" si="40"/>
        <v>20260123_0674</v>
      </c>
      <c r="B676" s="12">
        <v>46045</v>
      </c>
      <c r="C676" s="13">
        <v>674</v>
      </c>
      <c r="D676" s="4" t="str">
        <f t="shared" si="43"/>
        <v>FE</v>
      </c>
      <c r="E676" s="14">
        <v>3.8900000000000002E-4</v>
      </c>
      <c r="F676">
        <f t="shared" si="41"/>
        <v>11</v>
      </c>
      <c r="G676" s="41" t="str">
        <f t="shared" si="42"/>
        <v>FE</v>
      </c>
    </row>
    <row r="677" spans="1:7" x14ac:dyDescent="0.6">
      <c r="A677" t="str">
        <f t="shared" si="40"/>
        <v>20260123_0675</v>
      </c>
      <c r="B677" s="12">
        <v>46045</v>
      </c>
      <c r="C677" s="13">
        <v>675</v>
      </c>
      <c r="D677" s="4" t="str">
        <f t="shared" si="43"/>
        <v>FE</v>
      </c>
      <c r="E677" s="14">
        <v>3.6499999999999998E-4</v>
      </c>
      <c r="F677">
        <f t="shared" si="41"/>
        <v>11</v>
      </c>
      <c r="G677" s="41" t="str">
        <f t="shared" si="42"/>
        <v>FE</v>
      </c>
    </row>
    <row r="678" spans="1:7" x14ac:dyDescent="0.6">
      <c r="A678" t="str">
        <f t="shared" si="40"/>
        <v>20260123_0676</v>
      </c>
      <c r="B678" s="12">
        <v>46045</v>
      </c>
      <c r="C678" s="13">
        <v>676</v>
      </c>
      <c r="D678" s="4" t="str">
        <f t="shared" si="43"/>
        <v>FE</v>
      </c>
      <c r="E678" s="14">
        <v>3.0699999999999998E-4</v>
      </c>
      <c r="F678">
        <f t="shared" si="41"/>
        <v>11</v>
      </c>
      <c r="G678" s="41" t="str">
        <f t="shared" si="42"/>
        <v>FE</v>
      </c>
    </row>
    <row r="679" spans="1:7" x14ac:dyDescent="0.6">
      <c r="A679" t="str">
        <f t="shared" si="40"/>
        <v>20260123_0677</v>
      </c>
      <c r="B679" s="12">
        <v>46045</v>
      </c>
      <c r="C679" s="13">
        <v>677</v>
      </c>
      <c r="D679" s="4" t="str">
        <f t="shared" si="43"/>
        <v>FE</v>
      </c>
      <c r="E679" s="14">
        <v>0</v>
      </c>
      <c r="F679">
        <f t="shared" si="41"/>
        <v>11</v>
      </c>
      <c r="G679" s="41" t="str">
        <f t="shared" si="42"/>
        <v>FE</v>
      </c>
    </row>
    <row r="680" spans="1:7" x14ac:dyDescent="0.6">
      <c r="A680" t="str">
        <f t="shared" si="40"/>
        <v>20260123_0678</v>
      </c>
      <c r="B680" s="12">
        <v>46045</v>
      </c>
      <c r="C680" s="13">
        <v>678</v>
      </c>
      <c r="D680" s="4" t="str">
        <f t="shared" si="43"/>
        <v>FE</v>
      </c>
      <c r="E680" s="14">
        <v>5.7399999999999997E-4</v>
      </c>
      <c r="F680">
        <f t="shared" si="41"/>
        <v>11</v>
      </c>
      <c r="G680" s="41" t="str">
        <f t="shared" si="42"/>
        <v>FE</v>
      </c>
    </row>
    <row r="681" spans="1:7" x14ac:dyDescent="0.6">
      <c r="A681" t="str">
        <f t="shared" si="40"/>
        <v>20260123_0679</v>
      </c>
      <c r="B681" s="12">
        <v>46045</v>
      </c>
      <c r="C681" s="13">
        <v>679</v>
      </c>
      <c r="D681" s="4" t="str">
        <f t="shared" si="43"/>
        <v>FE</v>
      </c>
      <c r="E681" s="14">
        <v>0</v>
      </c>
      <c r="F681">
        <f t="shared" si="41"/>
        <v>11</v>
      </c>
      <c r="G681" s="41" t="str">
        <f t="shared" si="42"/>
        <v>FE</v>
      </c>
    </row>
    <row r="682" spans="1:7" x14ac:dyDescent="0.6">
      <c r="A682" t="str">
        <f t="shared" si="40"/>
        <v>20260123_0680</v>
      </c>
      <c r="B682" s="12">
        <v>46045</v>
      </c>
      <c r="C682" s="13">
        <v>680</v>
      </c>
      <c r="D682" s="4" t="str">
        <f t="shared" si="43"/>
        <v>FE</v>
      </c>
      <c r="E682" s="14">
        <v>3.2600000000000001E-4</v>
      </c>
      <c r="F682">
        <f t="shared" si="41"/>
        <v>11</v>
      </c>
      <c r="G682" s="41" t="str">
        <f t="shared" si="42"/>
        <v>FE</v>
      </c>
    </row>
    <row r="683" spans="1:7" x14ac:dyDescent="0.6">
      <c r="A683" t="str">
        <f t="shared" si="40"/>
        <v>20260123_0681</v>
      </c>
      <c r="B683" s="12">
        <v>46045</v>
      </c>
      <c r="C683" s="13">
        <v>681</v>
      </c>
      <c r="D683" s="4" t="str">
        <f t="shared" si="43"/>
        <v>FE</v>
      </c>
      <c r="E683" s="14">
        <v>4.8299999999999998E-4</v>
      </c>
      <c r="F683">
        <f t="shared" si="41"/>
        <v>11</v>
      </c>
      <c r="G683" s="41" t="str">
        <f t="shared" si="42"/>
        <v>FE</v>
      </c>
    </row>
    <row r="684" spans="1:7" x14ac:dyDescent="0.6">
      <c r="A684" t="str">
        <f t="shared" si="40"/>
        <v>20260123_0682</v>
      </c>
      <c r="B684" s="12">
        <v>46045</v>
      </c>
      <c r="C684" s="13">
        <v>682</v>
      </c>
      <c r="D684" s="4" t="str">
        <f t="shared" si="43"/>
        <v>FE</v>
      </c>
      <c r="E684" s="14">
        <v>0</v>
      </c>
      <c r="F684">
        <f t="shared" si="41"/>
        <v>11</v>
      </c>
      <c r="G684" s="41" t="str">
        <f t="shared" si="42"/>
        <v>FE</v>
      </c>
    </row>
    <row r="685" spans="1:7" x14ac:dyDescent="0.6">
      <c r="A685" t="str">
        <f t="shared" si="40"/>
        <v>20260123_0683</v>
      </c>
      <c r="B685" s="12">
        <v>46045</v>
      </c>
      <c r="C685" s="13">
        <v>683</v>
      </c>
      <c r="D685" s="4" t="str">
        <f t="shared" si="43"/>
        <v>FE</v>
      </c>
      <c r="E685" s="14">
        <v>0</v>
      </c>
      <c r="F685">
        <f t="shared" si="41"/>
        <v>11</v>
      </c>
      <c r="G685" s="41" t="str">
        <f t="shared" si="42"/>
        <v>FE</v>
      </c>
    </row>
    <row r="686" spans="1:7" x14ac:dyDescent="0.6">
      <c r="A686" t="str">
        <f t="shared" si="40"/>
        <v>20260123_0684</v>
      </c>
      <c r="B686" s="12">
        <v>46045</v>
      </c>
      <c r="C686" s="13">
        <v>684</v>
      </c>
      <c r="D686" s="4" t="str">
        <f t="shared" si="43"/>
        <v>FE</v>
      </c>
      <c r="E686" s="14">
        <v>7.1000000000000002E-4</v>
      </c>
      <c r="F686">
        <f t="shared" si="41"/>
        <v>11</v>
      </c>
      <c r="G686" s="41" t="str">
        <f t="shared" si="42"/>
        <v>FE</v>
      </c>
    </row>
    <row r="687" spans="1:7" x14ac:dyDescent="0.6">
      <c r="A687" t="str">
        <f t="shared" si="40"/>
        <v>20260123_0685</v>
      </c>
      <c r="B687" s="12">
        <v>46045</v>
      </c>
      <c r="C687" s="13">
        <v>685</v>
      </c>
      <c r="D687" s="4" t="str">
        <f t="shared" si="43"/>
        <v>FE</v>
      </c>
      <c r="E687" s="14">
        <v>0</v>
      </c>
      <c r="F687">
        <f t="shared" si="41"/>
        <v>11</v>
      </c>
      <c r="G687" s="41" t="str">
        <f t="shared" si="42"/>
        <v>FE</v>
      </c>
    </row>
    <row r="688" spans="1:7" x14ac:dyDescent="0.6">
      <c r="A688" t="str">
        <f t="shared" si="40"/>
        <v>20260123_0686</v>
      </c>
      <c r="B688" s="12">
        <v>46045</v>
      </c>
      <c r="C688" s="13">
        <v>686</v>
      </c>
      <c r="D688" s="4" t="str">
        <f t="shared" si="43"/>
        <v>FE</v>
      </c>
      <c r="E688" s="14">
        <v>0</v>
      </c>
      <c r="F688">
        <f t="shared" si="41"/>
        <v>11</v>
      </c>
      <c r="G688" s="41" t="str">
        <f t="shared" si="42"/>
        <v>FE</v>
      </c>
    </row>
    <row r="689" spans="1:7" x14ac:dyDescent="0.6">
      <c r="A689" t="str">
        <f t="shared" si="40"/>
        <v>20260123_0687</v>
      </c>
      <c r="B689" s="12">
        <v>46045</v>
      </c>
      <c r="C689" s="13">
        <v>687</v>
      </c>
      <c r="D689" s="4" t="str">
        <f t="shared" si="43"/>
        <v>FE</v>
      </c>
      <c r="E689" s="14">
        <v>0</v>
      </c>
      <c r="F689">
        <f t="shared" si="41"/>
        <v>11</v>
      </c>
      <c r="G689" s="41" t="str">
        <f t="shared" si="42"/>
        <v>FE</v>
      </c>
    </row>
    <row r="690" spans="1:7" x14ac:dyDescent="0.6">
      <c r="A690" t="str">
        <f t="shared" si="40"/>
        <v>20260123_0688</v>
      </c>
      <c r="B690" s="12">
        <v>46045</v>
      </c>
      <c r="C690" s="13">
        <v>688</v>
      </c>
      <c r="D690" s="4" t="str">
        <f t="shared" si="43"/>
        <v>FE</v>
      </c>
      <c r="E690" s="14">
        <v>0</v>
      </c>
      <c r="F690">
        <f t="shared" si="41"/>
        <v>11</v>
      </c>
      <c r="G690" s="41" t="str">
        <f t="shared" si="42"/>
        <v>FE</v>
      </c>
    </row>
    <row r="691" spans="1:7" x14ac:dyDescent="0.6">
      <c r="A691" t="str">
        <f t="shared" si="40"/>
        <v>20260123_0689</v>
      </c>
      <c r="B691" s="12">
        <v>46045</v>
      </c>
      <c r="C691" s="13">
        <v>689</v>
      </c>
      <c r="D691" s="4" t="str">
        <f t="shared" si="43"/>
        <v>FE</v>
      </c>
      <c r="E691" s="14">
        <v>0</v>
      </c>
      <c r="F691">
        <f t="shared" si="41"/>
        <v>11</v>
      </c>
      <c r="G691" s="41" t="str">
        <f t="shared" si="42"/>
        <v>FE</v>
      </c>
    </row>
    <row r="692" spans="1:7" x14ac:dyDescent="0.6">
      <c r="A692" t="str">
        <f t="shared" si="40"/>
        <v>20260123_0690</v>
      </c>
      <c r="B692" s="12">
        <v>46045</v>
      </c>
      <c r="C692" s="13">
        <v>690</v>
      </c>
      <c r="D692" s="4" t="str">
        <f t="shared" si="43"/>
        <v>FE</v>
      </c>
      <c r="E692" s="14">
        <v>0</v>
      </c>
      <c r="F692">
        <f t="shared" si="41"/>
        <v>11</v>
      </c>
      <c r="G692" s="41" t="str">
        <f t="shared" si="42"/>
        <v>FE</v>
      </c>
    </row>
    <row r="693" spans="1:7" x14ac:dyDescent="0.6">
      <c r="A693" t="str">
        <f t="shared" si="40"/>
        <v>20260123_0691</v>
      </c>
      <c r="B693" s="12">
        <v>46045</v>
      </c>
      <c r="C693" s="13">
        <v>691</v>
      </c>
      <c r="D693" s="4" t="str">
        <f t="shared" si="43"/>
        <v>FE</v>
      </c>
      <c r="E693" s="14">
        <v>4.8500000000000003E-4</v>
      </c>
      <c r="F693">
        <f t="shared" si="41"/>
        <v>11</v>
      </c>
      <c r="G693" s="41" t="str">
        <f t="shared" si="42"/>
        <v>FE</v>
      </c>
    </row>
    <row r="694" spans="1:7" x14ac:dyDescent="0.6">
      <c r="A694" t="str">
        <f t="shared" si="40"/>
        <v>20260123_0692</v>
      </c>
      <c r="B694" s="12">
        <v>46045</v>
      </c>
      <c r="C694" s="13">
        <v>692</v>
      </c>
      <c r="D694" s="4" t="str">
        <f t="shared" si="43"/>
        <v>FE</v>
      </c>
      <c r="E694" s="14">
        <v>0</v>
      </c>
      <c r="F694">
        <f t="shared" si="41"/>
        <v>11</v>
      </c>
      <c r="G694" s="41" t="str">
        <f t="shared" si="42"/>
        <v>FE</v>
      </c>
    </row>
    <row r="695" spans="1:7" x14ac:dyDescent="0.6">
      <c r="A695" t="str">
        <f t="shared" si="40"/>
        <v>20260123_0693</v>
      </c>
      <c r="B695" s="12">
        <v>46045</v>
      </c>
      <c r="C695" s="13">
        <v>693</v>
      </c>
      <c r="D695" s="4" t="str">
        <f t="shared" si="43"/>
        <v>FE</v>
      </c>
      <c r="E695" s="14">
        <v>0</v>
      </c>
      <c r="F695">
        <f t="shared" si="41"/>
        <v>11</v>
      </c>
      <c r="G695" s="41" t="str">
        <f t="shared" si="42"/>
        <v>FE</v>
      </c>
    </row>
    <row r="696" spans="1:7" x14ac:dyDescent="0.6">
      <c r="A696" t="str">
        <f t="shared" si="40"/>
        <v>20260123_0694</v>
      </c>
      <c r="B696" s="12">
        <v>46045</v>
      </c>
      <c r="C696" s="13">
        <v>694</v>
      </c>
      <c r="D696" s="4" t="str">
        <f t="shared" si="43"/>
        <v>FE</v>
      </c>
      <c r="E696" s="14">
        <v>0</v>
      </c>
      <c r="F696">
        <f t="shared" si="41"/>
        <v>11</v>
      </c>
      <c r="G696" s="41" t="str">
        <f t="shared" si="42"/>
        <v>FE</v>
      </c>
    </row>
    <row r="697" spans="1:7" x14ac:dyDescent="0.6">
      <c r="A697" t="str">
        <f t="shared" si="40"/>
        <v>20260123_0695</v>
      </c>
      <c r="B697" s="12">
        <v>46045</v>
      </c>
      <c r="C697" s="13">
        <v>695</v>
      </c>
      <c r="D697" s="4" t="str">
        <f t="shared" si="43"/>
        <v>FE</v>
      </c>
      <c r="E697" s="14">
        <v>3.2200000000000002E-4</v>
      </c>
      <c r="F697">
        <f t="shared" si="41"/>
        <v>11</v>
      </c>
      <c r="G697" s="41" t="str">
        <f t="shared" si="42"/>
        <v>FE</v>
      </c>
    </row>
    <row r="698" spans="1:7" x14ac:dyDescent="0.6">
      <c r="A698" t="str">
        <f t="shared" si="40"/>
        <v>20260123_0696</v>
      </c>
      <c r="B698" s="12">
        <v>46045</v>
      </c>
      <c r="C698" s="13">
        <v>696</v>
      </c>
      <c r="D698" s="4" t="str">
        <f t="shared" si="43"/>
        <v>FE</v>
      </c>
      <c r="E698" s="14">
        <v>0</v>
      </c>
      <c r="F698">
        <f t="shared" si="41"/>
        <v>11</v>
      </c>
      <c r="G698" s="41" t="str">
        <f t="shared" si="42"/>
        <v>FE</v>
      </c>
    </row>
    <row r="699" spans="1:7" x14ac:dyDescent="0.6">
      <c r="A699" t="str">
        <f t="shared" si="40"/>
        <v>20260123_0697</v>
      </c>
      <c r="B699" s="12">
        <v>46045</v>
      </c>
      <c r="C699" s="13">
        <v>697</v>
      </c>
      <c r="D699" s="4" t="str">
        <f t="shared" si="43"/>
        <v>FE</v>
      </c>
      <c r="E699" s="14">
        <v>0</v>
      </c>
      <c r="F699">
        <f t="shared" si="41"/>
        <v>11</v>
      </c>
      <c r="G699" s="41" t="str">
        <f t="shared" si="42"/>
        <v>FE</v>
      </c>
    </row>
    <row r="700" spans="1:7" x14ac:dyDescent="0.6">
      <c r="A700" t="str">
        <f t="shared" si="40"/>
        <v>20260123_0698</v>
      </c>
      <c r="B700" s="12">
        <v>46045</v>
      </c>
      <c r="C700" s="13">
        <v>698</v>
      </c>
      <c r="D700" s="4" t="str">
        <f t="shared" si="43"/>
        <v>FE</v>
      </c>
      <c r="E700" s="14">
        <v>5.3300000000000005E-4</v>
      </c>
      <c r="F700">
        <f t="shared" si="41"/>
        <v>11</v>
      </c>
      <c r="G700" s="41" t="str">
        <f t="shared" si="42"/>
        <v>FE</v>
      </c>
    </row>
    <row r="701" spans="1:7" x14ac:dyDescent="0.6">
      <c r="A701" t="str">
        <f t="shared" si="40"/>
        <v>20260123_0699</v>
      </c>
      <c r="B701" s="12">
        <v>46045</v>
      </c>
      <c r="C701" s="13">
        <v>699</v>
      </c>
      <c r="D701" s="4" t="str">
        <f t="shared" si="43"/>
        <v>FE</v>
      </c>
      <c r="E701" s="14">
        <v>0</v>
      </c>
      <c r="F701">
        <f t="shared" si="41"/>
        <v>11</v>
      </c>
      <c r="G701" s="41" t="str">
        <f t="shared" si="42"/>
        <v>FE</v>
      </c>
    </row>
    <row r="702" spans="1:7" x14ac:dyDescent="0.6">
      <c r="A702" t="str">
        <f t="shared" si="40"/>
        <v>20260123_0700</v>
      </c>
      <c r="B702" s="12">
        <v>46045</v>
      </c>
      <c r="C702" s="13">
        <v>700</v>
      </c>
      <c r="D702" s="4" t="str">
        <f t="shared" si="43"/>
        <v>FE</v>
      </c>
      <c r="E702" s="14">
        <v>0</v>
      </c>
      <c r="F702">
        <f t="shared" si="41"/>
        <v>11</v>
      </c>
      <c r="G702" s="41" t="str">
        <f t="shared" si="42"/>
        <v>FE</v>
      </c>
    </row>
    <row r="703" spans="1:7" x14ac:dyDescent="0.6">
      <c r="A703" t="str">
        <f t="shared" si="40"/>
        <v>20260123_0701</v>
      </c>
      <c r="B703" s="12">
        <v>46045</v>
      </c>
      <c r="C703" s="13">
        <v>701</v>
      </c>
      <c r="D703" s="4" t="str">
        <f t="shared" si="43"/>
        <v>FE</v>
      </c>
      <c r="E703" s="14">
        <v>0</v>
      </c>
      <c r="F703">
        <f t="shared" si="41"/>
        <v>11</v>
      </c>
      <c r="G703" s="41" t="str">
        <f t="shared" si="42"/>
        <v>FE</v>
      </c>
    </row>
    <row r="704" spans="1:7" x14ac:dyDescent="0.6">
      <c r="A704" t="str">
        <f t="shared" si="40"/>
        <v>20260123_0702</v>
      </c>
      <c r="B704" s="12">
        <v>46045</v>
      </c>
      <c r="C704" s="13">
        <v>702</v>
      </c>
      <c r="D704" s="4" t="str">
        <f t="shared" si="43"/>
        <v>FE</v>
      </c>
      <c r="E704" s="14">
        <v>0</v>
      </c>
      <c r="F704">
        <f t="shared" si="41"/>
        <v>11</v>
      </c>
      <c r="G704" s="41" t="str">
        <f t="shared" si="42"/>
        <v>FE</v>
      </c>
    </row>
    <row r="705" spans="1:7" x14ac:dyDescent="0.6">
      <c r="A705" t="str">
        <f t="shared" si="40"/>
        <v>20260123_0703</v>
      </c>
      <c r="B705" s="12">
        <v>46045</v>
      </c>
      <c r="C705" s="13">
        <v>703</v>
      </c>
      <c r="D705" s="4" t="str">
        <f t="shared" si="43"/>
        <v>FE</v>
      </c>
      <c r="E705" s="14">
        <v>0</v>
      </c>
      <c r="F705">
        <f t="shared" si="41"/>
        <v>11</v>
      </c>
      <c r="G705" s="41" t="str">
        <f t="shared" si="42"/>
        <v>FE</v>
      </c>
    </row>
    <row r="706" spans="1:7" x14ac:dyDescent="0.6">
      <c r="A706" t="str">
        <f t="shared" ref="A706:A769" si="44">IF(B706="","",TEXT(B706,"yyyymmdd")&amp;"_"&amp;TEXT(C706,"0000"))</f>
        <v>20260123_0704</v>
      </c>
      <c r="B706" s="12">
        <v>46045</v>
      </c>
      <c r="C706" s="13">
        <v>704</v>
      </c>
      <c r="D706" s="4" t="str">
        <f t="shared" si="43"/>
        <v>FE</v>
      </c>
      <c r="E706" s="14">
        <v>5.0900000000000001E-4</v>
      </c>
      <c r="F706">
        <f t="shared" ref="F706:F769" si="45">IF(C706="","",INT(C706/60))</f>
        <v>11</v>
      </c>
      <c r="G706" s="41" t="str">
        <f t="shared" ref="G706:G769" si="46">IF(D706="","",IF(LEN(UPPER(SUBSTITUTE(SUBSTITUTE(TRIM(D706),CHAR(160),"")," ","")))=1,"0"&amp;UPPER(SUBSTITUTE(SUBSTITUTE(TRIM(D706),CHAR(160),"")," ","")),UPPER(SUBSTITUTE(SUBSTITUTE(TRIM(D706),CHAR(160),"")," ",""))))</f>
        <v>FE</v>
      </c>
    </row>
    <row r="707" spans="1:7" x14ac:dyDescent="0.6">
      <c r="A707" t="str">
        <f t="shared" si="44"/>
        <v>20260123_0705</v>
      </c>
      <c r="B707" s="12">
        <v>46045</v>
      </c>
      <c r="C707" s="13">
        <v>705</v>
      </c>
      <c r="D707" s="4" t="str">
        <f t="shared" ref="D707:D770" si="47">MID(I$1,$C707*2+1,2)</f>
        <v>FE</v>
      </c>
      <c r="E707" s="14">
        <v>2.32E-4</v>
      </c>
      <c r="F707">
        <f t="shared" si="45"/>
        <v>11</v>
      </c>
      <c r="G707" s="41" t="str">
        <f t="shared" si="46"/>
        <v>FE</v>
      </c>
    </row>
    <row r="708" spans="1:7" x14ac:dyDescent="0.6">
      <c r="A708" t="str">
        <f t="shared" si="44"/>
        <v>20260123_0706</v>
      </c>
      <c r="B708" s="12">
        <v>46045</v>
      </c>
      <c r="C708" s="13">
        <v>706</v>
      </c>
      <c r="D708" s="4" t="str">
        <f t="shared" si="47"/>
        <v>FE</v>
      </c>
      <c r="E708" s="14">
        <v>3.6099999999999999E-4</v>
      </c>
      <c r="F708">
        <f t="shared" si="45"/>
        <v>11</v>
      </c>
      <c r="G708" s="41" t="str">
        <f t="shared" si="46"/>
        <v>FE</v>
      </c>
    </row>
    <row r="709" spans="1:7" x14ac:dyDescent="0.6">
      <c r="A709" t="str">
        <f t="shared" si="44"/>
        <v>20260123_0707</v>
      </c>
      <c r="B709" s="12">
        <v>46045</v>
      </c>
      <c r="C709" s="13">
        <v>707</v>
      </c>
      <c r="D709" s="4" t="str">
        <f t="shared" si="47"/>
        <v>FE</v>
      </c>
      <c r="E709" s="14">
        <v>0</v>
      </c>
      <c r="F709">
        <f t="shared" si="45"/>
        <v>11</v>
      </c>
      <c r="G709" s="41" t="str">
        <f t="shared" si="46"/>
        <v>FE</v>
      </c>
    </row>
    <row r="710" spans="1:7" x14ac:dyDescent="0.6">
      <c r="A710" t="str">
        <f t="shared" si="44"/>
        <v>20260123_0708</v>
      </c>
      <c r="B710" s="12">
        <v>46045</v>
      </c>
      <c r="C710" s="13">
        <v>708</v>
      </c>
      <c r="D710" s="4" t="str">
        <f t="shared" si="47"/>
        <v>FE</v>
      </c>
      <c r="E710" s="14">
        <v>0</v>
      </c>
      <c r="F710">
        <f t="shared" si="45"/>
        <v>11</v>
      </c>
      <c r="G710" s="41" t="str">
        <f t="shared" si="46"/>
        <v>FE</v>
      </c>
    </row>
    <row r="711" spans="1:7" x14ac:dyDescent="0.6">
      <c r="A711" t="str">
        <f t="shared" si="44"/>
        <v>20260123_0709</v>
      </c>
      <c r="B711" s="12">
        <v>46045</v>
      </c>
      <c r="C711" s="13">
        <v>709</v>
      </c>
      <c r="D711" s="4" t="str">
        <f t="shared" si="47"/>
        <v>FE</v>
      </c>
      <c r="E711" s="14">
        <v>0</v>
      </c>
      <c r="F711">
        <f t="shared" si="45"/>
        <v>11</v>
      </c>
      <c r="G711" s="41" t="str">
        <f t="shared" si="46"/>
        <v>FE</v>
      </c>
    </row>
    <row r="712" spans="1:7" x14ac:dyDescent="0.6">
      <c r="A712" t="str">
        <f t="shared" si="44"/>
        <v>20260123_0710</v>
      </c>
      <c r="B712" s="12">
        <v>46045</v>
      </c>
      <c r="C712" s="13">
        <v>710</v>
      </c>
      <c r="D712" s="4" t="str">
        <f t="shared" si="47"/>
        <v>FE</v>
      </c>
      <c r="E712" s="14">
        <v>0</v>
      </c>
      <c r="F712">
        <f t="shared" si="45"/>
        <v>11</v>
      </c>
      <c r="G712" s="41" t="str">
        <f t="shared" si="46"/>
        <v>FE</v>
      </c>
    </row>
    <row r="713" spans="1:7" x14ac:dyDescent="0.6">
      <c r="A713" t="str">
        <f t="shared" si="44"/>
        <v>20260123_0711</v>
      </c>
      <c r="B713" s="12">
        <v>46045</v>
      </c>
      <c r="C713" s="13">
        <v>711</v>
      </c>
      <c r="D713" s="4" t="str">
        <f t="shared" si="47"/>
        <v>FE</v>
      </c>
      <c r="E713" s="14">
        <v>4.3199999999999998E-4</v>
      </c>
      <c r="F713">
        <f t="shared" si="45"/>
        <v>11</v>
      </c>
      <c r="G713" s="41" t="str">
        <f t="shared" si="46"/>
        <v>FE</v>
      </c>
    </row>
    <row r="714" spans="1:7" x14ac:dyDescent="0.6">
      <c r="A714" t="str">
        <f t="shared" si="44"/>
        <v>20260123_0712</v>
      </c>
      <c r="B714" s="12">
        <v>46045</v>
      </c>
      <c r="C714" s="13">
        <v>712</v>
      </c>
      <c r="D714" s="4" t="str">
        <f t="shared" si="47"/>
        <v>FE</v>
      </c>
      <c r="E714" s="14">
        <v>0</v>
      </c>
      <c r="F714">
        <f t="shared" si="45"/>
        <v>11</v>
      </c>
      <c r="G714" s="41" t="str">
        <f t="shared" si="46"/>
        <v>FE</v>
      </c>
    </row>
    <row r="715" spans="1:7" x14ac:dyDescent="0.6">
      <c r="A715" t="str">
        <f t="shared" si="44"/>
        <v>20260123_0713</v>
      </c>
      <c r="B715" s="12">
        <v>46045</v>
      </c>
      <c r="C715" s="13">
        <v>713</v>
      </c>
      <c r="D715" s="4" t="str">
        <f t="shared" si="47"/>
        <v>FE</v>
      </c>
      <c r="E715" s="14">
        <v>0</v>
      </c>
      <c r="F715">
        <f t="shared" si="45"/>
        <v>11</v>
      </c>
      <c r="G715" s="41" t="str">
        <f t="shared" si="46"/>
        <v>FE</v>
      </c>
    </row>
    <row r="716" spans="1:7" x14ac:dyDescent="0.6">
      <c r="A716" t="str">
        <f t="shared" si="44"/>
        <v>20260123_0714</v>
      </c>
      <c r="B716" s="12">
        <v>46045</v>
      </c>
      <c r="C716" s="13">
        <v>714</v>
      </c>
      <c r="D716" s="4" t="str">
        <f t="shared" si="47"/>
        <v>FE</v>
      </c>
      <c r="E716" s="14">
        <v>0</v>
      </c>
      <c r="F716">
        <f t="shared" si="45"/>
        <v>11</v>
      </c>
      <c r="G716" s="41" t="str">
        <f t="shared" si="46"/>
        <v>FE</v>
      </c>
    </row>
    <row r="717" spans="1:7" x14ac:dyDescent="0.6">
      <c r="A717" t="str">
        <f t="shared" si="44"/>
        <v>20260123_0715</v>
      </c>
      <c r="B717" s="12">
        <v>46045</v>
      </c>
      <c r="C717" s="13">
        <v>715</v>
      </c>
      <c r="D717" s="4" t="str">
        <f t="shared" si="47"/>
        <v>FE</v>
      </c>
      <c r="E717" s="14">
        <v>0</v>
      </c>
      <c r="F717">
        <f t="shared" si="45"/>
        <v>11</v>
      </c>
      <c r="G717" s="41" t="str">
        <f t="shared" si="46"/>
        <v>FE</v>
      </c>
    </row>
    <row r="718" spans="1:7" x14ac:dyDescent="0.6">
      <c r="A718" t="str">
        <f t="shared" si="44"/>
        <v>20260123_0716</v>
      </c>
      <c r="B718" s="12">
        <v>46045</v>
      </c>
      <c r="C718" s="13">
        <v>716</v>
      </c>
      <c r="D718" s="4" t="str">
        <f t="shared" si="47"/>
        <v>FE</v>
      </c>
      <c r="E718" s="14">
        <v>0</v>
      </c>
      <c r="F718">
        <f t="shared" si="45"/>
        <v>11</v>
      </c>
      <c r="G718" s="41" t="str">
        <f t="shared" si="46"/>
        <v>FE</v>
      </c>
    </row>
    <row r="719" spans="1:7" x14ac:dyDescent="0.6">
      <c r="A719" t="str">
        <f t="shared" si="44"/>
        <v>20260123_0717</v>
      </c>
      <c r="B719" s="12">
        <v>46045</v>
      </c>
      <c r="C719" s="13">
        <v>717</v>
      </c>
      <c r="D719" s="4" t="str">
        <f t="shared" si="47"/>
        <v>FE</v>
      </c>
      <c r="E719" s="14">
        <v>0</v>
      </c>
      <c r="F719">
        <f t="shared" si="45"/>
        <v>11</v>
      </c>
      <c r="G719" s="41" t="str">
        <f t="shared" si="46"/>
        <v>FE</v>
      </c>
    </row>
    <row r="720" spans="1:7" x14ac:dyDescent="0.6">
      <c r="A720" t="str">
        <f t="shared" si="44"/>
        <v>20260123_0718</v>
      </c>
      <c r="B720" s="12">
        <v>46045</v>
      </c>
      <c r="C720" s="13">
        <v>718</v>
      </c>
      <c r="D720" s="4" t="str">
        <f t="shared" si="47"/>
        <v>FE</v>
      </c>
      <c r="E720" s="14">
        <v>0</v>
      </c>
      <c r="F720">
        <f t="shared" si="45"/>
        <v>11</v>
      </c>
      <c r="G720" s="41" t="str">
        <f t="shared" si="46"/>
        <v>FE</v>
      </c>
    </row>
    <row r="721" spans="1:7" x14ac:dyDescent="0.6">
      <c r="A721" t="str">
        <f t="shared" si="44"/>
        <v>20260123_0719</v>
      </c>
      <c r="B721" s="12">
        <v>46045</v>
      </c>
      <c r="C721" s="13">
        <v>719</v>
      </c>
      <c r="D721" s="4" t="str">
        <f t="shared" si="47"/>
        <v>FE</v>
      </c>
      <c r="E721" s="14">
        <v>0</v>
      </c>
      <c r="F721">
        <f t="shared" si="45"/>
        <v>11</v>
      </c>
      <c r="G721" s="41" t="str">
        <f t="shared" si="46"/>
        <v>FE</v>
      </c>
    </row>
    <row r="722" spans="1:7" x14ac:dyDescent="0.6">
      <c r="A722" t="str">
        <f t="shared" si="44"/>
        <v>20260123_0720</v>
      </c>
      <c r="B722" s="12">
        <v>46045</v>
      </c>
      <c r="C722" s="13">
        <v>720</v>
      </c>
      <c r="D722" s="4" t="str">
        <f t="shared" si="47"/>
        <v>FE</v>
      </c>
      <c r="E722" s="14">
        <v>4.1199999999999999E-4</v>
      </c>
      <c r="F722">
        <f t="shared" si="45"/>
        <v>12</v>
      </c>
      <c r="G722" s="41" t="str">
        <f t="shared" si="46"/>
        <v>FE</v>
      </c>
    </row>
    <row r="723" spans="1:7" x14ac:dyDescent="0.6">
      <c r="A723" t="str">
        <f t="shared" si="44"/>
        <v>20260123_0721</v>
      </c>
      <c r="B723" s="12">
        <v>46045</v>
      </c>
      <c r="C723" s="13">
        <v>721</v>
      </c>
      <c r="D723" s="4" t="str">
        <f t="shared" si="47"/>
        <v>FE</v>
      </c>
      <c r="E723" s="14">
        <v>0</v>
      </c>
      <c r="F723">
        <f t="shared" si="45"/>
        <v>12</v>
      </c>
      <c r="G723" s="41" t="str">
        <f t="shared" si="46"/>
        <v>FE</v>
      </c>
    </row>
    <row r="724" spans="1:7" x14ac:dyDescent="0.6">
      <c r="A724" t="str">
        <f t="shared" si="44"/>
        <v>20260123_0722</v>
      </c>
      <c r="B724" s="12">
        <v>46045</v>
      </c>
      <c r="C724" s="13">
        <v>722</v>
      </c>
      <c r="D724" s="4" t="str">
        <f t="shared" si="47"/>
        <v>FE</v>
      </c>
      <c r="E724" s="14">
        <v>0</v>
      </c>
      <c r="F724">
        <f t="shared" si="45"/>
        <v>12</v>
      </c>
      <c r="G724" s="41" t="str">
        <f t="shared" si="46"/>
        <v>FE</v>
      </c>
    </row>
    <row r="725" spans="1:7" x14ac:dyDescent="0.6">
      <c r="A725" t="str">
        <f t="shared" si="44"/>
        <v>20260123_0723</v>
      </c>
      <c r="B725" s="12">
        <v>46045</v>
      </c>
      <c r="C725" s="13">
        <v>723</v>
      </c>
      <c r="D725" s="4" t="str">
        <f t="shared" si="47"/>
        <v>FE</v>
      </c>
      <c r="E725" s="14">
        <v>0</v>
      </c>
      <c r="F725">
        <f t="shared" si="45"/>
        <v>12</v>
      </c>
      <c r="G725" s="41" t="str">
        <f t="shared" si="46"/>
        <v>FE</v>
      </c>
    </row>
    <row r="726" spans="1:7" x14ac:dyDescent="0.6">
      <c r="A726" t="str">
        <f t="shared" si="44"/>
        <v>20260123_0724</v>
      </c>
      <c r="B726" s="12">
        <v>46045</v>
      </c>
      <c r="C726" s="13">
        <v>724</v>
      </c>
      <c r="D726" s="4" t="str">
        <f t="shared" si="47"/>
        <v>FE</v>
      </c>
      <c r="E726" s="14">
        <v>0</v>
      </c>
      <c r="F726">
        <f t="shared" si="45"/>
        <v>12</v>
      </c>
      <c r="G726" s="41" t="str">
        <f t="shared" si="46"/>
        <v>FE</v>
      </c>
    </row>
    <row r="727" spans="1:7" x14ac:dyDescent="0.6">
      <c r="A727" t="str">
        <f t="shared" si="44"/>
        <v>20260123_0725</v>
      </c>
      <c r="B727" s="12">
        <v>46045</v>
      </c>
      <c r="C727" s="13">
        <v>725</v>
      </c>
      <c r="D727" s="4" t="str">
        <f t="shared" si="47"/>
        <v>FE</v>
      </c>
      <c r="E727" s="14">
        <v>0</v>
      </c>
      <c r="F727">
        <f t="shared" si="45"/>
        <v>12</v>
      </c>
      <c r="G727" s="41" t="str">
        <f t="shared" si="46"/>
        <v>FE</v>
      </c>
    </row>
    <row r="728" spans="1:7" x14ac:dyDescent="0.6">
      <c r="A728" t="str">
        <f t="shared" si="44"/>
        <v>20260123_0726</v>
      </c>
      <c r="B728" s="12">
        <v>46045</v>
      </c>
      <c r="C728" s="13">
        <v>726</v>
      </c>
      <c r="D728" s="4" t="str">
        <f t="shared" si="47"/>
        <v>FE</v>
      </c>
      <c r="E728" s="14">
        <v>0</v>
      </c>
      <c r="F728">
        <f t="shared" si="45"/>
        <v>12</v>
      </c>
      <c r="G728" s="41" t="str">
        <f t="shared" si="46"/>
        <v>FE</v>
      </c>
    </row>
    <row r="729" spans="1:7" x14ac:dyDescent="0.6">
      <c r="A729" t="str">
        <f t="shared" si="44"/>
        <v>20260123_0727</v>
      </c>
      <c r="B729" s="12">
        <v>46045</v>
      </c>
      <c r="C729" s="13">
        <v>727</v>
      </c>
      <c r="D729" s="4" t="str">
        <f t="shared" si="47"/>
        <v>FE</v>
      </c>
      <c r="E729" s="14">
        <v>5.6700000000000001E-4</v>
      </c>
      <c r="F729">
        <f t="shared" si="45"/>
        <v>12</v>
      </c>
      <c r="G729" s="41" t="str">
        <f t="shared" si="46"/>
        <v>FE</v>
      </c>
    </row>
    <row r="730" spans="1:7" x14ac:dyDescent="0.6">
      <c r="A730" t="str">
        <f t="shared" si="44"/>
        <v>20260123_0728</v>
      </c>
      <c r="B730" s="12">
        <v>46045</v>
      </c>
      <c r="C730" s="13">
        <v>728</v>
      </c>
      <c r="D730" s="4" t="str">
        <f t="shared" si="47"/>
        <v>FE</v>
      </c>
      <c r="E730" s="14">
        <v>0</v>
      </c>
      <c r="F730">
        <f t="shared" si="45"/>
        <v>12</v>
      </c>
      <c r="G730" s="41" t="str">
        <f t="shared" si="46"/>
        <v>FE</v>
      </c>
    </row>
    <row r="731" spans="1:7" x14ac:dyDescent="0.6">
      <c r="A731" t="str">
        <f t="shared" si="44"/>
        <v>20260123_0729</v>
      </c>
      <c r="B731" s="12">
        <v>46045</v>
      </c>
      <c r="C731" s="13">
        <v>729</v>
      </c>
      <c r="D731" s="4" t="str">
        <f t="shared" si="47"/>
        <v>FE</v>
      </c>
      <c r="E731" s="14">
        <v>0</v>
      </c>
      <c r="F731">
        <f t="shared" si="45"/>
        <v>12</v>
      </c>
      <c r="G731" s="41" t="str">
        <f t="shared" si="46"/>
        <v>FE</v>
      </c>
    </row>
    <row r="732" spans="1:7" x14ac:dyDescent="0.6">
      <c r="A732" t="str">
        <f t="shared" si="44"/>
        <v>20260123_0730</v>
      </c>
      <c r="B732" s="12">
        <v>46045</v>
      </c>
      <c r="C732" s="13">
        <v>730</v>
      </c>
      <c r="D732" s="4" t="str">
        <f t="shared" si="47"/>
        <v>FE</v>
      </c>
      <c r="E732" s="14">
        <v>2.6699999999999998E-4</v>
      </c>
      <c r="F732">
        <f t="shared" si="45"/>
        <v>12</v>
      </c>
      <c r="G732" s="41" t="str">
        <f t="shared" si="46"/>
        <v>FE</v>
      </c>
    </row>
    <row r="733" spans="1:7" x14ac:dyDescent="0.6">
      <c r="A733" t="str">
        <f t="shared" si="44"/>
        <v>20260123_0731</v>
      </c>
      <c r="B733" s="12">
        <v>46045</v>
      </c>
      <c r="C733" s="13">
        <v>731</v>
      </c>
      <c r="D733" s="4" t="str">
        <f t="shared" si="47"/>
        <v>FE</v>
      </c>
      <c r="E733" s="14">
        <v>0</v>
      </c>
      <c r="F733">
        <f t="shared" si="45"/>
        <v>12</v>
      </c>
      <c r="G733" s="41" t="str">
        <f t="shared" si="46"/>
        <v>FE</v>
      </c>
    </row>
    <row r="734" spans="1:7" x14ac:dyDescent="0.6">
      <c r="A734" t="str">
        <f t="shared" si="44"/>
        <v>20260123_0732</v>
      </c>
      <c r="B734" s="12">
        <v>46045</v>
      </c>
      <c r="C734" s="13">
        <v>732</v>
      </c>
      <c r="D734" s="4" t="str">
        <f t="shared" si="47"/>
        <v>FE</v>
      </c>
      <c r="E734" s="14">
        <v>0</v>
      </c>
      <c r="F734">
        <f t="shared" si="45"/>
        <v>12</v>
      </c>
      <c r="G734" s="41" t="str">
        <f t="shared" si="46"/>
        <v>FE</v>
      </c>
    </row>
    <row r="735" spans="1:7" x14ac:dyDescent="0.6">
      <c r="A735" t="str">
        <f t="shared" si="44"/>
        <v>20260123_0733</v>
      </c>
      <c r="B735" s="12">
        <v>46045</v>
      </c>
      <c r="C735" s="13">
        <v>733</v>
      </c>
      <c r="D735" s="4" t="str">
        <f t="shared" si="47"/>
        <v>FE</v>
      </c>
      <c r="E735" s="14">
        <v>0</v>
      </c>
      <c r="F735">
        <f t="shared" si="45"/>
        <v>12</v>
      </c>
      <c r="G735" s="41" t="str">
        <f t="shared" si="46"/>
        <v>FE</v>
      </c>
    </row>
    <row r="736" spans="1:7" x14ac:dyDescent="0.6">
      <c r="A736" t="str">
        <f t="shared" si="44"/>
        <v>20260123_0734</v>
      </c>
      <c r="B736" s="12">
        <v>46045</v>
      </c>
      <c r="C736" s="13">
        <v>734</v>
      </c>
      <c r="D736" s="4" t="str">
        <f t="shared" si="47"/>
        <v>FE</v>
      </c>
      <c r="E736" s="14">
        <v>0</v>
      </c>
      <c r="F736">
        <f t="shared" si="45"/>
        <v>12</v>
      </c>
      <c r="G736" s="41" t="str">
        <f t="shared" si="46"/>
        <v>FE</v>
      </c>
    </row>
    <row r="737" spans="1:7" x14ac:dyDescent="0.6">
      <c r="A737" t="str">
        <f t="shared" si="44"/>
        <v>20260123_0735</v>
      </c>
      <c r="B737" s="12">
        <v>46045</v>
      </c>
      <c r="C737" s="13">
        <v>735</v>
      </c>
      <c r="D737" s="4" t="str">
        <f t="shared" si="47"/>
        <v>FE</v>
      </c>
      <c r="E737" s="14">
        <v>0</v>
      </c>
      <c r="F737">
        <f t="shared" si="45"/>
        <v>12</v>
      </c>
      <c r="G737" s="41" t="str">
        <f t="shared" si="46"/>
        <v>FE</v>
      </c>
    </row>
    <row r="738" spans="1:7" x14ac:dyDescent="0.6">
      <c r="A738" t="str">
        <f t="shared" si="44"/>
        <v>20260123_0736</v>
      </c>
      <c r="B738" s="12">
        <v>46045</v>
      </c>
      <c r="C738" s="13">
        <v>736</v>
      </c>
      <c r="D738" s="4" t="str">
        <f t="shared" si="47"/>
        <v>FE</v>
      </c>
      <c r="E738" s="14">
        <v>0</v>
      </c>
      <c r="F738">
        <f t="shared" si="45"/>
        <v>12</v>
      </c>
      <c r="G738" s="41" t="str">
        <f t="shared" si="46"/>
        <v>FE</v>
      </c>
    </row>
    <row r="739" spans="1:7" x14ac:dyDescent="0.6">
      <c r="A739" t="str">
        <f t="shared" si="44"/>
        <v>20260123_0737</v>
      </c>
      <c r="B739" s="12">
        <v>46045</v>
      </c>
      <c r="C739" s="13">
        <v>737</v>
      </c>
      <c r="D739" s="4" t="str">
        <f t="shared" si="47"/>
        <v>FE</v>
      </c>
      <c r="E739" s="14">
        <v>5.2300000000000003E-4</v>
      </c>
      <c r="F739">
        <f t="shared" si="45"/>
        <v>12</v>
      </c>
      <c r="G739" s="41" t="str">
        <f t="shared" si="46"/>
        <v>FE</v>
      </c>
    </row>
    <row r="740" spans="1:7" x14ac:dyDescent="0.6">
      <c r="A740" t="str">
        <f t="shared" si="44"/>
        <v>20260123_0738</v>
      </c>
      <c r="B740" s="12">
        <v>46045</v>
      </c>
      <c r="C740" s="13">
        <v>738</v>
      </c>
      <c r="D740" s="4" t="str">
        <f t="shared" si="47"/>
        <v>FE</v>
      </c>
      <c r="E740" s="14">
        <v>0</v>
      </c>
      <c r="F740">
        <f t="shared" si="45"/>
        <v>12</v>
      </c>
      <c r="G740" s="41" t="str">
        <f t="shared" si="46"/>
        <v>FE</v>
      </c>
    </row>
    <row r="741" spans="1:7" x14ac:dyDescent="0.6">
      <c r="A741" t="str">
        <f t="shared" si="44"/>
        <v>20260123_0739</v>
      </c>
      <c r="B741" s="12">
        <v>46045</v>
      </c>
      <c r="C741" s="13">
        <v>739</v>
      </c>
      <c r="D741" s="4" t="str">
        <f t="shared" si="47"/>
        <v>FE</v>
      </c>
      <c r="E741" s="14">
        <v>0</v>
      </c>
      <c r="F741">
        <f t="shared" si="45"/>
        <v>12</v>
      </c>
      <c r="G741" s="41" t="str">
        <f t="shared" si="46"/>
        <v>FE</v>
      </c>
    </row>
    <row r="742" spans="1:7" x14ac:dyDescent="0.6">
      <c r="A742" t="str">
        <f t="shared" si="44"/>
        <v>20260123_0740</v>
      </c>
      <c r="B742" s="12">
        <v>46045</v>
      </c>
      <c r="C742" s="13">
        <v>740</v>
      </c>
      <c r="D742" s="4" t="str">
        <f t="shared" si="47"/>
        <v>FE</v>
      </c>
      <c r="E742" s="14">
        <v>3.9899999999999999E-4</v>
      </c>
      <c r="F742">
        <f t="shared" si="45"/>
        <v>12</v>
      </c>
      <c r="G742" s="41" t="str">
        <f t="shared" si="46"/>
        <v>FE</v>
      </c>
    </row>
    <row r="743" spans="1:7" x14ac:dyDescent="0.6">
      <c r="A743" t="str">
        <f t="shared" si="44"/>
        <v>20260123_0741</v>
      </c>
      <c r="B743" s="12">
        <v>46045</v>
      </c>
      <c r="C743" s="13">
        <v>741</v>
      </c>
      <c r="D743" s="4" t="str">
        <f t="shared" si="47"/>
        <v>FE</v>
      </c>
      <c r="E743" s="14">
        <v>0</v>
      </c>
      <c r="F743">
        <f t="shared" si="45"/>
        <v>12</v>
      </c>
      <c r="G743" s="41" t="str">
        <f t="shared" si="46"/>
        <v>FE</v>
      </c>
    </row>
    <row r="744" spans="1:7" x14ac:dyDescent="0.6">
      <c r="A744" t="str">
        <f t="shared" si="44"/>
        <v>20260123_0742</v>
      </c>
      <c r="B744" s="12">
        <v>46045</v>
      </c>
      <c r="C744" s="13">
        <v>742</v>
      </c>
      <c r="D744" s="4" t="str">
        <f t="shared" si="47"/>
        <v>FE</v>
      </c>
      <c r="E744" s="14">
        <v>0</v>
      </c>
      <c r="F744">
        <f t="shared" si="45"/>
        <v>12</v>
      </c>
      <c r="G744" s="41" t="str">
        <f t="shared" si="46"/>
        <v>FE</v>
      </c>
    </row>
    <row r="745" spans="1:7" x14ac:dyDescent="0.6">
      <c r="A745" t="str">
        <f t="shared" si="44"/>
        <v>20260123_0743</v>
      </c>
      <c r="B745" s="12">
        <v>46045</v>
      </c>
      <c r="C745" s="13">
        <v>743</v>
      </c>
      <c r="D745" s="4" t="str">
        <f t="shared" si="47"/>
        <v>FE</v>
      </c>
      <c r="E745" s="14">
        <v>0</v>
      </c>
      <c r="F745">
        <f t="shared" si="45"/>
        <v>12</v>
      </c>
      <c r="G745" s="41" t="str">
        <f t="shared" si="46"/>
        <v>FE</v>
      </c>
    </row>
    <row r="746" spans="1:7" x14ac:dyDescent="0.6">
      <c r="A746" t="str">
        <f t="shared" si="44"/>
        <v>20260123_0744</v>
      </c>
      <c r="B746" s="12">
        <v>46045</v>
      </c>
      <c r="C746" s="13">
        <v>744</v>
      </c>
      <c r="D746" s="4" t="str">
        <f t="shared" si="47"/>
        <v>FE</v>
      </c>
      <c r="E746" s="14">
        <v>4.9700000000000005E-4</v>
      </c>
      <c r="F746">
        <f t="shared" si="45"/>
        <v>12</v>
      </c>
      <c r="G746" s="41" t="str">
        <f t="shared" si="46"/>
        <v>FE</v>
      </c>
    </row>
    <row r="747" spans="1:7" x14ac:dyDescent="0.6">
      <c r="A747" t="str">
        <f t="shared" si="44"/>
        <v>20260123_0745</v>
      </c>
      <c r="B747" s="12">
        <v>46045</v>
      </c>
      <c r="C747" s="13">
        <v>745</v>
      </c>
      <c r="D747" s="4" t="str">
        <f t="shared" si="47"/>
        <v>FE</v>
      </c>
      <c r="E747" s="14">
        <v>0</v>
      </c>
      <c r="F747">
        <f t="shared" si="45"/>
        <v>12</v>
      </c>
      <c r="G747" s="41" t="str">
        <f t="shared" si="46"/>
        <v>FE</v>
      </c>
    </row>
    <row r="748" spans="1:7" x14ac:dyDescent="0.6">
      <c r="A748" t="str">
        <f t="shared" si="44"/>
        <v>20260123_0746</v>
      </c>
      <c r="B748" s="12">
        <v>46045</v>
      </c>
      <c r="C748" s="13">
        <v>746</v>
      </c>
      <c r="D748" s="4" t="str">
        <f t="shared" si="47"/>
        <v>FE</v>
      </c>
      <c r="E748" s="14">
        <v>2.6600000000000001E-4</v>
      </c>
      <c r="F748">
        <f t="shared" si="45"/>
        <v>12</v>
      </c>
      <c r="G748" s="41" t="str">
        <f t="shared" si="46"/>
        <v>FE</v>
      </c>
    </row>
    <row r="749" spans="1:7" x14ac:dyDescent="0.6">
      <c r="A749" t="str">
        <f t="shared" si="44"/>
        <v>20260123_0747</v>
      </c>
      <c r="B749" s="12">
        <v>46045</v>
      </c>
      <c r="C749" s="13">
        <v>747</v>
      </c>
      <c r="D749" s="4" t="str">
        <f t="shared" si="47"/>
        <v>FE</v>
      </c>
      <c r="E749" s="14">
        <v>9.6799999999999995E-5</v>
      </c>
      <c r="F749">
        <f t="shared" si="45"/>
        <v>12</v>
      </c>
      <c r="G749" s="41" t="str">
        <f t="shared" si="46"/>
        <v>FE</v>
      </c>
    </row>
    <row r="750" spans="1:7" x14ac:dyDescent="0.6">
      <c r="A750" t="str">
        <f t="shared" si="44"/>
        <v>20260123_0748</v>
      </c>
      <c r="B750" s="12">
        <v>46045</v>
      </c>
      <c r="C750" s="13">
        <v>748</v>
      </c>
      <c r="D750" s="4" t="str">
        <f t="shared" si="47"/>
        <v>FE</v>
      </c>
      <c r="E750" s="14">
        <v>2.0100000000000001E-4</v>
      </c>
      <c r="F750">
        <f t="shared" si="45"/>
        <v>12</v>
      </c>
      <c r="G750" s="41" t="str">
        <f t="shared" si="46"/>
        <v>FE</v>
      </c>
    </row>
    <row r="751" spans="1:7" x14ac:dyDescent="0.6">
      <c r="A751" t="str">
        <f t="shared" si="44"/>
        <v>20260123_0749</v>
      </c>
      <c r="B751" s="12">
        <v>46045</v>
      </c>
      <c r="C751" s="13">
        <v>749</v>
      </c>
      <c r="D751" s="4" t="str">
        <f t="shared" si="47"/>
        <v>FE</v>
      </c>
      <c r="E751" s="14">
        <v>0</v>
      </c>
      <c r="F751">
        <f t="shared" si="45"/>
        <v>12</v>
      </c>
      <c r="G751" s="41" t="str">
        <f t="shared" si="46"/>
        <v>FE</v>
      </c>
    </row>
    <row r="752" spans="1:7" x14ac:dyDescent="0.6">
      <c r="A752" t="str">
        <f t="shared" si="44"/>
        <v>20260123_0750</v>
      </c>
      <c r="B752" s="12">
        <v>46045</v>
      </c>
      <c r="C752" s="13">
        <v>750</v>
      </c>
      <c r="D752" s="4" t="str">
        <f t="shared" si="47"/>
        <v>FE</v>
      </c>
      <c r="E752" s="14">
        <v>0</v>
      </c>
      <c r="F752">
        <f t="shared" si="45"/>
        <v>12</v>
      </c>
      <c r="G752" s="41" t="str">
        <f t="shared" si="46"/>
        <v>FE</v>
      </c>
    </row>
    <row r="753" spans="1:7" x14ac:dyDescent="0.6">
      <c r="A753" t="str">
        <f t="shared" si="44"/>
        <v>20260123_0751</v>
      </c>
      <c r="B753" s="12">
        <v>46045</v>
      </c>
      <c r="C753" s="13">
        <v>751</v>
      </c>
      <c r="D753" s="4" t="str">
        <f t="shared" si="47"/>
        <v>FE</v>
      </c>
      <c r="E753" s="14">
        <v>4.1599999999999997E-4</v>
      </c>
      <c r="F753">
        <f t="shared" si="45"/>
        <v>12</v>
      </c>
      <c r="G753" s="41" t="str">
        <f t="shared" si="46"/>
        <v>FE</v>
      </c>
    </row>
    <row r="754" spans="1:7" x14ac:dyDescent="0.6">
      <c r="A754" t="str">
        <f t="shared" si="44"/>
        <v>20260123_0752</v>
      </c>
      <c r="B754" s="12">
        <v>46045</v>
      </c>
      <c r="C754" s="13">
        <v>752</v>
      </c>
      <c r="D754" s="4" t="str">
        <f t="shared" si="47"/>
        <v>FE</v>
      </c>
      <c r="E754" s="14">
        <v>0</v>
      </c>
      <c r="F754">
        <f t="shared" si="45"/>
        <v>12</v>
      </c>
      <c r="G754" s="41" t="str">
        <f t="shared" si="46"/>
        <v>FE</v>
      </c>
    </row>
    <row r="755" spans="1:7" x14ac:dyDescent="0.6">
      <c r="A755" t="str">
        <f t="shared" si="44"/>
        <v>20260123_0753</v>
      </c>
      <c r="B755" s="12">
        <v>46045</v>
      </c>
      <c r="C755" s="13">
        <v>753</v>
      </c>
      <c r="D755" s="4" t="str">
        <f t="shared" si="47"/>
        <v>FE</v>
      </c>
      <c r="E755" s="14">
        <v>0</v>
      </c>
      <c r="F755">
        <f t="shared" si="45"/>
        <v>12</v>
      </c>
      <c r="G755" s="41" t="str">
        <f t="shared" si="46"/>
        <v>FE</v>
      </c>
    </row>
    <row r="756" spans="1:7" x14ac:dyDescent="0.6">
      <c r="A756" t="str">
        <f t="shared" si="44"/>
        <v>20260123_0754</v>
      </c>
      <c r="B756" s="12">
        <v>46045</v>
      </c>
      <c r="C756" s="13">
        <v>754</v>
      </c>
      <c r="D756" s="4" t="str">
        <f t="shared" si="47"/>
        <v>FE</v>
      </c>
      <c r="E756" s="14">
        <v>0</v>
      </c>
      <c r="F756">
        <f t="shared" si="45"/>
        <v>12</v>
      </c>
      <c r="G756" s="41" t="str">
        <f t="shared" si="46"/>
        <v>FE</v>
      </c>
    </row>
    <row r="757" spans="1:7" x14ac:dyDescent="0.6">
      <c r="A757" t="str">
        <f t="shared" si="44"/>
        <v>20260123_0755</v>
      </c>
      <c r="B757" s="12">
        <v>46045</v>
      </c>
      <c r="C757" s="13">
        <v>755</v>
      </c>
      <c r="D757" s="4" t="str">
        <f t="shared" si="47"/>
        <v>FE</v>
      </c>
      <c r="E757" s="14">
        <v>4.3300000000000001E-4</v>
      </c>
      <c r="F757">
        <f t="shared" si="45"/>
        <v>12</v>
      </c>
      <c r="G757" s="41" t="str">
        <f t="shared" si="46"/>
        <v>FE</v>
      </c>
    </row>
    <row r="758" spans="1:7" x14ac:dyDescent="0.6">
      <c r="A758" t="str">
        <f t="shared" si="44"/>
        <v>20260123_0756</v>
      </c>
      <c r="B758" s="12">
        <v>46045</v>
      </c>
      <c r="C758" s="13">
        <v>756</v>
      </c>
      <c r="D758" s="4" t="str">
        <f t="shared" si="47"/>
        <v>14</v>
      </c>
      <c r="E758" s="14">
        <v>0</v>
      </c>
      <c r="F758">
        <f t="shared" si="45"/>
        <v>12</v>
      </c>
      <c r="G758" s="41" t="str">
        <f t="shared" si="46"/>
        <v>14</v>
      </c>
    </row>
    <row r="759" spans="1:7" x14ac:dyDescent="0.6">
      <c r="A759" t="str">
        <f t="shared" si="44"/>
        <v>20260123_0757</v>
      </c>
      <c r="B759" s="12">
        <v>46045</v>
      </c>
      <c r="C759" s="13">
        <v>757</v>
      </c>
      <c r="D759" s="4" t="str">
        <f t="shared" si="47"/>
        <v>0A</v>
      </c>
      <c r="E759" s="14">
        <v>0</v>
      </c>
      <c r="F759">
        <f t="shared" si="45"/>
        <v>12</v>
      </c>
      <c r="G759" s="41" t="str">
        <f t="shared" si="46"/>
        <v>0A</v>
      </c>
    </row>
    <row r="760" spans="1:7" x14ac:dyDescent="0.6">
      <c r="A760" t="str">
        <f t="shared" si="44"/>
        <v>20260123_0758</v>
      </c>
      <c r="B760" s="12">
        <v>46045</v>
      </c>
      <c r="C760" s="13">
        <v>758</v>
      </c>
      <c r="D760" s="4" t="str">
        <f t="shared" si="47"/>
        <v>1E</v>
      </c>
      <c r="E760" s="14">
        <v>2.61E-4</v>
      </c>
      <c r="F760">
        <f t="shared" si="45"/>
        <v>12</v>
      </c>
      <c r="G760" s="41" t="str">
        <f t="shared" si="46"/>
        <v>1E</v>
      </c>
    </row>
    <row r="761" spans="1:7" x14ac:dyDescent="0.6">
      <c r="A761" t="str">
        <f t="shared" si="44"/>
        <v>20260123_0759</v>
      </c>
      <c r="B761" s="12">
        <v>46045</v>
      </c>
      <c r="C761" s="13">
        <v>759</v>
      </c>
      <c r="D761" s="4" t="str">
        <f t="shared" si="47"/>
        <v>1E</v>
      </c>
      <c r="E761" s="14">
        <v>0</v>
      </c>
      <c r="F761">
        <f t="shared" si="45"/>
        <v>12</v>
      </c>
      <c r="G761" s="41" t="str">
        <f t="shared" si="46"/>
        <v>1E</v>
      </c>
    </row>
    <row r="762" spans="1:7" x14ac:dyDescent="0.6">
      <c r="A762" t="str">
        <f t="shared" si="44"/>
        <v>20260123_0760</v>
      </c>
      <c r="B762" s="12">
        <v>46045</v>
      </c>
      <c r="C762" s="13">
        <v>760</v>
      </c>
      <c r="D762" s="4" t="str">
        <f t="shared" si="47"/>
        <v>1E</v>
      </c>
      <c r="E762" s="14">
        <v>0</v>
      </c>
      <c r="F762">
        <f t="shared" si="45"/>
        <v>12</v>
      </c>
      <c r="G762" s="41" t="str">
        <f t="shared" si="46"/>
        <v>1E</v>
      </c>
    </row>
    <row r="763" spans="1:7" x14ac:dyDescent="0.6">
      <c r="A763" t="str">
        <f t="shared" si="44"/>
        <v>20260123_0761</v>
      </c>
      <c r="B763" s="12">
        <v>46045</v>
      </c>
      <c r="C763" s="13">
        <v>761</v>
      </c>
      <c r="D763" s="4" t="str">
        <f t="shared" si="47"/>
        <v>1E</v>
      </c>
      <c r="E763" s="14">
        <v>0</v>
      </c>
      <c r="F763">
        <f t="shared" si="45"/>
        <v>12</v>
      </c>
      <c r="G763" s="41" t="str">
        <f t="shared" si="46"/>
        <v>1E</v>
      </c>
    </row>
    <row r="764" spans="1:7" x14ac:dyDescent="0.6">
      <c r="A764" t="str">
        <f t="shared" si="44"/>
        <v>20260123_0762</v>
      </c>
      <c r="B764" s="12">
        <v>46045</v>
      </c>
      <c r="C764" s="13">
        <v>762</v>
      </c>
      <c r="D764" s="4" t="str">
        <f t="shared" si="47"/>
        <v>1E</v>
      </c>
      <c r="E764" s="14">
        <v>0</v>
      </c>
      <c r="F764">
        <f t="shared" si="45"/>
        <v>12</v>
      </c>
      <c r="G764" s="41" t="str">
        <f t="shared" si="46"/>
        <v>1E</v>
      </c>
    </row>
    <row r="765" spans="1:7" x14ac:dyDescent="0.6">
      <c r="A765" t="str">
        <f t="shared" si="44"/>
        <v>20260123_0763</v>
      </c>
      <c r="B765" s="12">
        <v>46045</v>
      </c>
      <c r="C765" s="13">
        <v>763</v>
      </c>
      <c r="D765" s="4" t="str">
        <f t="shared" si="47"/>
        <v>1E</v>
      </c>
      <c r="E765" s="14">
        <v>1.1193900000000001E-3</v>
      </c>
      <c r="F765">
        <f t="shared" si="45"/>
        <v>12</v>
      </c>
      <c r="G765" s="41" t="str">
        <f t="shared" si="46"/>
        <v>1E</v>
      </c>
    </row>
    <row r="766" spans="1:7" x14ac:dyDescent="0.6">
      <c r="A766" t="str">
        <f t="shared" si="44"/>
        <v>20260123_0764</v>
      </c>
      <c r="B766" s="12">
        <v>46045</v>
      </c>
      <c r="C766" s="13">
        <v>764</v>
      </c>
      <c r="D766" s="4" t="str">
        <f t="shared" si="47"/>
        <v>1E</v>
      </c>
      <c r="E766" s="14">
        <v>0</v>
      </c>
      <c r="F766">
        <f t="shared" si="45"/>
        <v>12</v>
      </c>
      <c r="G766" s="41" t="str">
        <f t="shared" si="46"/>
        <v>1E</v>
      </c>
    </row>
    <row r="767" spans="1:7" x14ac:dyDescent="0.6">
      <c r="A767" t="str">
        <f t="shared" si="44"/>
        <v>20260123_0765</v>
      </c>
      <c r="B767" s="12">
        <v>46045</v>
      </c>
      <c r="C767" s="13">
        <v>765</v>
      </c>
      <c r="D767" s="4" t="str">
        <f t="shared" si="47"/>
        <v>0A</v>
      </c>
      <c r="E767" s="14">
        <v>0</v>
      </c>
      <c r="F767">
        <f t="shared" si="45"/>
        <v>12</v>
      </c>
      <c r="G767" s="41" t="str">
        <f t="shared" si="46"/>
        <v>0A</v>
      </c>
    </row>
    <row r="768" spans="1:7" x14ac:dyDescent="0.6">
      <c r="A768" t="str">
        <f t="shared" si="44"/>
        <v>20260123_0766</v>
      </c>
      <c r="B768" s="12">
        <v>46045</v>
      </c>
      <c r="C768" s="13">
        <v>766</v>
      </c>
      <c r="D768" s="4" t="str">
        <f t="shared" si="47"/>
        <v>1E</v>
      </c>
      <c r="E768" s="14">
        <v>6.4800000000000003E-4</v>
      </c>
      <c r="F768">
        <f t="shared" si="45"/>
        <v>12</v>
      </c>
      <c r="G768" s="41" t="str">
        <f t="shared" si="46"/>
        <v>1E</v>
      </c>
    </row>
    <row r="769" spans="1:7" x14ac:dyDescent="0.6">
      <c r="A769" t="str">
        <f t="shared" si="44"/>
        <v>20260123_0767</v>
      </c>
      <c r="B769" s="12">
        <v>46045</v>
      </c>
      <c r="C769" s="13">
        <v>767</v>
      </c>
      <c r="D769" s="4" t="str">
        <f t="shared" si="47"/>
        <v>1E</v>
      </c>
      <c r="E769" s="14">
        <v>4.0700000000000003E-4</v>
      </c>
      <c r="F769">
        <f t="shared" si="45"/>
        <v>12</v>
      </c>
      <c r="G769" s="41" t="str">
        <f t="shared" si="46"/>
        <v>1E</v>
      </c>
    </row>
    <row r="770" spans="1:7" x14ac:dyDescent="0.6">
      <c r="A770" t="str">
        <f t="shared" ref="A770:A833" si="48">IF(B770="","",TEXT(B770,"yyyymmdd")&amp;"_"&amp;TEXT(C770,"0000"))</f>
        <v>20260123_0768</v>
      </c>
      <c r="B770" s="12">
        <v>46045</v>
      </c>
      <c r="C770" s="13">
        <v>768</v>
      </c>
      <c r="D770" s="4" t="str">
        <f t="shared" si="47"/>
        <v>0A</v>
      </c>
      <c r="E770" s="14">
        <v>0</v>
      </c>
      <c r="F770">
        <f t="shared" ref="F770:F833" si="49">IF(C770="","",INT(C770/60))</f>
        <v>12</v>
      </c>
      <c r="G770" s="41" t="str">
        <f t="shared" ref="G770:G833" si="50">IF(D770="","",IF(LEN(UPPER(SUBSTITUTE(SUBSTITUTE(TRIM(D770),CHAR(160),"")," ","")))=1,"0"&amp;UPPER(SUBSTITUTE(SUBSTITUTE(TRIM(D770),CHAR(160),"")," ","")),UPPER(SUBSTITUTE(SUBSTITUTE(TRIM(D770),CHAR(160),"")," ",""))))</f>
        <v>0A</v>
      </c>
    </row>
    <row r="771" spans="1:7" x14ac:dyDescent="0.6">
      <c r="A771" t="str">
        <f t="shared" si="48"/>
        <v>20260123_0769</v>
      </c>
      <c r="B771" s="12">
        <v>46045</v>
      </c>
      <c r="C771" s="13">
        <v>769</v>
      </c>
      <c r="D771" s="4" t="str">
        <f t="shared" ref="D771:D834" si="51">MID(I$1,$C771*2+1,2)</f>
        <v>0A</v>
      </c>
      <c r="E771" s="14">
        <v>0</v>
      </c>
      <c r="F771">
        <f t="shared" si="49"/>
        <v>12</v>
      </c>
      <c r="G771" s="41" t="str">
        <f t="shared" si="50"/>
        <v>0A</v>
      </c>
    </row>
    <row r="772" spans="1:7" x14ac:dyDescent="0.6">
      <c r="A772" t="str">
        <f t="shared" si="48"/>
        <v>20260123_0770</v>
      </c>
      <c r="B772" s="12">
        <v>46045</v>
      </c>
      <c r="C772" s="13">
        <v>770</v>
      </c>
      <c r="D772" s="4" t="str">
        <f t="shared" si="51"/>
        <v>0A</v>
      </c>
      <c r="E772" s="14">
        <v>0</v>
      </c>
      <c r="F772">
        <f t="shared" si="49"/>
        <v>12</v>
      </c>
      <c r="G772" s="41" t="str">
        <f t="shared" si="50"/>
        <v>0A</v>
      </c>
    </row>
    <row r="773" spans="1:7" x14ac:dyDescent="0.6">
      <c r="A773" t="str">
        <f t="shared" si="48"/>
        <v>20260123_0771</v>
      </c>
      <c r="B773" s="12">
        <v>46045</v>
      </c>
      <c r="C773" s="13">
        <v>771</v>
      </c>
      <c r="D773" s="4" t="str">
        <f t="shared" si="51"/>
        <v>1E</v>
      </c>
      <c r="E773" s="14">
        <v>4.5300000000000001E-4</v>
      </c>
      <c r="F773">
        <f t="shared" si="49"/>
        <v>12</v>
      </c>
      <c r="G773" s="41" t="str">
        <f t="shared" si="50"/>
        <v>1E</v>
      </c>
    </row>
    <row r="774" spans="1:7" x14ac:dyDescent="0.6">
      <c r="A774" t="str">
        <f t="shared" si="48"/>
        <v>20260123_0772</v>
      </c>
      <c r="B774" s="12">
        <v>46045</v>
      </c>
      <c r="C774" s="13">
        <v>772</v>
      </c>
      <c r="D774" s="4" t="str">
        <f t="shared" si="51"/>
        <v>1E</v>
      </c>
      <c r="E774" s="14">
        <v>0</v>
      </c>
      <c r="F774">
        <f t="shared" si="49"/>
        <v>12</v>
      </c>
      <c r="G774" s="41" t="str">
        <f t="shared" si="50"/>
        <v>1E</v>
      </c>
    </row>
    <row r="775" spans="1:7" x14ac:dyDescent="0.6">
      <c r="A775" t="str">
        <f t="shared" si="48"/>
        <v>20260123_0773</v>
      </c>
      <c r="B775" s="12">
        <v>46045</v>
      </c>
      <c r="C775" s="13">
        <v>773</v>
      </c>
      <c r="D775" s="4" t="str">
        <f t="shared" si="51"/>
        <v>0A</v>
      </c>
      <c r="E775" s="14">
        <v>0</v>
      </c>
      <c r="F775">
        <f t="shared" si="49"/>
        <v>12</v>
      </c>
      <c r="G775" s="41" t="str">
        <f t="shared" si="50"/>
        <v>0A</v>
      </c>
    </row>
    <row r="776" spans="1:7" x14ac:dyDescent="0.6">
      <c r="A776" t="str">
        <f t="shared" si="48"/>
        <v>20260123_0774</v>
      </c>
      <c r="B776" s="12">
        <v>46045</v>
      </c>
      <c r="C776" s="13">
        <v>774</v>
      </c>
      <c r="D776" s="4" t="str">
        <f t="shared" si="51"/>
        <v>0A</v>
      </c>
      <c r="E776" s="14">
        <v>0</v>
      </c>
      <c r="F776">
        <f t="shared" si="49"/>
        <v>12</v>
      </c>
      <c r="G776" s="41" t="str">
        <f t="shared" si="50"/>
        <v>0A</v>
      </c>
    </row>
    <row r="777" spans="1:7" x14ac:dyDescent="0.6">
      <c r="A777" t="str">
        <f t="shared" si="48"/>
        <v>20260123_0775</v>
      </c>
      <c r="B777" s="12">
        <v>46045</v>
      </c>
      <c r="C777" s="13">
        <v>775</v>
      </c>
      <c r="D777" s="4" t="str">
        <f t="shared" si="51"/>
        <v>0A</v>
      </c>
      <c r="E777" s="14">
        <v>0</v>
      </c>
      <c r="F777">
        <f t="shared" si="49"/>
        <v>12</v>
      </c>
      <c r="G777" s="41" t="str">
        <f t="shared" si="50"/>
        <v>0A</v>
      </c>
    </row>
    <row r="778" spans="1:7" x14ac:dyDescent="0.6">
      <c r="A778" t="str">
        <f t="shared" si="48"/>
        <v>20260123_0776</v>
      </c>
      <c r="B778" s="12">
        <v>46045</v>
      </c>
      <c r="C778" s="13">
        <v>776</v>
      </c>
      <c r="D778" s="4" t="str">
        <f t="shared" si="51"/>
        <v>0A</v>
      </c>
      <c r="E778" s="14">
        <v>0</v>
      </c>
      <c r="F778">
        <f t="shared" si="49"/>
        <v>12</v>
      </c>
      <c r="G778" s="41" t="str">
        <f t="shared" si="50"/>
        <v>0A</v>
      </c>
    </row>
    <row r="779" spans="1:7" x14ac:dyDescent="0.6">
      <c r="A779" t="str">
        <f t="shared" si="48"/>
        <v>20260123_0777</v>
      </c>
      <c r="B779" s="12">
        <v>46045</v>
      </c>
      <c r="C779" s="13">
        <v>777</v>
      </c>
      <c r="D779" s="4" t="str">
        <f t="shared" si="51"/>
        <v>0A</v>
      </c>
      <c r="E779" s="14">
        <v>0</v>
      </c>
      <c r="F779">
        <f t="shared" si="49"/>
        <v>12</v>
      </c>
      <c r="G779" s="41" t="str">
        <f t="shared" si="50"/>
        <v>0A</v>
      </c>
    </row>
    <row r="780" spans="1:7" x14ac:dyDescent="0.6">
      <c r="A780" t="str">
        <f t="shared" si="48"/>
        <v>20260123_0778</v>
      </c>
      <c r="B780" s="12">
        <v>46045</v>
      </c>
      <c r="C780" s="13">
        <v>778</v>
      </c>
      <c r="D780" s="4" t="str">
        <f t="shared" si="51"/>
        <v>1E</v>
      </c>
      <c r="E780" s="14">
        <v>0</v>
      </c>
      <c r="F780">
        <f t="shared" si="49"/>
        <v>12</v>
      </c>
      <c r="G780" s="41" t="str">
        <f t="shared" si="50"/>
        <v>1E</v>
      </c>
    </row>
    <row r="781" spans="1:7" x14ac:dyDescent="0.6">
      <c r="A781" t="str">
        <f t="shared" si="48"/>
        <v>20260123_0779</v>
      </c>
      <c r="B781" s="12">
        <v>46045</v>
      </c>
      <c r="C781" s="13">
        <v>779</v>
      </c>
      <c r="D781" s="4" t="str">
        <f t="shared" si="51"/>
        <v>0A</v>
      </c>
      <c r="E781" s="14">
        <v>0</v>
      </c>
      <c r="F781">
        <f t="shared" si="49"/>
        <v>12</v>
      </c>
      <c r="G781" s="41" t="str">
        <f t="shared" si="50"/>
        <v>0A</v>
      </c>
    </row>
    <row r="782" spans="1:7" x14ac:dyDescent="0.6">
      <c r="A782" t="str">
        <f t="shared" si="48"/>
        <v>20260123_0780</v>
      </c>
      <c r="B782" s="12">
        <v>46045</v>
      </c>
      <c r="C782" s="13">
        <v>780</v>
      </c>
      <c r="D782" s="4" t="str">
        <f t="shared" si="51"/>
        <v>0A</v>
      </c>
      <c r="E782" s="14">
        <v>0</v>
      </c>
      <c r="F782">
        <f t="shared" si="49"/>
        <v>13</v>
      </c>
      <c r="G782" s="41" t="str">
        <f t="shared" si="50"/>
        <v>0A</v>
      </c>
    </row>
    <row r="783" spans="1:7" x14ac:dyDescent="0.6">
      <c r="A783" t="str">
        <f t="shared" si="48"/>
        <v>20260123_0781</v>
      </c>
      <c r="B783" s="12">
        <v>46045</v>
      </c>
      <c r="C783" s="13">
        <v>781</v>
      </c>
      <c r="D783" s="4" t="str">
        <f t="shared" si="51"/>
        <v>1E</v>
      </c>
      <c r="E783" s="14">
        <v>0</v>
      </c>
      <c r="F783">
        <f t="shared" si="49"/>
        <v>13</v>
      </c>
      <c r="G783" s="41" t="str">
        <f t="shared" si="50"/>
        <v>1E</v>
      </c>
    </row>
    <row r="784" spans="1:7" x14ac:dyDescent="0.6">
      <c r="A784" t="str">
        <f t="shared" si="48"/>
        <v>20260123_0782</v>
      </c>
      <c r="B784" s="12">
        <v>46045</v>
      </c>
      <c r="C784" s="13">
        <v>782</v>
      </c>
      <c r="D784" s="4" t="str">
        <f t="shared" si="51"/>
        <v>1E</v>
      </c>
      <c r="E784" s="14">
        <v>0</v>
      </c>
      <c r="F784">
        <f t="shared" si="49"/>
        <v>13</v>
      </c>
      <c r="G784" s="41" t="str">
        <f t="shared" si="50"/>
        <v>1E</v>
      </c>
    </row>
    <row r="785" spans="1:7" x14ac:dyDescent="0.6">
      <c r="A785" t="str">
        <f t="shared" si="48"/>
        <v>20260123_0783</v>
      </c>
      <c r="B785" s="12">
        <v>46045</v>
      </c>
      <c r="C785" s="13">
        <v>783</v>
      </c>
      <c r="D785" s="4" t="str">
        <f t="shared" si="51"/>
        <v>0A</v>
      </c>
      <c r="E785" s="14">
        <v>2.63E-4</v>
      </c>
      <c r="F785">
        <f t="shared" si="49"/>
        <v>13</v>
      </c>
      <c r="G785" s="41" t="str">
        <f t="shared" si="50"/>
        <v>0A</v>
      </c>
    </row>
    <row r="786" spans="1:7" x14ac:dyDescent="0.6">
      <c r="A786" t="str">
        <f t="shared" si="48"/>
        <v>20260123_0784</v>
      </c>
      <c r="B786" s="12">
        <v>46045</v>
      </c>
      <c r="C786" s="13">
        <v>784</v>
      </c>
      <c r="D786" s="4" t="str">
        <f t="shared" si="51"/>
        <v>0A</v>
      </c>
      <c r="E786" s="14">
        <v>0</v>
      </c>
      <c r="F786">
        <f t="shared" si="49"/>
        <v>13</v>
      </c>
      <c r="G786" s="41" t="str">
        <f t="shared" si="50"/>
        <v>0A</v>
      </c>
    </row>
    <row r="787" spans="1:7" x14ac:dyDescent="0.6">
      <c r="A787" t="str">
        <f t="shared" si="48"/>
        <v>20260123_0785</v>
      </c>
      <c r="B787" s="12">
        <v>46045</v>
      </c>
      <c r="C787" s="13">
        <v>785</v>
      </c>
      <c r="D787" s="4" t="str">
        <f t="shared" si="51"/>
        <v>0A</v>
      </c>
      <c r="E787" s="14">
        <v>0</v>
      </c>
      <c r="F787">
        <f t="shared" si="49"/>
        <v>13</v>
      </c>
      <c r="G787" s="41" t="str">
        <f t="shared" si="50"/>
        <v>0A</v>
      </c>
    </row>
    <row r="788" spans="1:7" x14ac:dyDescent="0.6">
      <c r="A788" t="str">
        <f t="shared" si="48"/>
        <v>20260123_0786</v>
      </c>
      <c r="B788" s="12">
        <v>46045</v>
      </c>
      <c r="C788" s="13">
        <v>786</v>
      </c>
      <c r="D788" s="4" t="str">
        <f t="shared" si="51"/>
        <v>0A</v>
      </c>
      <c r="E788" s="14">
        <v>0</v>
      </c>
      <c r="F788">
        <f t="shared" si="49"/>
        <v>13</v>
      </c>
      <c r="G788" s="41" t="str">
        <f t="shared" si="50"/>
        <v>0A</v>
      </c>
    </row>
    <row r="789" spans="1:7" x14ac:dyDescent="0.6">
      <c r="A789" t="str">
        <f t="shared" si="48"/>
        <v>20260123_0787</v>
      </c>
      <c r="B789" s="12">
        <v>46045</v>
      </c>
      <c r="C789" s="13">
        <v>787</v>
      </c>
      <c r="D789" s="4" t="str">
        <f t="shared" si="51"/>
        <v>0A</v>
      </c>
      <c r="E789" s="14">
        <v>0</v>
      </c>
      <c r="F789">
        <f t="shared" si="49"/>
        <v>13</v>
      </c>
      <c r="G789" s="41" t="str">
        <f t="shared" si="50"/>
        <v>0A</v>
      </c>
    </row>
    <row r="790" spans="1:7" x14ac:dyDescent="0.6">
      <c r="A790" t="str">
        <f t="shared" si="48"/>
        <v>20260123_0788</v>
      </c>
      <c r="B790" s="12">
        <v>46045</v>
      </c>
      <c r="C790" s="13">
        <v>788</v>
      </c>
      <c r="D790" s="4" t="str">
        <f t="shared" si="51"/>
        <v>0A</v>
      </c>
      <c r="E790" s="14">
        <v>0</v>
      </c>
      <c r="F790">
        <f t="shared" si="49"/>
        <v>13</v>
      </c>
      <c r="G790" s="41" t="str">
        <f t="shared" si="50"/>
        <v>0A</v>
      </c>
    </row>
    <row r="791" spans="1:7" x14ac:dyDescent="0.6">
      <c r="A791" t="str">
        <f t="shared" si="48"/>
        <v>20260123_0789</v>
      </c>
      <c r="B791" s="12">
        <v>46045</v>
      </c>
      <c r="C791" s="13">
        <v>789</v>
      </c>
      <c r="D791" s="4" t="str">
        <f t="shared" si="51"/>
        <v>0A</v>
      </c>
      <c r="E791" s="14">
        <v>0</v>
      </c>
      <c r="F791">
        <f t="shared" si="49"/>
        <v>13</v>
      </c>
      <c r="G791" s="41" t="str">
        <f t="shared" si="50"/>
        <v>0A</v>
      </c>
    </row>
    <row r="792" spans="1:7" x14ac:dyDescent="0.6">
      <c r="A792" t="str">
        <f t="shared" si="48"/>
        <v>20260123_0790</v>
      </c>
      <c r="B792" s="12">
        <v>46045</v>
      </c>
      <c r="C792" s="13">
        <v>790</v>
      </c>
      <c r="D792" s="4" t="str">
        <f t="shared" si="51"/>
        <v>1E</v>
      </c>
      <c r="E792" s="14">
        <v>0</v>
      </c>
      <c r="F792">
        <f t="shared" si="49"/>
        <v>13</v>
      </c>
      <c r="G792" s="41" t="str">
        <f t="shared" si="50"/>
        <v>1E</v>
      </c>
    </row>
    <row r="793" spans="1:7" x14ac:dyDescent="0.6">
      <c r="A793" t="str">
        <f t="shared" si="48"/>
        <v>20260123_0791</v>
      </c>
      <c r="B793" s="12">
        <v>46045</v>
      </c>
      <c r="C793" s="13">
        <v>791</v>
      </c>
      <c r="D793" s="4" t="str">
        <f t="shared" si="51"/>
        <v>1E</v>
      </c>
      <c r="E793" s="14">
        <v>0</v>
      </c>
      <c r="F793">
        <f t="shared" si="49"/>
        <v>13</v>
      </c>
      <c r="G793" s="41" t="str">
        <f t="shared" si="50"/>
        <v>1E</v>
      </c>
    </row>
    <row r="794" spans="1:7" x14ac:dyDescent="0.6">
      <c r="A794" t="str">
        <f t="shared" si="48"/>
        <v>20260123_0792</v>
      </c>
      <c r="B794" s="12">
        <v>46045</v>
      </c>
      <c r="C794" s="13">
        <v>792</v>
      </c>
      <c r="D794" s="4" t="str">
        <f t="shared" si="51"/>
        <v>0A</v>
      </c>
      <c r="E794" s="14">
        <v>0</v>
      </c>
      <c r="F794">
        <f t="shared" si="49"/>
        <v>13</v>
      </c>
      <c r="G794" s="41" t="str">
        <f t="shared" si="50"/>
        <v>0A</v>
      </c>
    </row>
    <row r="795" spans="1:7" x14ac:dyDescent="0.6">
      <c r="A795" t="str">
        <f t="shared" si="48"/>
        <v>20260123_0793</v>
      </c>
      <c r="B795" s="12">
        <v>46045</v>
      </c>
      <c r="C795" s="13">
        <v>793</v>
      </c>
      <c r="D795" s="4" t="str">
        <f t="shared" si="51"/>
        <v>0A</v>
      </c>
      <c r="E795" s="14">
        <v>0</v>
      </c>
      <c r="F795">
        <f t="shared" si="49"/>
        <v>13</v>
      </c>
      <c r="G795" s="41" t="str">
        <f t="shared" si="50"/>
        <v>0A</v>
      </c>
    </row>
    <row r="796" spans="1:7" x14ac:dyDescent="0.6">
      <c r="A796" t="str">
        <f t="shared" si="48"/>
        <v>20260123_0794</v>
      </c>
      <c r="B796" s="12">
        <v>46045</v>
      </c>
      <c r="C796" s="13">
        <v>794</v>
      </c>
      <c r="D796" s="4" t="str">
        <f t="shared" si="51"/>
        <v>0A</v>
      </c>
      <c r="E796" s="14">
        <v>8.92E-4</v>
      </c>
      <c r="F796">
        <f t="shared" si="49"/>
        <v>13</v>
      </c>
      <c r="G796" s="41" t="str">
        <f t="shared" si="50"/>
        <v>0A</v>
      </c>
    </row>
    <row r="797" spans="1:7" x14ac:dyDescent="0.6">
      <c r="A797" t="str">
        <f t="shared" si="48"/>
        <v>20260123_0795</v>
      </c>
      <c r="B797" s="12">
        <v>46045</v>
      </c>
      <c r="C797" s="13">
        <v>795</v>
      </c>
      <c r="D797" s="4" t="str">
        <f t="shared" si="51"/>
        <v>0A</v>
      </c>
      <c r="E797" s="14">
        <v>2.8600000000000001E-4</v>
      </c>
      <c r="F797">
        <f t="shared" si="49"/>
        <v>13</v>
      </c>
      <c r="G797" s="41" t="str">
        <f t="shared" si="50"/>
        <v>0A</v>
      </c>
    </row>
    <row r="798" spans="1:7" x14ac:dyDescent="0.6">
      <c r="A798" t="str">
        <f t="shared" si="48"/>
        <v>20260123_0796</v>
      </c>
      <c r="B798" s="12">
        <v>46045</v>
      </c>
      <c r="C798" s="13">
        <v>796</v>
      </c>
      <c r="D798" s="4" t="str">
        <f t="shared" si="51"/>
        <v>1E</v>
      </c>
      <c r="E798" s="14">
        <v>0</v>
      </c>
      <c r="F798">
        <f t="shared" si="49"/>
        <v>13</v>
      </c>
      <c r="G798" s="41" t="str">
        <f t="shared" si="50"/>
        <v>1E</v>
      </c>
    </row>
    <row r="799" spans="1:7" x14ac:dyDescent="0.6">
      <c r="A799" t="str">
        <f t="shared" si="48"/>
        <v>20260123_0797</v>
      </c>
      <c r="B799" s="12">
        <v>46045</v>
      </c>
      <c r="C799" s="13">
        <v>797</v>
      </c>
      <c r="D799" s="4" t="str">
        <f t="shared" si="51"/>
        <v>1E</v>
      </c>
      <c r="E799" s="14">
        <v>0</v>
      </c>
      <c r="F799">
        <f t="shared" si="49"/>
        <v>13</v>
      </c>
      <c r="G799" s="41" t="str">
        <f t="shared" si="50"/>
        <v>1E</v>
      </c>
    </row>
    <row r="800" spans="1:7" x14ac:dyDescent="0.6">
      <c r="A800" t="str">
        <f t="shared" si="48"/>
        <v>20260123_0798</v>
      </c>
      <c r="B800" s="12">
        <v>46045</v>
      </c>
      <c r="C800" s="13">
        <v>798</v>
      </c>
      <c r="D800" s="4" t="str">
        <f t="shared" si="51"/>
        <v>0A</v>
      </c>
      <c r="E800" s="14">
        <v>0</v>
      </c>
      <c r="F800">
        <f t="shared" si="49"/>
        <v>13</v>
      </c>
      <c r="G800" s="41" t="str">
        <f t="shared" si="50"/>
        <v>0A</v>
      </c>
    </row>
    <row r="801" spans="1:7" x14ac:dyDescent="0.6">
      <c r="A801" t="str">
        <f t="shared" si="48"/>
        <v>20260123_0799</v>
      </c>
      <c r="B801" s="12">
        <v>46045</v>
      </c>
      <c r="C801" s="13">
        <v>799</v>
      </c>
      <c r="D801" s="4" t="str">
        <f t="shared" si="51"/>
        <v>0A</v>
      </c>
      <c r="E801" s="14">
        <v>5.6999999999999998E-4</v>
      </c>
      <c r="F801">
        <f t="shared" si="49"/>
        <v>13</v>
      </c>
      <c r="G801" s="41" t="str">
        <f t="shared" si="50"/>
        <v>0A</v>
      </c>
    </row>
    <row r="802" spans="1:7" x14ac:dyDescent="0.6">
      <c r="A802" t="str">
        <f t="shared" si="48"/>
        <v>20260123_0800</v>
      </c>
      <c r="B802" s="12">
        <v>46045</v>
      </c>
      <c r="C802" s="13">
        <v>800</v>
      </c>
      <c r="D802" s="4" t="str">
        <f t="shared" si="51"/>
        <v>1E</v>
      </c>
      <c r="E802" s="14">
        <v>0</v>
      </c>
      <c r="F802">
        <f t="shared" si="49"/>
        <v>13</v>
      </c>
      <c r="G802" s="41" t="str">
        <f t="shared" si="50"/>
        <v>1E</v>
      </c>
    </row>
    <row r="803" spans="1:7" x14ac:dyDescent="0.6">
      <c r="A803" t="str">
        <f t="shared" si="48"/>
        <v>20260123_0801</v>
      </c>
      <c r="B803" s="12">
        <v>46045</v>
      </c>
      <c r="C803" s="13">
        <v>801</v>
      </c>
      <c r="D803" s="4" t="str">
        <f t="shared" si="51"/>
        <v>1E</v>
      </c>
      <c r="E803" s="14">
        <v>0</v>
      </c>
      <c r="F803">
        <f t="shared" si="49"/>
        <v>13</v>
      </c>
      <c r="G803" s="41" t="str">
        <f t="shared" si="50"/>
        <v>1E</v>
      </c>
    </row>
    <row r="804" spans="1:7" x14ac:dyDescent="0.6">
      <c r="A804" t="str">
        <f t="shared" si="48"/>
        <v>20260123_0802</v>
      </c>
      <c r="B804" s="12">
        <v>46045</v>
      </c>
      <c r="C804" s="13">
        <v>802</v>
      </c>
      <c r="D804" s="4" t="str">
        <f t="shared" si="51"/>
        <v>1E</v>
      </c>
      <c r="E804" s="14">
        <v>0</v>
      </c>
      <c r="F804">
        <f t="shared" si="49"/>
        <v>13</v>
      </c>
      <c r="G804" s="41" t="str">
        <f t="shared" si="50"/>
        <v>1E</v>
      </c>
    </row>
    <row r="805" spans="1:7" x14ac:dyDescent="0.6">
      <c r="A805" t="str">
        <f t="shared" si="48"/>
        <v>20260123_0803</v>
      </c>
      <c r="B805" s="12">
        <v>46045</v>
      </c>
      <c r="C805" s="13">
        <v>803</v>
      </c>
      <c r="D805" s="4" t="str">
        <f t="shared" si="51"/>
        <v>1E</v>
      </c>
      <c r="E805" s="14">
        <v>0</v>
      </c>
      <c r="F805">
        <f t="shared" si="49"/>
        <v>13</v>
      </c>
      <c r="G805" s="41" t="str">
        <f t="shared" si="50"/>
        <v>1E</v>
      </c>
    </row>
    <row r="806" spans="1:7" x14ac:dyDescent="0.6">
      <c r="A806" t="str">
        <f t="shared" si="48"/>
        <v>20260123_0804</v>
      </c>
      <c r="B806" s="12">
        <v>46045</v>
      </c>
      <c r="C806" s="13">
        <v>804</v>
      </c>
      <c r="D806" s="4" t="str">
        <f t="shared" si="51"/>
        <v>1E</v>
      </c>
      <c r="E806" s="14">
        <v>5.5199999999999997E-4</v>
      </c>
      <c r="F806">
        <f t="shared" si="49"/>
        <v>13</v>
      </c>
      <c r="G806" s="41" t="str">
        <f t="shared" si="50"/>
        <v>1E</v>
      </c>
    </row>
    <row r="807" spans="1:7" x14ac:dyDescent="0.6">
      <c r="A807" t="str">
        <f t="shared" si="48"/>
        <v>20260123_0805</v>
      </c>
      <c r="B807" s="12">
        <v>46045</v>
      </c>
      <c r="C807" s="13">
        <v>805</v>
      </c>
      <c r="D807" s="4" t="str">
        <f t="shared" si="51"/>
        <v>1E</v>
      </c>
      <c r="E807" s="14">
        <v>0</v>
      </c>
      <c r="F807">
        <f t="shared" si="49"/>
        <v>13</v>
      </c>
      <c r="G807" s="41" t="str">
        <f t="shared" si="50"/>
        <v>1E</v>
      </c>
    </row>
    <row r="808" spans="1:7" x14ac:dyDescent="0.6">
      <c r="A808" t="str">
        <f t="shared" si="48"/>
        <v>20260123_0806</v>
      </c>
      <c r="B808" s="12">
        <v>46045</v>
      </c>
      <c r="C808" s="13">
        <v>806</v>
      </c>
      <c r="D808" s="4" t="str">
        <f t="shared" si="51"/>
        <v>1E</v>
      </c>
      <c r="E808" s="14">
        <v>1.5200000000000001E-4</v>
      </c>
      <c r="F808">
        <f t="shared" si="49"/>
        <v>13</v>
      </c>
      <c r="G808" s="41" t="str">
        <f t="shared" si="50"/>
        <v>1E</v>
      </c>
    </row>
    <row r="809" spans="1:7" x14ac:dyDescent="0.6">
      <c r="A809" t="str">
        <f t="shared" si="48"/>
        <v>20260123_0807</v>
      </c>
      <c r="B809" s="12">
        <v>46045</v>
      </c>
      <c r="C809" s="13">
        <v>807</v>
      </c>
      <c r="D809" s="4" t="str">
        <f t="shared" si="51"/>
        <v>1E</v>
      </c>
      <c r="E809" s="14">
        <v>0</v>
      </c>
      <c r="F809">
        <f t="shared" si="49"/>
        <v>13</v>
      </c>
      <c r="G809" s="41" t="str">
        <f t="shared" si="50"/>
        <v>1E</v>
      </c>
    </row>
    <row r="810" spans="1:7" x14ac:dyDescent="0.6">
      <c r="A810" t="str">
        <f t="shared" si="48"/>
        <v>20260123_0808</v>
      </c>
      <c r="B810" s="12">
        <v>46045</v>
      </c>
      <c r="C810" s="13">
        <v>808</v>
      </c>
      <c r="D810" s="4" t="str">
        <f t="shared" si="51"/>
        <v>1E</v>
      </c>
      <c r="E810" s="14">
        <v>0</v>
      </c>
      <c r="F810">
        <f t="shared" si="49"/>
        <v>13</v>
      </c>
      <c r="G810" s="41" t="str">
        <f t="shared" si="50"/>
        <v>1E</v>
      </c>
    </row>
    <row r="811" spans="1:7" x14ac:dyDescent="0.6">
      <c r="A811" t="str">
        <f t="shared" si="48"/>
        <v>20260123_0809</v>
      </c>
      <c r="B811" s="12">
        <v>46045</v>
      </c>
      <c r="C811" s="13">
        <v>809</v>
      </c>
      <c r="D811" s="4" t="str">
        <f t="shared" si="51"/>
        <v>1E</v>
      </c>
      <c r="E811" s="14">
        <v>0</v>
      </c>
      <c r="F811">
        <f t="shared" si="49"/>
        <v>13</v>
      </c>
      <c r="G811" s="41" t="str">
        <f t="shared" si="50"/>
        <v>1E</v>
      </c>
    </row>
    <row r="812" spans="1:7" x14ac:dyDescent="0.6">
      <c r="A812" t="str">
        <f t="shared" si="48"/>
        <v>20260123_0810</v>
      </c>
      <c r="B812" s="12">
        <v>46045</v>
      </c>
      <c r="C812" s="13">
        <v>810</v>
      </c>
      <c r="D812" s="4" t="str">
        <f t="shared" si="51"/>
        <v>1E</v>
      </c>
      <c r="E812" s="14">
        <v>0</v>
      </c>
      <c r="F812">
        <f t="shared" si="49"/>
        <v>13</v>
      </c>
      <c r="G812" s="41" t="str">
        <f t="shared" si="50"/>
        <v>1E</v>
      </c>
    </row>
    <row r="813" spans="1:7" x14ac:dyDescent="0.6">
      <c r="A813" t="str">
        <f t="shared" si="48"/>
        <v>20260123_0811</v>
      </c>
      <c r="B813" s="12">
        <v>46045</v>
      </c>
      <c r="C813" s="13">
        <v>811</v>
      </c>
      <c r="D813" s="4" t="str">
        <f t="shared" si="51"/>
        <v>1E</v>
      </c>
      <c r="E813" s="14">
        <v>0</v>
      </c>
      <c r="F813">
        <f t="shared" si="49"/>
        <v>13</v>
      </c>
      <c r="G813" s="41" t="str">
        <f t="shared" si="50"/>
        <v>1E</v>
      </c>
    </row>
    <row r="814" spans="1:7" x14ac:dyDescent="0.6">
      <c r="A814" t="str">
        <f t="shared" si="48"/>
        <v>20260123_0812</v>
      </c>
      <c r="B814" s="12">
        <v>46045</v>
      </c>
      <c r="C814" s="13">
        <v>812</v>
      </c>
      <c r="D814" s="4" t="str">
        <f t="shared" si="51"/>
        <v>1E</v>
      </c>
      <c r="E814" s="14">
        <v>0</v>
      </c>
      <c r="F814">
        <f t="shared" si="49"/>
        <v>13</v>
      </c>
      <c r="G814" s="41" t="str">
        <f t="shared" si="50"/>
        <v>1E</v>
      </c>
    </row>
    <row r="815" spans="1:7" x14ac:dyDescent="0.6">
      <c r="A815" t="str">
        <f t="shared" si="48"/>
        <v>20260123_0813</v>
      </c>
      <c r="B815" s="12">
        <v>46045</v>
      </c>
      <c r="C815" s="13">
        <v>813</v>
      </c>
      <c r="D815" s="4" t="str">
        <f t="shared" si="51"/>
        <v>1E</v>
      </c>
      <c r="E815" s="14">
        <v>2.5399999999999999E-4</v>
      </c>
      <c r="F815">
        <f t="shared" si="49"/>
        <v>13</v>
      </c>
      <c r="G815" s="41" t="str">
        <f t="shared" si="50"/>
        <v>1E</v>
      </c>
    </row>
    <row r="816" spans="1:7" x14ac:dyDescent="0.6">
      <c r="A816" t="str">
        <f t="shared" si="48"/>
        <v>20260123_0814</v>
      </c>
      <c r="B816" s="12">
        <v>46045</v>
      </c>
      <c r="C816" s="13">
        <v>814</v>
      </c>
      <c r="D816" s="4" t="str">
        <f t="shared" si="51"/>
        <v>1E</v>
      </c>
      <c r="E816" s="14">
        <v>4.28E-4</v>
      </c>
      <c r="F816">
        <f t="shared" si="49"/>
        <v>13</v>
      </c>
      <c r="G816" s="41" t="str">
        <f t="shared" si="50"/>
        <v>1E</v>
      </c>
    </row>
    <row r="817" spans="1:7" x14ac:dyDescent="0.6">
      <c r="A817" t="str">
        <f t="shared" si="48"/>
        <v>20260123_0815</v>
      </c>
      <c r="B817" s="12">
        <v>46045</v>
      </c>
      <c r="C817" s="13">
        <v>815</v>
      </c>
      <c r="D817" s="4" t="str">
        <f t="shared" si="51"/>
        <v>1E</v>
      </c>
      <c r="E817" s="14">
        <v>0</v>
      </c>
      <c r="F817">
        <f t="shared" si="49"/>
        <v>13</v>
      </c>
      <c r="G817" s="41" t="str">
        <f t="shared" si="50"/>
        <v>1E</v>
      </c>
    </row>
    <row r="818" spans="1:7" x14ac:dyDescent="0.6">
      <c r="A818" t="str">
        <f t="shared" si="48"/>
        <v>20260123_0816</v>
      </c>
      <c r="B818" s="12">
        <v>46045</v>
      </c>
      <c r="C818" s="13">
        <v>816</v>
      </c>
      <c r="D818" s="4" t="str">
        <f t="shared" si="51"/>
        <v>1E</v>
      </c>
      <c r="E818" s="14">
        <v>0</v>
      </c>
      <c r="F818">
        <f t="shared" si="49"/>
        <v>13</v>
      </c>
      <c r="G818" s="41" t="str">
        <f t="shared" si="50"/>
        <v>1E</v>
      </c>
    </row>
    <row r="819" spans="1:7" x14ac:dyDescent="0.6">
      <c r="A819" t="str">
        <f t="shared" si="48"/>
        <v>20260123_0817</v>
      </c>
      <c r="B819" s="12">
        <v>46045</v>
      </c>
      <c r="C819" s="13">
        <v>817</v>
      </c>
      <c r="D819" s="4" t="str">
        <f t="shared" si="51"/>
        <v>1E</v>
      </c>
      <c r="E819" s="14">
        <v>0</v>
      </c>
      <c r="F819">
        <f t="shared" si="49"/>
        <v>13</v>
      </c>
      <c r="G819" s="41" t="str">
        <f t="shared" si="50"/>
        <v>1E</v>
      </c>
    </row>
    <row r="820" spans="1:7" x14ac:dyDescent="0.6">
      <c r="A820" t="str">
        <f t="shared" si="48"/>
        <v>20260123_0818</v>
      </c>
      <c r="B820" s="12">
        <v>46045</v>
      </c>
      <c r="C820" s="13">
        <v>818</v>
      </c>
      <c r="D820" s="4" t="str">
        <f t="shared" si="51"/>
        <v>1E</v>
      </c>
      <c r="E820" s="14">
        <v>4.44E-4</v>
      </c>
      <c r="F820">
        <f t="shared" si="49"/>
        <v>13</v>
      </c>
      <c r="G820" s="41" t="str">
        <f t="shared" si="50"/>
        <v>1E</v>
      </c>
    </row>
    <row r="821" spans="1:7" x14ac:dyDescent="0.6">
      <c r="A821" t="str">
        <f t="shared" si="48"/>
        <v>20260123_0819</v>
      </c>
      <c r="B821" s="12">
        <v>46045</v>
      </c>
      <c r="C821" s="13">
        <v>819</v>
      </c>
      <c r="D821" s="4" t="str">
        <f t="shared" si="51"/>
        <v>1E</v>
      </c>
      <c r="E821" s="14">
        <v>0</v>
      </c>
      <c r="F821">
        <f t="shared" si="49"/>
        <v>13</v>
      </c>
      <c r="G821" s="41" t="str">
        <f t="shared" si="50"/>
        <v>1E</v>
      </c>
    </row>
    <row r="822" spans="1:7" x14ac:dyDescent="0.6">
      <c r="A822" t="str">
        <f t="shared" si="48"/>
        <v>20260123_0820</v>
      </c>
      <c r="B822" s="12">
        <v>46045</v>
      </c>
      <c r="C822" s="13">
        <v>820</v>
      </c>
      <c r="D822" s="4" t="str">
        <f t="shared" si="51"/>
        <v>1E</v>
      </c>
      <c r="E822" s="14">
        <v>0</v>
      </c>
      <c r="F822">
        <f t="shared" si="49"/>
        <v>13</v>
      </c>
      <c r="G822" s="41" t="str">
        <f t="shared" si="50"/>
        <v>1E</v>
      </c>
    </row>
    <row r="823" spans="1:7" x14ac:dyDescent="0.6">
      <c r="A823" t="str">
        <f t="shared" si="48"/>
        <v>20260123_0821</v>
      </c>
      <c r="B823" s="12">
        <v>46045</v>
      </c>
      <c r="C823" s="13">
        <v>821</v>
      </c>
      <c r="D823" s="4" t="str">
        <f t="shared" si="51"/>
        <v>1E</v>
      </c>
      <c r="E823" s="14">
        <v>0</v>
      </c>
      <c r="F823">
        <f t="shared" si="49"/>
        <v>13</v>
      </c>
      <c r="G823" s="41" t="str">
        <f t="shared" si="50"/>
        <v>1E</v>
      </c>
    </row>
    <row r="824" spans="1:7" x14ac:dyDescent="0.6">
      <c r="A824" t="str">
        <f t="shared" si="48"/>
        <v>20260123_0822</v>
      </c>
      <c r="B824" s="12">
        <v>46045</v>
      </c>
      <c r="C824" s="13">
        <v>822</v>
      </c>
      <c r="D824" s="4" t="str">
        <f t="shared" si="51"/>
        <v>1E</v>
      </c>
      <c r="E824" s="14">
        <v>0</v>
      </c>
      <c r="F824">
        <f t="shared" si="49"/>
        <v>13</v>
      </c>
      <c r="G824" s="41" t="str">
        <f t="shared" si="50"/>
        <v>1E</v>
      </c>
    </row>
    <row r="825" spans="1:7" x14ac:dyDescent="0.6">
      <c r="A825" t="str">
        <f t="shared" si="48"/>
        <v>20260123_0823</v>
      </c>
      <c r="B825" s="12">
        <v>46045</v>
      </c>
      <c r="C825" s="13">
        <v>823</v>
      </c>
      <c r="D825" s="4" t="str">
        <f t="shared" si="51"/>
        <v>1E</v>
      </c>
      <c r="E825" s="14">
        <v>0</v>
      </c>
      <c r="F825">
        <f t="shared" si="49"/>
        <v>13</v>
      </c>
      <c r="G825" s="41" t="str">
        <f t="shared" si="50"/>
        <v>1E</v>
      </c>
    </row>
    <row r="826" spans="1:7" x14ac:dyDescent="0.6">
      <c r="A826" t="str">
        <f t="shared" si="48"/>
        <v>20260123_0824</v>
      </c>
      <c r="B826" s="12">
        <v>46045</v>
      </c>
      <c r="C826" s="13">
        <v>824</v>
      </c>
      <c r="D826" s="4" t="str">
        <f t="shared" si="51"/>
        <v>1E</v>
      </c>
      <c r="E826" s="14">
        <v>0</v>
      </c>
      <c r="F826">
        <f t="shared" si="49"/>
        <v>13</v>
      </c>
      <c r="G826" s="41" t="str">
        <f t="shared" si="50"/>
        <v>1E</v>
      </c>
    </row>
    <row r="827" spans="1:7" x14ac:dyDescent="0.6">
      <c r="A827" t="str">
        <f t="shared" si="48"/>
        <v>20260123_0825</v>
      </c>
      <c r="B827" s="12">
        <v>46045</v>
      </c>
      <c r="C827" s="13">
        <v>825</v>
      </c>
      <c r="D827" s="4" t="str">
        <f t="shared" si="51"/>
        <v>1E</v>
      </c>
      <c r="E827" s="14">
        <v>0</v>
      </c>
      <c r="F827">
        <f t="shared" si="49"/>
        <v>13</v>
      </c>
      <c r="G827" s="41" t="str">
        <f t="shared" si="50"/>
        <v>1E</v>
      </c>
    </row>
    <row r="828" spans="1:7" x14ac:dyDescent="0.6">
      <c r="A828" t="str">
        <f t="shared" si="48"/>
        <v>20260123_0826</v>
      </c>
      <c r="B828" s="12">
        <v>46045</v>
      </c>
      <c r="C828" s="13">
        <v>826</v>
      </c>
      <c r="D828" s="4" t="str">
        <f t="shared" si="51"/>
        <v>1E</v>
      </c>
      <c r="E828" s="14">
        <v>0</v>
      </c>
      <c r="F828">
        <f t="shared" si="49"/>
        <v>13</v>
      </c>
      <c r="G828" s="41" t="str">
        <f t="shared" si="50"/>
        <v>1E</v>
      </c>
    </row>
    <row r="829" spans="1:7" x14ac:dyDescent="0.6">
      <c r="A829" t="str">
        <f t="shared" si="48"/>
        <v>20260123_0827</v>
      </c>
      <c r="B829" s="12">
        <v>46045</v>
      </c>
      <c r="C829" s="13">
        <v>827</v>
      </c>
      <c r="D829" s="4" t="str">
        <f t="shared" si="51"/>
        <v>1E</v>
      </c>
      <c r="E829" s="14">
        <v>4.1199999999999999E-5</v>
      </c>
      <c r="F829">
        <f t="shared" si="49"/>
        <v>13</v>
      </c>
      <c r="G829" s="41" t="str">
        <f t="shared" si="50"/>
        <v>1E</v>
      </c>
    </row>
    <row r="830" spans="1:7" x14ac:dyDescent="0.6">
      <c r="A830" t="str">
        <f t="shared" si="48"/>
        <v>20260123_0828</v>
      </c>
      <c r="B830" s="12">
        <v>46045</v>
      </c>
      <c r="C830" s="13">
        <v>828</v>
      </c>
      <c r="D830" s="4" t="str">
        <f t="shared" si="51"/>
        <v>1E</v>
      </c>
      <c r="E830" s="14">
        <v>1.27E-4</v>
      </c>
      <c r="F830">
        <f t="shared" si="49"/>
        <v>13</v>
      </c>
      <c r="G830" s="41" t="str">
        <f t="shared" si="50"/>
        <v>1E</v>
      </c>
    </row>
    <row r="831" spans="1:7" x14ac:dyDescent="0.6">
      <c r="A831" t="str">
        <f t="shared" si="48"/>
        <v>20260123_0829</v>
      </c>
      <c r="B831" s="12">
        <v>46045</v>
      </c>
      <c r="C831" s="13">
        <v>829</v>
      </c>
      <c r="D831" s="4" t="str">
        <f t="shared" si="51"/>
        <v>1E</v>
      </c>
      <c r="E831" s="14">
        <v>3.3E-4</v>
      </c>
      <c r="F831">
        <f t="shared" si="49"/>
        <v>13</v>
      </c>
      <c r="G831" s="41" t="str">
        <f t="shared" si="50"/>
        <v>1E</v>
      </c>
    </row>
    <row r="832" spans="1:7" x14ac:dyDescent="0.6">
      <c r="A832" t="str">
        <f t="shared" si="48"/>
        <v>20260123_0830</v>
      </c>
      <c r="B832" s="12">
        <v>46045</v>
      </c>
      <c r="C832" s="13">
        <v>830</v>
      </c>
      <c r="D832" s="4" t="str">
        <f t="shared" si="51"/>
        <v>1E</v>
      </c>
      <c r="E832" s="14">
        <v>0</v>
      </c>
      <c r="F832">
        <f t="shared" si="49"/>
        <v>13</v>
      </c>
      <c r="G832" s="41" t="str">
        <f t="shared" si="50"/>
        <v>1E</v>
      </c>
    </row>
    <row r="833" spans="1:7" x14ac:dyDescent="0.6">
      <c r="A833" t="str">
        <f t="shared" si="48"/>
        <v>20260123_0831</v>
      </c>
      <c r="B833" s="12">
        <v>46045</v>
      </c>
      <c r="C833" s="13">
        <v>831</v>
      </c>
      <c r="D833" s="4" t="str">
        <f t="shared" si="51"/>
        <v>1E</v>
      </c>
      <c r="E833" s="14">
        <v>3.7100000000000002E-4</v>
      </c>
      <c r="F833">
        <f t="shared" si="49"/>
        <v>13</v>
      </c>
      <c r="G833" s="41" t="str">
        <f t="shared" si="50"/>
        <v>1E</v>
      </c>
    </row>
    <row r="834" spans="1:7" x14ac:dyDescent="0.6">
      <c r="A834" t="str">
        <f t="shared" ref="A834:A897" si="52">IF(B834="","",TEXT(B834,"yyyymmdd")&amp;"_"&amp;TEXT(C834,"0000"))</f>
        <v>20260123_0832</v>
      </c>
      <c r="B834" s="12">
        <v>46045</v>
      </c>
      <c r="C834" s="13">
        <v>832</v>
      </c>
      <c r="D834" s="4" t="str">
        <f t="shared" si="51"/>
        <v>1E</v>
      </c>
      <c r="E834" s="14">
        <v>0</v>
      </c>
      <c r="F834">
        <f t="shared" ref="F834:F897" si="53">IF(C834="","",INT(C834/60))</f>
        <v>13</v>
      </c>
      <c r="G834" s="41" t="str">
        <f t="shared" ref="G834:G897" si="54">IF(D834="","",IF(LEN(UPPER(SUBSTITUTE(SUBSTITUTE(TRIM(D834),CHAR(160),"")," ","")))=1,"0"&amp;UPPER(SUBSTITUTE(SUBSTITUTE(TRIM(D834),CHAR(160),"")," ","")),UPPER(SUBSTITUTE(SUBSTITUTE(TRIM(D834),CHAR(160),"")," ",""))))</f>
        <v>1E</v>
      </c>
    </row>
    <row r="835" spans="1:7" x14ac:dyDescent="0.6">
      <c r="A835" t="str">
        <f t="shared" si="52"/>
        <v>20260123_0833</v>
      </c>
      <c r="B835" s="12">
        <v>46045</v>
      </c>
      <c r="C835" s="13">
        <v>833</v>
      </c>
      <c r="D835" s="4" t="str">
        <f t="shared" ref="D835:D898" si="55">MID(I$1,$C835*2+1,2)</f>
        <v>1E</v>
      </c>
      <c r="E835" s="14">
        <v>0</v>
      </c>
      <c r="F835">
        <f t="shared" si="53"/>
        <v>13</v>
      </c>
      <c r="G835" s="41" t="str">
        <f t="shared" si="54"/>
        <v>1E</v>
      </c>
    </row>
    <row r="836" spans="1:7" x14ac:dyDescent="0.6">
      <c r="A836" t="str">
        <f t="shared" si="52"/>
        <v>20260123_0834</v>
      </c>
      <c r="B836" s="12">
        <v>46045</v>
      </c>
      <c r="C836" s="13">
        <v>834</v>
      </c>
      <c r="D836" s="4" t="str">
        <f t="shared" si="55"/>
        <v>1E</v>
      </c>
      <c r="E836" s="14">
        <v>0</v>
      </c>
      <c r="F836">
        <f t="shared" si="53"/>
        <v>13</v>
      </c>
      <c r="G836" s="41" t="str">
        <f t="shared" si="54"/>
        <v>1E</v>
      </c>
    </row>
    <row r="837" spans="1:7" x14ac:dyDescent="0.6">
      <c r="A837" t="str">
        <f t="shared" si="52"/>
        <v>20260123_0835</v>
      </c>
      <c r="B837" s="12">
        <v>46045</v>
      </c>
      <c r="C837" s="13">
        <v>835</v>
      </c>
      <c r="D837" s="4" t="str">
        <f t="shared" si="55"/>
        <v>1E</v>
      </c>
      <c r="E837" s="14">
        <v>0</v>
      </c>
      <c r="F837">
        <f t="shared" si="53"/>
        <v>13</v>
      </c>
      <c r="G837" s="41" t="str">
        <f t="shared" si="54"/>
        <v>1E</v>
      </c>
    </row>
    <row r="838" spans="1:7" x14ac:dyDescent="0.6">
      <c r="A838" t="str">
        <f t="shared" si="52"/>
        <v>20260123_0836</v>
      </c>
      <c r="B838" s="12">
        <v>46045</v>
      </c>
      <c r="C838" s="13">
        <v>836</v>
      </c>
      <c r="D838" s="4" t="str">
        <f t="shared" si="55"/>
        <v>1E</v>
      </c>
      <c r="E838" s="14">
        <v>4.6500000000000003E-4</v>
      </c>
      <c r="F838">
        <f t="shared" si="53"/>
        <v>13</v>
      </c>
      <c r="G838" s="41" t="str">
        <f t="shared" si="54"/>
        <v>1E</v>
      </c>
    </row>
    <row r="839" spans="1:7" x14ac:dyDescent="0.6">
      <c r="A839" t="str">
        <f t="shared" si="52"/>
        <v>20260123_0837</v>
      </c>
      <c r="B839" s="12">
        <v>46045</v>
      </c>
      <c r="C839" s="13">
        <v>837</v>
      </c>
      <c r="D839" s="4" t="str">
        <f t="shared" si="55"/>
        <v>1E</v>
      </c>
      <c r="E839" s="14">
        <v>4.37E-4</v>
      </c>
      <c r="F839">
        <f t="shared" si="53"/>
        <v>13</v>
      </c>
      <c r="G839" s="41" t="str">
        <f t="shared" si="54"/>
        <v>1E</v>
      </c>
    </row>
    <row r="840" spans="1:7" x14ac:dyDescent="0.6">
      <c r="A840" t="str">
        <f t="shared" si="52"/>
        <v>20260123_0838</v>
      </c>
      <c r="B840" s="12">
        <v>46045</v>
      </c>
      <c r="C840" s="13">
        <v>838</v>
      </c>
      <c r="D840" s="4" t="str">
        <f t="shared" si="55"/>
        <v>1E</v>
      </c>
      <c r="E840" s="14">
        <v>0</v>
      </c>
      <c r="F840">
        <f t="shared" si="53"/>
        <v>13</v>
      </c>
      <c r="G840" s="41" t="str">
        <f t="shared" si="54"/>
        <v>1E</v>
      </c>
    </row>
    <row r="841" spans="1:7" x14ac:dyDescent="0.6">
      <c r="A841" t="str">
        <f t="shared" si="52"/>
        <v>20260123_0839</v>
      </c>
      <c r="B841" s="12">
        <v>46045</v>
      </c>
      <c r="C841" s="13">
        <v>839</v>
      </c>
      <c r="D841" s="4" t="str">
        <f t="shared" si="55"/>
        <v>1E</v>
      </c>
      <c r="E841" s="14">
        <v>0</v>
      </c>
      <c r="F841">
        <f t="shared" si="53"/>
        <v>13</v>
      </c>
      <c r="G841" s="41" t="str">
        <f t="shared" si="54"/>
        <v>1E</v>
      </c>
    </row>
    <row r="842" spans="1:7" x14ac:dyDescent="0.6">
      <c r="A842" t="str">
        <f t="shared" si="52"/>
        <v>20260123_0840</v>
      </c>
      <c r="B842" s="12">
        <v>46045</v>
      </c>
      <c r="C842" s="13">
        <v>840</v>
      </c>
      <c r="D842" s="4" t="str">
        <f t="shared" si="55"/>
        <v>1E</v>
      </c>
      <c r="E842" s="14">
        <v>0</v>
      </c>
      <c r="F842">
        <f t="shared" si="53"/>
        <v>14</v>
      </c>
      <c r="G842" s="41" t="str">
        <f t="shared" si="54"/>
        <v>1E</v>
      </c>
    </row>
    <row r="843" spans="1:7" x14ac:dyDescent="0.6">
      <c r="A843" t="str">
        <f t="shared" si="52"/>
        <v>20260123_0841</v>
      </c>
      <c r="B843" s="12">
        <v>46045</v>
      </c>
      <c r="C843" s="13">
        <v>841</v>
      </c>
      <c r="D843" s="4" t="str">
        <f t="shared" si="55"/>
        <v>1E</v>
      </c>
      <c r="E843" s="14">
        <v>0</v>
      </c>
      <c r="F843">
        <f t="shared" si="53"/>
        <v>14</v>
      </c>
      <c r="G843" s="41" t="str">
        <f t="shared" si="54"/>
        <v>1E</v>
      </c>
    </row>
    <row r="844" spans="1:7" x14ac:dyDescent="0.6">
      <c r="A844" t="str">
        <f t="shared" si="52"/>
        <v>20260123_0842</v>
      </c>
      <c r="B844" s="12">
        <v>46045</v>
      </c>
      <c r="C844" s="13">
        <v>842</v>
      </c>
      <c r="D844" s="4" t="str">
        <f t="shared" si="55"/>
        <v>0A</v>
      </c>
      <c r="E844" s="14">
        <v>0</v>
      </c>
      <c r="F844">
        <f t="shared" si="53"/>
        <v>14</v>
      </c>
      <c r="G844" s="41" t="str">
        <f t="shared" si="54"/>
        <v>0A</v>
      </c>
    </row>
    <row r="845" spans="1:7" x14ac:dyDescent="0.6">
      <c r="A845" t="str">
        <f t="shared" si="52"/>
        <v>20260123_0843</v>
      </c>
      <c r="B845" s="12">
        <v>46045</v>
      </c>
      <c r="C845" s="13">
        <v>843</v>
      </c>
      <c r="D845" s="4" t="str">
        <f t="shared" si="55"/>
        <v>1E</v>
      </c>
      <c r="E845" s="14">
        <v>0</v>
      </c>
      <c r="F845">
        <f t="shared" si="53"/>
        <v>14</v>
      </c>
      <c r="G845" s="41" t="str">
        <f t="shared" si="54"/>
        <v>1E</v>
      </c>
    </row>
    <row r="846" spans="1:7" x14ac:dyDescent="0.6">
      <c r="A846" t="str">
        <f t="shared" si="52"/>
        <v>20260123_0844</v>
      </c>
      <c r="B846" s="12">
        <v>46045</v>
      </c>
      <c r="C846" s="13">
        <v>844</v>
      </c>
      <c r="D846" s="4" t="str">
        <f t="shared" si="55"/>
        <v>1E</v>
      </c>
      <c r="E846" s="14">
        <v>0</v>
      </c>
      <c r="F846">
        <f t="shared" si="53"/>
        <v>14</v>
      </c>
      <c r="G846" s="41" t="str">
        <f t="shared" si="54"/>
        <v>1E</v>
      </c>
    </row>
    <row r="847" spans="1:7" x14ac:dyDescent="0.6">
      <c r="A847" t="str">
        <f t="shared" si="52"/>
        <v>20260123_0845</v>
      </c>
      <c r="B847" s="12">
        <v>46045</v>
      </c>
      <c r="C847" s="13">
        <v>845</v>
      </c>
      <c r="D847" s="4" t="str">
        <f t="shared" si="55"/>
        <v>1E</v>
      </c>
      <c r="E847" s="14">
        <v>0</v>
      </c>
      <c r="F847">
        <f t="shared" si="53"/>
        <v>14</v>
      </c>
      <c r="G847" s="41" t="str">
        <f t="shared" si="54"/>
        <v>1E</v>
      </c>
    </row>
    <row r="848" spans="1:7" x14ac:dyDescent="0.6">
      <c r="A848" t="str">
        <f t="shared" si="52"/>
        <v>20260123_0846</v>
      </c>
      <c r="B848" s="12">
        <v>46045</v>
      </c>
      <c r="C848" s="13">
        <v>846</v>
      </c>
      <c r="D848" s="4" t="str">
        <f t="shared" si="55"/>
        <v>0A</v>
      </c>
      <c r="E848" s="14">
        <v>0</v>
      </c>
      <c r="F848">
        <f t="shared" si="53"/>
        <v>14</v>
      </c>
      <c r="G848" s="41" t="str">
        <f t="shared" si="54"/>
        <v>0A</v>
      </c>
    </row>
    <row r="849" spans="1:7" x14ac:dyDescent="0.6">
      <c r="A849" t="str">
        <f t="shared" si="52"/>
        <v>20260123_0847</v>
      </c>
      <c r="B849" s="12">
        <v>46045</v>
      </c>
      <c r="C849" s="13">
        <v>847</v>
      </c>
      <c r="D849" s="4" t="str">
        <f t="shared" si="55"/>
        <v>0A</v>
      </c>
      <c r="E849" s="14">
        <v>0</v>
      </c>
      <c r="F849">
        <f t="shared" si="53"/>
        <v>14</v>
      </c>
      <c r="G849" s="41" t="str">
        <f t="shared" si="54"/>
        <v>0A</v>
      </c>
    </row>
    <row r="850" spans="1:7" x14ac:dyDescent="0.6">
      <c r="A850" t="str">
        <f t="shared" si="52"/>
        <v>20260123_0848</v>
      </c>
      <c r="B850" s="12">
        <v>46045</v>
      </c>
      <c r="C850" s="13">
        <v>848</v>
      </c>
      <c r="D850" s="4" t="str">
        <f t="shared" si="55"/>
        <v>0A</v>
      </c>
      <c r="E850" s="14">
        <v>0</v>
      </c>
      <c r="F850">
        <f t="shared" si="53"/>
        <v>14</v>
      </c>
      <c r="G850" s="41" t="str">
        <f t="shared" si="54"/>
        <v>0A</v>
      </c>
    </row>
    <row r="851" spans="1:7" x14ac:dyDescent="0.6">
      <c r="A851" t="str">
        <f t="shared" si="52"/>
        <v>20260123_0849</v>
      </c>
      <c r="B851" s="12">
        <v>46045</v>
      </c>
      <c r="C851" s="13">
        <v>849</v>
      </c>
      <c r="D851" s="4" t="str">
        <f t="shared" si="55"/>
        <v>0A</v>
      </c>
      <c r="E851" s="14">
        <v>2.5500000000000002E-4</v>
      </c>
      <c r="F851">
        <f t="shared" si="53"/>
        <v>14</v>
      </c>
      <c r="G851" s="41" t="str">
        <f t="shared" si="54"/>
        <v>0A</v>
      </c>
    </row>
    <row r="852" spans="1:7" x14ac:dyDescent="0.6">
      <c r="A852" t="str">
        <f t="shared" si="52"/>
        <v>20260123_0850</v>
      </c>
      <c r="B852" s="12">
        <v>46045</v>
      </c>
      <c r="C852" s="13">
        <v>850</v>
      </c>
      <c r="D852" s="4" t="str">
        <f t="shared" si="55"/>
        <v>0A</v>
      </c>
      <c r="E852" s="14">
        <v>0</v>
      </c>
      <c r="F852">
        <f t="shared" si="53"/>
        <v>14</v>
      </c>
      <c r="G852" s="41" t="str">
        <f t="shared" si="54"/>
        <v>0A</v>
      </c>
    </row>
    <row r="853" spans="1:7" x14ac:dyDescent="0.6">
      <c r="A853" t="str">
        <f t="shared" si="52"/>
        <v>20260123_0851</v>
      </c>
      <c r="B853" s="12">
        <v>46045</v>
      </c>
      <c r="C853" s="13">
        <v>851</v>
      </c>
      <c r="D853" s="4" t="str">
        <f t="shared" si="55"/>
        <v>1E</v>
      </c>
      <c r="E853" s="14">
        <v>0</v>
      </c>
      <c r="F853">
        <f t="shared" si="53"/>
        <v>14</v>
      </c>
      <c r="G853" s="41" t="str">
        <f t="shared" si="54"/>
        <v>1E</v>
      </c>
    </row>
    <row r="854" spans="1:7" x14ac:dyDescent="0.6">
      <c r="A854" t="str">
        <f t="shared" si="52"/>
        <v>20260123_0852</v>
      </c>
      <c r="B854" s="12">
        <v>46045</v>
      </c>
      <c r="C854" s="13">
        <v>852</v>
      </c>
      <c r="D854" s="4" t="str">
        <f t="shared" si="55"/>
        <v>1E</v>
      </c>
      <c r="E854" s="14">
        <v>0</v>
      </c>
      <c r="F854">
        <f t="shared" si="53"/>
        <v>14</v>
      </c>
      <c r="G854" s="41" t="str">
        <f t="shared" si="54"/>
        <v>1E</v>
      </c>
    </row>
    <row r="855" spans="1:7" x14ac:dyDescent="0.6">
      <c r="A855" t="str">
        <f t="shared" si="52"/>
        <v>20260123_0853</v>
      </c>
      <c r="B855" s="12">
        <v>46045</v>
      </c>
      <c r="C855" s="13">
        <v>853</v>
      </c>
      <c r="D855" s="4" t="str">
        <f t="shared" si="55"/>
        <v>1E</v>
      </c>
      <c r="E855" s="14">
        <v>0</v>
      </c>
      <c r="F855">
        <f t="shared" si="53"/>
        <v>14</v>
      </c>
      <c r="G855" s="41" t="str">
        <f t="shared" si="54"/>
        <v>1E</v>
      </c>
    </row>
    <row r="856" spans="1:7" x14ac:dyDescent="0.6">
      <c r="A856" t="str">
        <f t="shared" si="52"/>
        <v>20260123_0854</v>
      </c>
      <c r="B856" s="12">
        <v>46045</v>
      </c>
      <c r="C856" s="13">
        <v>854</v>
      </c>
      <c r="D856" s="4" t="str">
        <f t="shared" si="55"/>
        <v>1E</v>
      </c>
      <c r="E856" s="14">
        <v>0</v>
      </c>
      <c r="F856">
        <f t="shared" si="53"/>
        <v>14</v>
      </c>
      <c r="G856" s="41" t="str">
        <f t="shared" si="54"/>
        <v>1E</v>
      </c>
    </row>
    <row r="857" spans="1:7" x14ac:dyDescent="0.6">
      <c r="A857" t="str">
        <f t="shared" si="52"/>
        <v>20260123_0855</v>
      </c>
      <c r="B857" s="12">
        <v>46045</v>
      </c>
      <c r="C857" s="13">
        <v>855</v>
      </c>
      <c r="D857" s="4" t="str">
        <f t="shared" si="55"/>
        <v>1E</v>
      </c>
      <c r="E857" s="14">
        <v>0</v>
      </c>
      <c r="F857">
        <f t="shared" si="53"/>
        <v>14</v>
      </c>
      <c r="G857" s="41" t="str">
        <f t="shared" si="54"/>
        <v>1E</v>
      </c>
    </row>
    <row r="858" spans="1:7" x14ac:dyDescent="0.6">
      <c r="A858" t="str">
        <f t="shared" si="52"/>
        <v>20260123_0856</v>
      </c>
      <c r="B858" s="12">
        <v>46045</v>
      </c>
      <c r="C858" s="13">
        <v>856</v>
      </c>
      <c r="D858" s="4" t="str">
        <f t="shared" si="55"/>
        <v>1E</v>
      </c>
      <c r="E858" s="14">
        <v>0</v>
      </c>
      <c r="F858">
        <f t="shared" si="53"/>
        <v>14</v>
      </c>
      <c r="G858" s="41" t="str">
        <f t="shared" si="54"/>
        <v>1E</v>
      </c>
    </row>
    <row r="859" spans="1:7" x14ac:dyDescent="0.6">
      <c r="A859" t="str">
        <f t="shared" si="52"/>
        <v>20260123_0857</v>
      </c>
      <c r="B859" s="12">
        <v>46045</v>
      </c>
      <c r="C859" s="13">
        <v>857</v>
      </c>
      <c r="D859" s="4" t="str">
        <f t="shared" si="55"/>
        <v>1E</v>
      </c>
      <c r="E859" s="14">
        <v>0</v>
      </c>
      <c r="F859">
        <f t="shared" si="53"/>
        <v>14</v>
      </c>
      <c r="G859" s="41" t="str">
        <f t="shared" si="54"/>
        <v>1E</v>
      </c>
    </row>
    <row r="860" spans="1:7" x14ac:dyDescent="0.6">
      <c r="A860" t="str">
        <f t="shared" si="52"/>
        <v>20260123_0858</v>
      </c>
      <c r="B860" s="12">
        <v>46045</v>
      </c>
      <c r="C860" s="13">
        <v>858</v>
      </c>
      <c r="D860" s="4" t="str">
        <f t="shared" si="55"/>
        <v>1E</v>
      </c>
      <c r="E860" s="14">
        <v>0</v>
      </c>
      <c r="F860">
        <f t="shared" si="53"/>
        <v>14</v>
      </c>
      <c r="G860" s="41" t="str">
        <f t="shared" si="54"/>
        <v>1E</v>
      </c>
    </row>
    <row r="861" spans="1:7" x14ac:dyDescent="0.6">
      <c r="A861" t="str">
        <f t="shared" si="52"/>
        <v>20260123_0859</v>
      </c>
      <c r="B861" s="12">
        <v>46045</v>
      </c>
      <c r="C861" s="13">
        <v>859</v>
      </c>
      <c r="D861" s="4" t="str">
        <f t="shared" si="55"/>
        <v>14</v>
      </c>
      <c r="E861" s="14">
        <v>0</v>
      </c>
      <c r="F861">
        <f t="shared" si="53"/>
        <v>14</v>
      </c>
      <c r="G861" s="41" t="str">
        <f t="shared" si="54"/>
        <v>14</v>
      </c>
    </row>
    <row r="862" spans="1:7" x14ac:dyDescent="0.6">
      <c r="A862" t="str">
        <f t="shared" si="52"/>
        <v>20260123_0860</v>
      </c>
      <c r="B862" s="12">
        <v>46045</v>
      </c>
      <c r="C862" s="13">
        <v>860</v>
      </c>
      <c r="D862" s="4" t="str">
        <f t="shared" si="55"/>
        <v>1E</v>
      </c>
      <c r="E862" s="14">
        <v>6.11E-4</v>
      </c>
      <c r="F862">
        <f t="shared" si="53"/>
        <v>14</v>
      </c>
      <c r="G862" s="41" t="str">
        <f t="shared" si="54"/>
        <v>1E</v>
      </c>
    </row>
    <row r="863" spans="1:7" x14ac:dyDescent="0.6">
      <c r="A863" t="str">
        <f t="shared" si="52"/>
        <v>20260123_0861</v>
      </c>
      <c r="B863" s="12">
        <v>46045</v>
      </c>
      <c r="C863" s="13">
        <v>861</v>
      </c>
      <c r="D863" s="4" t="str">
        <f t="shared" si="55"/>
        <v>0A</v>
      </c>
      <c r="E863" s="14">
        <v>0</v>
      </c>
      <c r="F863">
        <f t="shared" si="53"/>
        <v>14</v>
      </c>
      <c r="G863" s="41" t="str">
        <f t="shared" si="54"/>
        <v>0A</v>
      </c>
    </row>
    <row r="864" spans="1:7" x14ac:dyDescent="0.6">
      <c r="A864" t="str">
        <f t="shared" si="52"/>
        <v>20260123_0862</v>
      </c>
      <c r="B864" s="12">
        <v>46045</v>
      </c>
      <c r="C864" s="13">
        <v>862</v>
      </c>
      <c r="D864" s="4" t="str">
        <f t="shared" si="55"/>
        <v>0A</v>
      </c>
      <c r="E864" s="14">
        <v>0</v>
      </c>
      <c r="F864">
        <f t="shared" si="53"/>
        <v>14</v>
      </c>
      <c r="G864" s="41" t="str">
        <f t="shared" si="54"/>
        <v>0A</v>
      </c>
    </row>
    <row r="865" spans="1:7" x14ac:dyDescent="0.6">
      <c r="A865" t="str">
        <f t="shared" si="52"/>
        <v>20260123_0863</v>
      </c>
      <c r="B865" s="12">
        <v>46045</v>
      </c>
      <c r="C865" s="13">
        <v>863</v>
      </c>
      <c r="D865" s="4" t="str">
        <f t="shared" si="55"/>
        <v>0A</v>
      </c>
      <c r="E865" s="14">
        <v>0</v>
      </c>
      <c r="F865">
        <f t="shared" si="53"/>
        <v>14</v>
      </c>
      <c r="G865" s="41" t="str">
        <f t="shared" si="54"/>
        <v>0A</v>
      </c>
    </row>
    <row r="866" spans="1:7" x14ac:dyDescent="0.6">
      <c r="A866" t="str">
        <f t="shared" si="52"/>
        <v>20260123_0864</v>
      </c>
      <c r="B866" s="12">
        <v>46045</v>
      </c>
      <c r="C866" s="13">
        <v>864</v>
      </c>
      <c r="D866" s="4" t="str">
        <f t="shared" si="55"/>
        <v>0A</v>
      </c>
      <c r="E866" s="14">
        <v>0</v>
      </c>
      <c r="F866">
        <f t="shared" si="53"/>
        <v>14</v>
      </c>
      <c r="G866" s="41" t="str">
        <f t="shared" si="54"/>
        <v>0A</v>
      </c>
    </row>
    <row r="867" spans="1:7" x14ac:dyDescent="0.6">
      <c r="A867" t="str">
        <f t="shared" si="52"/>
        <v>20260123_0865</v>
      </c>
      <c r="B867" s="12">
        <v>46045</v>
      </c>
      <c r="C867" s="13">
        <v>865</v>
      </c>
      <c r="D867" s="4" t="str">
        <f t="shared" si="55"/>
        <v>0A</v>
      </c>
      <c r="E867" s="14">
        <v>0</v>
      </c>
      <c r="F867">
        <f t="shared" si="53"/>
        <v>14</v>
      </c>
      <c r="G867" s="41" t="str">
        <f t="shared" si="54"/>
        <v>0A</v>
      </c>
    </row>
    <row r="868" spans="1:7" x14ac:dyDescent="0.6">
      <c r="A868" t="str">
        <f t="shared" si="52"/>
        <v>20260123_0866</v>
      </c>
      <c r="B868" s="12">
        <v>46045</v>
      </c>
      <c r="C868" s="13">
        <v>866</v>
      </c>
      <c r="D868" s="4" t="str">
        <f t="shared" si="55"/>
        <v>0A</v>
      </c>
      <c r="E868" s="14">
        <v>0</v>
      </c>
      <c r="F868">
        <f t="shared" si="53"/>
        <v>14</v>
      </c>
      <c r="G868" s="41" t="str">
        <f t="shared" si="54"/>
        <v>0A</v>
      </c>
    </row>
    <row r="869" spans="1:7" x14ac:dyDescent="0.6">
      <c r="A869" t="str">
        <f t="shared" si="52"/>
        <v>20260123_0867</v>
      </c>
      <c r="B869" s="12">
        <v>46045</v>
      </c>
      <c r="C869" s="13">
        <v>867</v>
      </c>
      <c r="D869" s="4" t="str">
        <f t="shared" si="55"/>
        <v>1E</v>
      </c>
      <c r="E869" s="14">
        <v>0</v>
      </c>
      <c r="F869">
        <f t="shared" si="53"/>
        <v>14</v>
      </c>
      <c r="G869" s="41" t="str">
        <f t="shared" si="54"/>
        <v>1E</v>
      </c>
    </row>
    <row r="870" spans="1:7" x14ac:dyDescent="0.6">
      <c r="A870" t="str">
        <f t="shared" si="52"/>
        <v>20260123_0868</v>
      </c>
      <c r="B870" s="12">
        <v>46045</v>
      </c>
      <c r="C870" s="13">
        <v>868</v>
      </c>
      <c r="D870" s="4" t="str">
        <f t="shared" si="55"/>
        <v>1E</v>
      </c>
      <c r="E870" s="14">
        <v>0</v>
      </c>
      <c r="F870">
        <f t="shared" si="53"/>
        <v>14</v>
      </c>
      <c r="G870" s="41" t="str">
        <f t="shared" si="54"/>
        <v>1E</v>
      </c>
    </row>
    <row r="871" spans="1:7" x14ac:dyDescent="0.6">
      <c r="A871" t="str">
        <f t="shared" si="52"/>
        <v>20260123_0869</v>
      </c>
      <c r="B871" s="12">
        <v>46045</v>
      </c>
      <c r="C871" s="13">
        <v>869</v>
      </c>
      <c r="D871" s="4" t="str">
        <f t="shared" si="55"/>
        <v>1E</v>
      </c>
      <c r="E871" s="14">
        <v>0</v>
      </c>
      <c r="F871">
        <f t="shared" si="53"/>
        <v>14</v>
      </c>
      <c r="G871" s="41" t="str">
        <f t="shared" si="54"/>
        <v>1E</v>
      </c>
    </row>
    <row r="872" spans="1:7" x14ac:dyDescent="0.6">
      <c r="A872" t="str">
        <f t="shared" si="52"/>
        <v>20260123_0870</v>
      </c>
      <c r="B872" s="12">
        <v>46045</v>
      </c>
      <c r="C872" s="13">
        <v>870</v>
      </c>
      <c r="D872" s="4" t="str">
        <f t="shared" si="55"/>
        <v>1E</v>
      </c>
      <c r="E872" s="14">
        <v>0</v>
      </c>
      <c r="F872">
        <f t="shared" si="53"/>
        <v>14</v>
      </c>
      <c r="G872" s="41" t="str">
        <f t="shared" si="54"/>
        <v>1E</v>
      </c>
    </row>
    <row r="873" spans="1:7" x14ac:dyDescent="0.6">
      <c r="A873" t="str">
        <f t="shared" si="52"/>
        <v>20260123_0871</v>
      </c>
      <c r="B873" s="12">
        <v>46045</v>
      </c>
      <c r="C873" s="13">
        <v>871</v>
      </c>
      <c r="D873" s="4" t="str">
        <f t="shared" si="55"/>
        <v>1E</v>
      </c>
      <c r="E873" s="14">
        <v>2.5900000000000001E-4</v>
      </c>
      <c r="F873">
        <f t="shared" si="53"/>
        <v>14</v>
      </c>
      <c r="G873" s="41" t="str">
        <f t="shared" si="54"/>
        <v>1E</v>
      </c>
    </row>
    <row r="874" spans="1:7" x14ac:dyDescent="0.6">
      <c r="A874" t="str">
        <f t="shared" si="52"/>
        <v>20260123_0872</v>
      </c>
      <c r="B874" s="12">
        <v>46045</v>
      </c>
      <c r="C874" s="13">
        <v>872</v>
      </c>
      <c r="D874" s="4" t="str">
        <f t="shared" si="55"/>
        <v>1E</v>
      </c>
      <c r="E874" s="14">
        <v>0</v>
      </c>
      <c r="F874">
        <f t="shared" si="53"/>
        <v>14</v>
      </c>
      <c r="G874" s="41" t="str">
        <f t="shared" si="54"/>
        <v>1E</v>
      </c>
    </row>
    <row r="875" spans="1:7" x14ac:dyDescent="0.6">
      <c r="A875" t="str">
        <f t="shared" si="52"/>
        <v>20260123_0873</v>
      </c>
      <c r="B875" s="12">
        <v>46045</v>
      </c>
      <c r="C875" s="13">
        <v>873</v>
      </c>
      <c r="D875" s="4" t="str">
        <f t="shared" si="55"/>
        <v>1E</v>
      </c>
      <c r="E875" s="14">
        <v>6.2799999999999998E-4</v>
      </c>
      <c r="F875">
        <f t="shared" si="53"/>
        <v>14</v>
      </c>
      <c r="G875" s="41" t="str">
        <f t="shared" si="54"/>
        <v>1E</v>
      </c>
    </row>
    <row r="876" spans="1:7" x14ac:dyDescent="0.6">
      <c r="A876" t="str">
        <f t="shared" si="52"/>
        <v>20260123_0874</v>
      </c>
      <c r="B876" s="12">
        <v>46045</v>
      </c>
      <c r="C876" s="13">
        <v>874</v>
      </c>
      <c r="D876" s="4" t="str">
        <f t="shared" si="55"/>
        <v>1E</v>
      </c>
      <c r="E876" s="14">
        <v>0</v>
      </c>
      <c r="F876">
        <f t="shared" si="53"/>
        <v>14</v>
      </c>
      <c r="G876" s="41" t="str">
        <f t="shared" si="54"/>
        <v>1E</v>
      </c>
    </row>
    <row r="877" spans="1:7" x14ac:dyDescent="0.6">
      <c r="A877" t="str">
        <f t="shared" si="52"/>
        <v>20260123_0875</v>
      </c>
      <c r="B877" s="12">
        <v>46045</v>
      </c>
      <c r="C877" s="13">
        <v>875</v>
      </c>
      <c r="D877" s="4" t="str">
        <f t="shared" si="55"/>
        <v>1E</v>
      </c>
      <c r="E877" s="14">
        <v>0</v>
      </c>
      <c r="F877">
        <f t="shared" si="53"/>
        <v>14</v>
      </c>
      <c r="G877" s="41" t="str">
        <f t="shared" si="54"/>
        <v>1E</v>
      </c>
    </row>
    <row r="878" spans="1:7" x14ac:dyDescent="0.6">
      <c r="A878" t="str">
        <f t="shared" si="52"/>
        <v>20260123_0876</v>
      </c>
      <c r="B878" s="12">
        <v>46045</v>
      </c>
      <c r="C878" s="13">
        <v>876</v>
      </c>
      <c r="D878" s="4" t="str">
        <f t="shared" si="55"/>
        <v>1E</v>
      </c>
      <c r="E878" s="14">
        <v>0</v>
      </c>
      <c r="F878">
        <f t="shared" si="53"/>
        <v>14</v>
      </c>
      <c r="G878" s="41" t="str">
        <f t="shared" si="54"/>
        <v>1E</v>
      </c>
    </row>
    <row r="879" spans="1:7" x14ac:dyDescent="0.6">
      <c r="A879" t="str">
        <f t="shared" si="52"/>
        <v>20260123_0877</v>
      </c>
      <c r="B879" s="12">
        <v>46045</v>
      </c>
      <c r="C879" s="13">
        <v>877</v>
      </c>
      <c r="D879" s="4" t="str">
        <f t="shared" si="55"/>
        <v>1E</v>
      </c>
      <c r="E879" s="14">
        <v>0</v>
      </c>
      <c r="F879">
        <f t="shared" si="53"/>
        <v>14</v>
      </c>
      <c r="G879" s="41" t="str">
        <f t="shared" si="54"/>
        <v>1E</v>
      </c>
    </row>
    <row r="880" spans="1:7" x14ac:dyDescent="0.6">
      <c r="A880" t="str">
        <f t="shared" si="52"/>
        <v>20260123_0878</v>
      </c>
      <c r="B880" s="12">
        <v>46045</v>
      </c>
      <c r="C880" s="13">
        <v>878</v>
      </c>
      <c r="D880" s="4" t="str">
        <f t="shared" si="55"/>
        <v>1E</v>
      </c>
      <c r="E880" s="14">
        <v>0</v>
      </c>
      <c r="F880">
        <f t="shared" si="53"/>
        <v>14</v>
      </c>
      <c r="G880" s="41" t="str">
        <f t="shared" si="54"/>
        <v>1E</v>
      </c>
    </row>
    <row r="881" spans="1:7" x14ac:dyDescent="0.6">
      <c r="A881" t="str">
        <f t="shared" si="52"/>
        <v>20260123_0879</v>
      </c>
      <c r="B881" s="12">
        <v>46045</v>
      </c>
      <c r="C881" s="13">
        <v>879</v>
      </c>
      <c r="D881" s="4" t="str">
        <f t="shared" si="55"/>
        <v>14</v>
      </c>
      <c r="E881" s="14">
        <v>0</v>
      </c>
      <c r="F881">
        <f t="shared" si="53"/>
        <v>14</v>
      </c>
      <c r="G881" s="41" t="str">
        <f t="shared" si="54"/>
        <v>14</v>
      </c>
    </row>
    <row r="882" spans="1:7" x14ac:dyDescent="0.6">
      <c r="A882" t="str">
        <f t="shared" si="52"/>
        <v>20260123_0880</v>
      </c>
      <c r="B882" s="12">
        <v>46045</v>
      </c>
      <c r="C882" s="13">
        <v>880</v>
      </c>
      <c r="D882" s="4" t="str">
        <f t="shared" si="55"/>
        <v>14</v>
      </c>
      <c r="E882" s="14">
        <v>0</v>
      </c>
      <c r="F882">
        <f t="shared" si="53"/>
        <v>14</v>
      </c>
      <c r="G882" s="41" t="str">
        <f t="shared" si="54"/>
        <v>14</v>
      </c>
    </row>
    <row r="883" spans="1:7" x14ac:dyDescent="0.6">
      <c r="A883" t="str">
        <f t="shared" si="52"/>
        <v>20260123_0881</v>
      </c>
      <c r="B883" s="12">
        <v>46045</v>
      </c>
      <c r="C883" s="13">
        <v>881</v>
      </c>
      <c r="D883" s="4" t="str">
        <f t="shared" si="55"/>
        <v>14</v>
      </c>
      <c r="E883" s="14">
        <v>0</v>
      </c>
      <c r="F883">
        <f t="shared" si="53"/>
        <v>14</v>
      </c>
      <c r="G883" s="41" t="str">
        <f t="shared" si="54"/>
        <v>14</v>
      </c>
    </row>
    <row r="884" spans="1:7" x14ac:dyDescent="0.6">
      <c r="A884" t="str">
        <f t="shared" si="52"/>
        <v>20260123_0882</v>
      </c>
      <c r="B884" s="12">
        <v>46045</v>
      </c>
      <c r="C884" s="13">
        <v>882</v>
      </c>
      <c r="D884" s="4" t="str">
        <f t="shared" si="55"/>
        <v>14</v>
      </c>
      <c r="E884" s="14">
        <v>2.6499999999999999E-4</v>
      </c>
      <c r="F884">
        <f t="shared" si="53"/>
        <v>14</v>
      </c>
      <c r="G884" s="41" t="str">
        <f t="shared" si="54"/>
        <v>14</v>
      </c>
    </row>
    <row r="885" spans="1:7" x14ac:dyDescent="0.6">
      <c r="A885" t="str">
        <f t="shared" si="52"/>
        <v>20260123_0883</v>
      </c>
      <c r="B885" s="12">
        <v>46045</v>
      </c>
      <c r="C885" s="13">
        <v>883</v>
      </c>
      <c r="D885" s="4" t="str">
        <f t="shared" si="55"/>
        <v>14</v>
      </c>
      <c r="E885" s="14">
        <v>0</v>
      </c>
      <c r="F885">
        <f t="shared" si="53"/>
        <v>14</v>
      </c>
      <c r="G885" s="41" t="str">
        <f t="shared" si="54"/>
        <v>14</v>
      </c>
    </row>
    <row r="886" spans="1:7" x14ac:dyDescent="0.6">
      <c r="A886" t="str">
        <f t="shared" si="52"/>
        <v>20260123_0884</v>
      </c>
      <c r="B886" s="12">
        <v>46045</v>
      </c>
      <c r="C886" s="13">
        <v>884</v>
      </c>
      <c r="D886" s="4" t="str">
        <f t="shared" si="55"/>
        <v>14</v>
      </c>
      <c r="E886" s="14">
        <v>0</v>
      </c>
      <c r="F886">
        <f t="shared" si="53"/>
        <v>14</v>
      </c>
      <c r="G886" s="41" t="str">
        <f t="shared" si="54"/>
        <v>14</v>
      </c>
    </row>
    <row r="887" spans="1:7" x14ac:dyDescent="0.6">
      <c r="A887" t="str">
        <f t="shared" si="52"/>
        <v>20260123_0885</v>
      </c>
      <c r="B887" s="12">
        <v>46045</v>
      </c>
      <c r="C887" s="13">
        <v>885</v>
      </c>
      <c r="D887" s="4" t="str">
        <f t="shared" si="55"/>
        <v>14</v>
      </c>
      <c r="E887" s="14">
        <v>0</v>
      </c>
      <c r="F887">
        <f t="shared" si="53"/>
        <v>14</v>
      </c>
      <c r="G887" s="41" t="str">
        <f t="shared" si="54"/>
        <v>14</v>
      </c>
    </row>
    <row r="888" spans="1:7" x14ac:dyDescent="0.6">
      <c r="A888" t="str">
        <f t="shared" si="52"/>
        <v>20260123_0886</v>
      </c>
      <c r="B888" s="12">
        <v>46045</v>
      </c>
      <c r="C888" s="13">
        <v>886</v>
      </c>
      <c r="D888" s="4" t="str">
        <f t="shared" si="55"/>
        <v>14</v>
      </c>
      <c r="E888" s="14">
        <v>0.63801920099999998</v>
      </c>
      <c r="F888">
        <f t="shared" si="53"/>
        <v>14</v>
      </c>
      <c r="G888" s="41" t="str">
        <f t="shared" si="54"/>
        <v>14</v>
      </c>
    </row>
    <row r="889" spans="1:7" x14ac:dyDescent="0.6">
      <c r="A889" t="str">
        <f t="shared" si="52"/>
        <v>20260123_0887</v>
      </c>
      <c r="B889" s="12">
        <v>46045</v>
      </c>
      <c r="C889" s="13">
        <v>887</v>
      </c>
      <c r="D889" s="4" t="str">
        <f t="shared" si="55"/>
        <v>14</v>
      </c>
      <c r="E889" s="14">
        <v>2.4041655450000001</v>
      </c>
      <c r="F889">
        <f t="shared" si="53"/>
        <v>14</v>
      </c>
      <c r="G889" s="41" t="str">
        <f t="shared" si="54"/>
        <v>14</v>
      </c>
    </row>
    <row r="890" spans="1:7" x14ac:dyDescent="0.6">
      <c r="A890" t="str">
        <f t="shared" si="52"/>
        <v>20260123_0888</v>
      </c>
      <c r="B890" s="12">
        <v>46045</v>
      </c>
      <c r="C890" s="13">
        <v>888</v>
      </c>
      <c r="D890" s="4" t="str">
        <f t="shared" si="55"/>
        <v>14</v>
      </c>
      <c r="E890" s="14">
        <v>1.7959820000000001E-2</v>
      </c>
      <c r="F890">
        <f t="shared" si="53"/>
        <v>14</v>
      </c>
      <c r="G890" s="41" t="str">
        <f t="shared" si="54"/>
        <v>14</v>
      </c>
    </row>
    <row r="891" spans="1:7" x14ac:dyDescent="0.6">
      <c r="A891" t="str">
        <f t="shared" si="52"/>
        <v>20260123_0889</v>
      </c>
      <c r="B891" s="12">
        <v>46045</v>
      </c>
      <c r="C891" s="13">
        <v>889</v>
      </c>
      <c r="D891" s="4" t="str">
        <f t="shared" si="55"/>
        <v>14</v>
      </c>
      <c r="E891" s="14">
        <v>2.4399999999999999E-4</v>
      </c>
      <c r="F891">
        <f t="shared" si="53"/>
        <v>14</v>
      </c>
      <c r="G891" s="41" t="str">
        <f t="shared" si="54"/>
        <v>14</v>
      </c>
    </row>
    <row r="892" spans="1:7" x14ac:dyDescent="0.6">
      <c r="A892" t="str">
        <f t="shared" si="52"/>
        <v>20260123_0890</v>
      </c>
      <c r="B892" s="12">
        <v>46045</v>
      </c>
      <c r="C892" s="13">
        <v>890</v>
      </c>
      <c r="D892" s="4" t="str">
        <f t="shared" si="55"/>
        <v>14</v>
      </c>
      <c r="E892" s="14">
        <v>0</v>
      </c>
      <c r="F892">
        <f t="shared" si="53"/>
        <v>14</v>
      </c>
      <c r="G892" s="41" t="str">
        <f t="shared" si="54"/>
        <v>14</v>
      </c>
    </row>
    <row r="893" spans="1:7" x14ac:dyDescent="0.6">
      <c r="A893" t="str">
        <f t="shared" si="52"/>
        <v>20260123_0891</v>
      </c>
      <c r="B893" s="12">
        <v>46045</v>
      </c>
      <c r="C893" s="13">
        <v>891</v>
      </c>
      <c r="D893" s="4" t="str">
        <f t="shared" si="55"/>
        <v>0A</v>
      </c>
      <c r="E893" s="14">
        <v>0</v>
      </c>
      <c r="F893">
        <f t="shared" si="53"/>
        <v>14</v>
      </c>
      <c r="G893" s="41" t="str">
        <f t="shared" si="54"/>
        <v>0A</v>
      </c>
    </row>
    <row r="894" spans="1:7" x14ac:dyDescent="0.6">
      <c r="A894" t="str">
        <f t="shared" si="52"/>
        <v>20260123_0892</v>
      </c>
      <c r="B894" s="12">
        <v>46045</v>
      </c>
      <c r="C894" s="13">
        <v>892</v>
      </c>
      <c r="D894" s="4" t="str">
        <f t="shared" si="55"/>
        <v>14</v>
      </c>
      <c r="E894" s="14">
        <v>0</v>
      </c>
      <c r="F894">
        <f t="shared" si="53"/>
        <v>14</v>
      </c>
      <c r="G894" s="41" t="str">
        <f t="shared" si="54"/>
        <v>14</v>
      </c>
    </row>
    <row r="895" spans="1:7" x14ac:dyDescent="0.6">
      <c r="A895" t="str">
        <f t="shared" si="52"/>
        <v>20260123_0893</v>
      </c>
      <c r="B895" s="12">
        <v>46045</v>
      </c>
      <c r="C895" s="13">
        <v>893</v>
      </c>
      <c r="D895" s="4" t="str">
        <f t="shared" si="55"/>
        <v>14</v>
      </c>
      <c r="E895" s="14">
        <v>1.7200000000000001E-4</v>
      </c>
      <c r="F895">
        <f t="shared" si="53"/>
        <v>14</v>
      </c>
      <c r="G895" s="41" t="str">
        <f t="shared" si="54"/>
        <v>14</v>
      </c>
    </row>
    <row r="896" spans="1:7" x14ac:dyDescent="0.6">
      <c r="A896" t="str">
        <f t="shared" si="52"/>
        <v>20260123_0894</v>
      </c>
      <c r="B896" s="12">
        <v>46045</v>
      </c>
      <c r="C896" s="13">
        <v>894</v>
      </c>
      <c r="D896" s="4" t="str">
        <f t="shared" si="55"/>
        <v>1E</v>
      </c>
      <c r="E896" s="14">
        <v>4.26E-4</v>
      </c>
      <c r="F896">
        <f t="shared" si="53"/>
        <v>14</v>
      </c>
      <c r="G896" s="41" t="str">
        <f t="shared" si="54"/>
        <v>1E</v>
      </c>
    </row>
    <row r="897" spans="1:7" x14ac:dyDescent="0.6">
      <c r="A897" t="str">
        <f t="shared" si="52"/>
        <v>20260123_0895</v>
      </c>
      <c r="B897" s="12">
        <v>46045</v>
      </c>
      <c r="C897" s="13">
        <v>895</v>
      </c>
      <c r="D897" s="4" t="str">
        <f t="shared" si="55"/>
        <v>0A</v>
      </c>
      <c r="E897" s="14">
        <v>0</v>
      </c>
      <c r="F897">
        <f t="shared" si="53"/>
        <v>14</v>
      </c>
      <c r="G897" s="41" t="str">
        <f t="shared" si="54"/>
        <v>0A</v>
      </c>
    </row>
    <row r="898" spans="1:7" x14ac:dyDescent="0.6">
      <c r="A898" t="str">
        <f t="shared" ref="A898:A961" si="56">IF(B898="","",TEXT(B898,"yyyymmdd")&amp;"_"&amp;TEXT(C898,"0000"))</f>
        <v>20260123_0896</v>
      </c>
      <c r="B898" s="12">
        <v>46045</v>
      </c>
      <c r="C898" s="13">
        <v>896</v>
      </c>
      <c r="D898" s="4" t="str">
        <f t="shared" si="55"/>
        <v>0A</v>
      </c>
      <c r="E898" s="14">
        <v>0</v>
      </c>
      <c r="F898">
        <f t="shared" ref="F898:F961" si="57">IF(C898="","",INT(C898/60))</f>
        <v>14</v>
      </c>
      <c r="G898" s="41" t="str">
        <f t="shared" ref="G898:G961" si="58">IF(D898="","",IF(LEN(UPPER(SUBSTITUTE(SUBSTITUTE(TRIM(D898),CHAR(160),"")," ","")))=1,"0"&amp;UPPER(SUBSTITUTE(SUBSTITUTE(TRIM(D898),CHAR(160),"")," ","")),UPPER(SUBSTITUTE(SUBSTITUTE(TRIM(D898),CHAR(160),"")," ",""))))</f>
        <v>0A</v>
      </c>
    </row>
    <row r="899" spans="1:7" x14ac:dyDescent="0.6">
      <c r="A899" t="str">
        <f t="shared" si="56"/>
        <v>20260123_0897</v>
      </c>
      <c r="B899" s="12">
        <v>46045</v>
      </c>
      <c r="C899" s="13">
        <v>897</v>
      </c>
      <c r="D899" s="4" t="str">
        <f t="shared" ref="D899:D962" si="59">MID(I$1,$C899*2+1,2)</f>
        <v>0A</v>
      </c>
      <c r="E899" s="14">
        <v>0</v>
      </c>
      <c r="F899">
        <f t="shared" si="57"/>
        <v>14</v>
      </c>
      <c r="G899" s="41" t="str">
        <f t="shared" si="58"/>
        <v>0A</v>
      </c>
    </row>
    <row r="900" spans="1:7" x14ac:dyDescent="0.6">
      <c r="A900" t="str">
        <f t="shared" si="56"/>
        <v>20260123_0898</v>
      </c>
      <c r="B900" s="12">
        <v>46045</v>
      </c>
      <c r="C900" s="13">
        <v>898</v>
      </c>
      <c r="D900" s="4" t="str">
        <f t="shared" si="59"/>
        <v>0A</v>
      </c>
      <c r="E900" s="14">
        <v>0</v>
      </c>
      <c r="F900">
        <f t="shared" si="57"/>
        <v>14</v>
      </c>
      <c r="G900" s="41" t="str">
        <f t="shared" si="58"/>
        <v>0A</v>
      </c>
    </row>
    <row r="901" spans="1:7" x14ac:dyDescent="0.6">
      <c r="A901" t="str">
        <f t="shared" si="56"/>
        <v>20260123_0899</v>
      </c>
      <c r="B901" s="12">
        <v>46045</v>
      </c>
      <c r="C901" s="13">
        <v>899</v>
      </c>
      <c r="D901" s="4" t="str">
        <f t="shared" si="59"/>
        <v>0A</v>
      </c>
      <c r="E901" s="14">
        <v>0</v>
      </c>
      <c r="F901">
        <f t="shared" si="57"/>
        <v>14</v>
      </c>
      <c r="G901" s="41" t="str">
        <f t="shared" si="58"/>
        <v>0A</v>
      </c>
    </row>
    <row r="902" spans="1:7" x14ac:dyDescent="0.6">
      <c r="A902" t="str">
        <f t="shared" si="56"/>
        <v>20260123_0900</v>
      </c>
      <c r="B902" s="12">
        <v>46045</v>
      </c>
      <c r="C902" s="13">
        <v>900</v>
      </c>
      <c r="D902" s="4" t="str">
        <f t="shared" si="59"/>
        <v>0A</v>
      </c>
      <c r="E902" s="14">
        <v>0</v>
      </c>
      <c r="F902">
        <f t="shared" si="57"/>
        <v>15</v>
      </c>
      <c r="G902" s="41" t="str">
        <f t="shared" si="58"/>
        <v>0A</v>
      </c>
    </row>
    <row r="903" spans="1:7" x14ac:dyDescent="0.6">
      <c r="A903" t="str">
        <f t="shared" si="56"/>
        <v>20260123_0901</v>
      </c>
      <c r="B903" s="12">
        <v>46045</v>
      </c>
      <c r="C903" s="13">
        <v>901</v>
      </c>
      <c r="D903" s="4" t="str">
        <f t="shared" si="59"/>
        <v>0A</v>
      </c>
      <c r="E903" s="14">
        <v>0</v>
      </c>
      <c r="F903">
        <f t="shared" si="57"/>
        <v>15</v>
      </c>
      <c r="G903" s="41" t="str">
        <f t="shared" si="58"/>
        <v>0A</v>
      </c>
    </row>
    <row r="904" spans="1:7" x14ac:dyDescent="0.6">
      <c r="A904" t="str">
        <f t="shared" si="56"/>
        <v>20260123_0902</v>
      </c>
      <c r="B904" s="12">
        <v>46045</v>
      </c>
      <c r="C904" s="13">
        <v>902</v>
      </c>
      <c r="D904" s="4" t="str">
        <f t="shared" si="59"/>
        <v>0A</v>
      </c>
      <c r="E904" s="14">
        <v>0</v>
      </c>
      <c r="F904">
        <f t="shared" si="57"/>
        <v>15</v>
      </c>
      <c r="G904" s="41" t="str">
        <f t="shared" si="58"/>
        <v>0A</v>
      </c>
    </row>
    <row r="905" spans="1:7" x14ac:dyDescent="0.6">
      <c r="A905" t="str">
        <f t="shared" si="56"/>
        <v>20260123_0903</v>
      </c>
      <c r="B905" s="12">
        <v>46045</v>
      </c>
      <c r="C905" s="13">
        <v>903</v>
      </c>
      <c r="D905" s="4" t="str">
        <f t="shared" si="59"/>
        <v>0A</v>
      </c>
      <c r="E905" s="14">
        <v>0</v>
      </c>
      <c r="F905">
        <f t="shared" si="57"/>
        <v>15</v>
      </c>
      <c r="G905" s="41" t="str">
        <f t="shared" si="58"/>
        <v>0A</v>
      </c>
    </row>
    <row r="906" spans="1:7" x14ac:dyDescent="0.6">
      <c r="A906" t="str">
        <f t="shared" si="56"/>
        <v>20260123_0904</v>
      </c>
      <c r="B906" s="12">
        <v>46045</v>
      </c>
      <c r="C906" s="13">
        <v>904</v>
      </c>
      <c r="D906" s="4" t="str">
        <f t="shared" si="59"/>
        <v>0A</v>
      </c>
      <c r="E906" s="14">
        <v>0</v>
      </c>
      <c r="F906">
        <f t="shared" si="57"/>
        <v>15</v>
      </c>
      <c r="G906" s="41" t="str">
        <f t="shared" si="58"/>
        <v>0A</v>
      </c>
    </row>
    <row r="907" spans="1:7" x14ac:dyDescent="0.6">
      <c r="A907" t="str">
        <f t="shared" si="56"/>
        <v>20260123_0905</v>
      </c>
      <c r="B907" s="12">
        <v>46045</v>
      </c>
      <c r="C907" s="13">
        <v>905</v>
      </c>
      <c r="D907" s="4" t="str">
        <f t="shared" si="59"/>
        <v>0A</v>
      </c>
      <c r="E907" s="14">
        <v>0</v>
      </c>
      <c r="F907">
        <f t="shared" si="57"/>
        <v>15</v>
      </c>
      <c r="G907" s="41" t="str">
        <f t="shared" si="58"/>
        <v>0A</v>
      </c>
    </row>
    <row r="908" spans="1:7" x14ac:dyDescent="0.6">
      <c r="A908" t="str">
        <f t="shared" si="56"/>
        <v>20260123_0906</v>
      </c>
      <c r="B908" s="12">
        <v>46045</v>
      </c>
      <c r="C908" s="13">
        <v>906</v>
      </c>
      <c r="D908" s="4" t="str">
        <f t="shared" si="59"/>
        <v>0A</v>
      </c>
      <c r="E908" s="14">
        <v>0</v>
      </c>
      <c r="F908">
        <f t="shared" si="57"/>
        <v>15</v>
      </c>
      <c r="G908" s="41" t="str">
        <f t="shared" si="58"/>
        <v>0A</v>
      </c>
    </row>
    <row r="909" spans="1:7" x14ac:dyDescent="0.6">
      <c r="A909" t="str">
        <f t="shared" si="56"/>
        <v>20260123_0907</v>
      </c>
      <c r="B909" s="12">
        <v>46045</v>
      </c>
      <c r="C909" s="13">
        <v>907</v>
      </c>
      <c r="D909" s="4" t="str">
        <f t="shared" si="59"/>
        <v>1E</v>
      </c>
      <c r="E909" s="14">
        <v>0</v>
      </c>
      <c r="F909">
        <f t="shared" si="57"/>
        <v>15</v>
      </c>
      <c r="G909" s="41" t="str">
        <f t="shared" si="58"/>
        <v>1E</v>
      </c>
    </row>
    <row r="910" spans="1:7" x14ac:dyDescent="0.6">
      <c r="A910" t="str">
        <f t="shared" si="56"/>
        <v>20260123_0908</v>
      </c>
      <c r="B910" s="12">
        <v>46045</v>
      </c>
      <c r="C910" s="13">
        <v>908</v>
      </c>
      <c r="D910" s="4" t="str">
        <f t="shared" si="59"/>
        <v>0A</v>
      </c>
      <c r="E910" s="14">
        <v>0</v>
      </c>
      <c r="F910">
        <f t="shared" si="57"/>
        <v>15</v>
      </c>
      <c r="G910" s="41" t="str">
        <f t="shared" si="58"/>
        <v>0A</v>
      </c>
    </row>
    <row r="911" spans="1:7" x14ac:dyDescent="0.6">
      <c r="A911" t="str">
        <f t="shared" si="56"/>
        <v>20260123_0909</v>
      </c>
      <c r="B911" s="12">
        <v>46045</v>
      </c>
      <c r="C911" s="13">
        <v>909</v>
      </c>
      <c r="D911" s="4" t="str">
        <f t="shared" si="59"/>
        <v>0A</v>
      </c>
      <c r="E911" s="14">
        <v>0</v>
      </c>
      <c r="F911">
        <f t="shared" si="57"/>
        <v>15</v>
      </c>
      <c r="G911" s="41" t="str">
        <f t="shared" si="58"/>
        <v>0A</v>
      </c>
    </row>
    <row r="912" spans="1:7" x14ac:dyDescent="0.6">
      <c r="A912" t="str">
        <f t="shared" si="56"/>
        <v>20260123_0910</v>
      </c>
      <c r="B912" s="12">
        <v>46045</v>
      </c>
      <c r="C912" s="13">
        <v>910</v>
      </c>
      <c r="D912" s="4" t="str">
        <f t="shared" si="59"/>
        <v>0A</v>
      </c>
      <c r="E912" s="14">
        <v>0</v>
      </c>
      <c r="F912">
        <f t="shared" si="57"/>
        <v>15</v>
      </c>
      <c r="G912" s="41" t="str">
        <f t="shared" si="58"/>
        <v>0A</v>
      </c>
    </row>
    <row r="913" spans="1:7" x14ac:dyDescent="0.6">
      <c r="A913" t="str">
        <f t="shared" si="56"/>
        <v>20260123_0911</v>
      </c>
      <c r="B913" s="12">
        <v>46045</v>
      </c>
      <c r="C913" s="13">
        <v>911</v>
      </c>
      <c r="D913" s="4" t="str">
        <f t="shared" si="59"/>
        <v>0A</v>
      </c>
      <c r="E913" s="14">
        <v>3.5799999999999997E-4</v>
      </c>
      <c r="F913">
        <f t="shared" si="57"/>
        <v>15</v>
      </c>
      <c r="G913" s="41" t="str">
        <f t="shared" si="58"/>
        <v>0A</v>
      </c>
    </row>
    <row r="914" spans="1:7" x14ac:dyDescent="0.6">
      <c r="A914" t="str">
        <f t="shared" si="56"/>
        <v>20260123_0912</v>
      </c>
      <c r="B914" s="12">
        <v>46045</v>
      </c>
      <c r="C914" s="13">
        <v>912</v>
      </c>
      <c r="D914" s="4" t="str">
        <f t="shared" si="59"/>
        <v>1E</v>
      </c>
      <c r="E914" s="14">
        <v>0</v>
      </c>
      <c r="F914">
        <f t="shared" si="57"/>
        <v>15</v>
      </c>
      <c r="G914" s="41" t="str">
        <f t="shared" si="58"/>
        <v>1E</v>
      </c>
    </row>
    <row r="915" spans="1:7" x14ac:dyDescent="0.6">
      <c r="A915" t="str">
        <f t="shared" si="56"/>
        <v>20260123_0913</v>
      </c>
      <c r="B915" s="12">
        <v>46045</v>
      </c>
      <c r="C915" s="13">
        <v>913</v>
      </c>
      <c r="D915" s="4" t="str">
        <f t="shared" si="59"/>
        <v>00</v>
      </c>
      <c r="E915" s="14">
        <v>0</v>
      </c>
      <c r="F915">
        <f t="shared" si="57"/>
        <v>15</v>
      </c>
      <c r="G915" s="41" t="str">
        <f t="shared" si="58"/>
        <v>00</v>
      </c>
    </row>
    <row r="916" spans="1:7" x14ac:dyDescent="0.6">
      <c r="A916" t="str">
        <f t="shared" si="56"/>
        <v>20260123_0914</v>
      </c>
      <c r="B916" s="12">
        <v>46045</v>
      </c>
      <c r="C916" s="13">
        <v>914</v>
      </c>
      <c r="D916" s="4" t="str">
        <f t="shared" si="59"/>
        <v>00</v>
      </c>
      <c r="E916" s="14">
        <v>4.9600000000000002E-4</v>
      </c>
      <c r="F916">
        <f t="shared" si="57"/>
        <v>15</v>
      </c>
      <c r="G916" s="41" t="str">
        <f t="shared" si="58"/>
        <v>00</v>
      </c>
    </row>
    <row r="917" spans="1:7" x14ac:dyDescent="0.6">
      <c r="A917" t="str">
        <f t="shared" si="56"/>
        <v>20260123_0915</v>
      </c>
      <c r="B917" s="12">
        <v>46045</v>
      </c>
      <c r="C917" s="13">
        <v>915</v>
      </c>
      <c r="D917" s="4" t="str">
        <f t="shared" si="59"/>
        <v>00</v>
      </c>
      <c r="E917" s="14">
        <v>4.35E-4</v>
      </c>
      <c r="F917">
        <f t="shared" si="57"/>
        <v>15</v>
      </c>
      <c r="G917" s="41" t="str">
        <f t="shared" si="58"/>
        <v>00</v>
      </c>
    </row>
    <row r="918" spans="1:7" x14ac:dyDescent="0.6">
      <c r="A918" t="str">
        <f t="shared" si="56"/>
        <v>20260123_0916</v>
      </c>
      <c r="B918" s="12">
        <v>46045</v>
      </c>
      <c r="C918" s="13">
        <v>916</v>
      </c>
      <c r="D918" s="4" t="str">
        <f t="shared" si="59"/>
        <v>1E</v>
      </c>
      <c r="E918" s="14">
        <v>2.5799999999999998E-4</v>
      </c>
      <c r="F918">
        <f t="shared" si="57"/>
        <v>15</v>
      </c>
      <c r="G918" s="41" t="str">
        <f t="shared" si="58"/>
        <v>1E</v>
      </c>
    </row>
    <row r="919" spans="1:7" x14ac:dyDescent="0.6">
      <c r="A919" t="str">
        <f t="shared" si="56"/>
        <v>20260123_0917</v>
      </c>
      <c r="B919" s="12">
        <v>46045</v>
      </c>
      <c r="C919" s="13">
        <v>917</v>
      </c>
      <c r="D919" s="4" t="str">
        <f t="shared" si="59"/>
        <v>1E</v>
      </c>
      <c r="E919" s="14">
        <v>0</v>
      </c>
      <c r="F919">
        <f t="shared" si="57"/>
        <v>15</v>
      </c>
      <c r="G919" s="41" t="str">
        <f t="shared" si="58"/>
        <v>1E</v>
      </c>
    </row>
    <row r="920" spans="1:7" x14ac:dyDescent="0.6">
      <c r="A920" t="str">
        <f t="shared" si="56"/>
        <v>20260123_0918</v>
      </c>
      <c r="B920" s="12">
        <v>46045</v>
      </c>
      <c r="C920" s="13">
        <v>918</v>
      </c>
      <c r="D920" s="4" t="str">
        <f t="shared" si="59"/>
        <v>1E</v>
      </c>
      <c r="E920" s="14">
        <v>0</v>
      </c>
      <c r="F920">
        <f t="shared" si="57"/>
        <v>15</v>
      </c>
      <c r="G920" s="41" t="str">
        <f t="shared" si="58"/>
        <v>1E</v>
      </c>
    </row>
    <row r="921" spans="1:7" x14ac:dyDescent="0.6">
      <c r="A921" t="str">
        <f t="shared" si="56"/>
        <v>20260123_0919</v>
      </c>
      <c r="B921" s="12">
        <v>46045</v>
      </c>
      <c r="C921" s="13">
        <v>919</v>
      </c>
      <c r="D921" s="4" t="str">
        <f t="shared" si="59"/>
        <v>1E</v>
      </c>
      <c r="E921" s="14">
        <v>0</v>
      </c>
      <c r="F921">
        <f t="shared" si="57"/>
        <v>15</v>
      </c>
      <c r="G921" s="41" t="str">
        <f t="shared" si="58"/>
        <v>1E</v>
      </c>
    </row>
    <row r="922" spans="1:7" x14ac:dyDescent="0.6">
      <c r="A922" t="str">
        <f t="shared" si="56"/>
        <v>20260123_0920</v>
      </c>
      <c r="B922" s="12">
        <v>46045</v>
      </c>
      <c r="C922" s="13">
        <v>920</v>
      </c>
      <c r="D922" s="4" t="str">
        <f t="shared" si="59"/>
        <v>1E</v>
      </c>
      <c r="E922" s="14">
        <v>0</v>
      </c>
      <c r="F922">
        <f t="shared" si="57"/>
        <v>15</v>
      </c>
      <c r="G922" s="41" t="str">
        <f t="shared" si="58"/>
        <v>1E</v>
      </c>
    </row>
    <row r="923" spans="1:7" x14ac:dyDescent="0.6">
      <c r="A923" t="str">
        <f t="shared" si="56"/>
        <v>20260123_0921</v>
      </c>
      <c r="B923" s="12">
        <v>46045</v>
      </c>
      <c r="C923" s="13">
        <v>921</v>
      </c>
      <c r="D923" s="4" t="str">
        <f t="shared" si="59"/>
        <v>1E</v>
      </c>
      <c r="E923" s="14">
        <v>0</v>
      </c>
      <c r="F923">
        <f t="shared" si="57"/>
        <v>15</v>
      </c>
      <c r="G923" s="41" t="str">
        <f t="shared" si="58"/>
        <v>1E</v>
      </c>
    </row>
    <row r="924" spans="1:7" x14ac:dyDescent="0.6">
      <c r="A924" t="str">
        <f t="shared" si="56"/>
        <v>20260123_0922</v>
      </c>
      <c r="B924" s="12">
        <v>46045</v>
      </c>
      <c r="C924" s="13">
        <v>922</v>
      </c>
      <c r="D924" s="4" t="str">
        <f t="shared" si="59"/>
        <v>1E</v>
      </c>
      <c r="E924" s="14">
        <v>2.7500000000000002E-4</v>
      </c>
      <c r="F924">
        <f t="shared" si="57"/>
        <v>15</v>
      </c>
      <c r="G924" s="41" t="str">
        <f t="shared" si="58"/>
        <v>1E</v>
      </c>
    </row>
    <row r="925" spans="1:7" x14ac:dyDescent="0.6">
      <c r="A925" t="str">
        <f t="shared" si="56"/>
        <v>20260123_0923</v>
      </c>
      <c r="B925" s="12">
        <v>46045</v>
      </c>
      <c r="C925" s="13">
        <v>923</v>
      </c>
      <c r="D925" s="4" t="str">
        <f t="shared" si="59"/>
        <v>1E</v>
      </c>
      <c r="E925" s="14">
        <v>0</v>
      </c>
      <c r="F925">
        <f t="shared" si="57"/>
        <v>15</v>
      </c>
      <c r="G925" s="41" t="str">
        <f t="shared" si="58"/>
        <v>1E</v>
      </c>
    </row>
    <row r="926" spans="1:7" x14ac:dyDescent="0.6">
      <c r="A926" t="str">
        <f t="shared" si="56"/>
        <v>20260123_0924</v>
      </c>
      <c r="B926" s="12">
        <v>46045</v>
      </c>
      <c r="C926" s="13">
        <v>924</v>
      </c>
      <c r="D926" s="4" t="str">
        <f t="shared" si="59"/>
        <v>1E</v>
      </c>
      <c r="E926" s="14">
        <v>0</v>
      </c>
      <c r="F926">
        <f t="shared" si="57"/>
        <v>15</v>
      </c>
      <c r="G926" s="41" t="str">
        <f t="shared" si="58"/>
        <v>1E</v>
      </c>
    </row>
    <row r="927" spans="1:7" x14ac:dyDescent="0.6">
      <c r="A927" t="str">
        <f t="shared" si="56"/>
        <v>20260123_0925</v>
      </c>
      <c r="B927" s="12">
        <v>46045</v>
      </c>
      <c r="C927" s="13">
        <v>925</v>
      </c>
      <c r="D927" s="4" t="str">
        <f t="shared" si="59"/>
        <v>1E</v>
      </c>
      <c r="E927" s="14">
        <v>0</v>
      </c>
      <c r="F927">
        <f t="shared" si="57"/>
        <v>15</v>
      </c>
      <c r="G927" s="41" t="str">
        <f t="shared" si="58"/>
        <v>1E</v>
      </c>
    </row>
    <row r="928" spans="1:7" x14ac:dyDescent="0.6">
      <c r="A928" t="str">
        <f t="shared" si="56"/>
        <v>20260123_0926</v>
      </c>
      <c r="B928" s="12">
        <v>46045</v>
      </c>
      <c r="C928" s="13">
        <v>926</v>
      </c>
      <c r="D928" s="4" t="str">
        <f t="shared" si="59"/>
        <v>1E</v>
      </c>
      <c r="E928" s="14">
        <v>3.28E-4</v>
      </c>
      <c r="F928">
        <f t="shared" si="57"/>
        <v>15</v>
      </c>
      <c r="G928" s="41" t="str">
        <f t="shared" si="58"/>
        <v>1E</v>
      </c>
    </row>
    <row r="929" spans="1:7" x14ac:dyDescent="0.6">
      <c r="A929" t="str">
        <f t="shared" si="56"/>
        <v>20260123_0927</v>
      </c>
      <c r="B929" s="12">
        <v>46045</v>
      </c>
      <c r="C929" s="13">
        <v>927</v>
      </c>
      <c r="D929" s="4" t="str">
        <f t="shared" si="59"/>
        <v>1E</v>
      </c>
      <c r="E929" s="14">
        <v>0</v>
      </c>
      <c r="F929">
        <f t="shared" si="57"/>
        <v>15</v>
      </c>
      <c r="G929" s="41" t="str">
        <f t="shared" si="58"/>
        <v>1E</v>
      </c>
    </row>
    <row r="930" spans="1:7" x14ac:dyDescent="0.6">
      <c r="A930" t="str">
        <f t="shared" si="56"/>
        <v>20260123_0928</v>
      </c>
      <c r="B930" s="12">
        <v>46045</v>
      </c>
      <c r="C930" s="13">
        <v>928</v>
      </c>
      <c r="D930" s="4" t="str">
        <f t="shared" si="59"/>
        <v>1E</v>
      </c>
      <c r="E930" s="14">
        <v>0</v>
      </c>
      <c r="F930">
        <f t="shared" si="57"/>
        <v>15</v>
      </c>
      <c r="G930" s="41" t="str">
        <f t="shared" si="58"/>
        <v>1E</v>
      </c>
    </row>
    <row r="931" spans="1:7" x14ac:dyDescent="0.6">
      <c r="A931" t="str">
        <f t="shared" si="56"/>
        <v>20260123_0929</v>
      </c>
      <c r="B931" s="12">
        <v>46045</v>
      </c>
      <c r="C931" s="13">
        <v>929</v>
      </c>
      <c r="D931" s="4" t="str">
        <f t="shared" si="59"/>
        <v>1E</v>
      </c>
      <c r="E931" s="14">
        <v>0</v>
      </c>
      <c r="F931">
        <f t="shared" si="57"/>
        <v>15</v>
      </c>
      <c r="G931" s="41" t="str">
        <f t="shared" si="58"/>
        <v>1E</v>
      </c>
    </row>
    <row r="932" spans="1:7" x14ac:dyDescent="0.6">
      <c r="A932" t="str">
        <f t="shared" si="56"/>
        <v>20260123_0930</v>
      </c>
      <c r="B932" s="12">
        <v>46045</v>
      </c>
      <c r="C932" s="13">
        <v>930</v>
      </c>
      <c r="D932" s="4" t="str">
        <f t="shared" si="59"/>
        <v>1E</v>
      </c>
      <c r="E932" s="14">
        <v>0</v>
      </c>
      <c r="F932">
        <f t="shared" si="57"/>
        <v>15</v>
      </c>
      <c r="G932" s="41" t="str">
        <f t="shared" si="58"/>
        <v>1E</v>
      </c>
    </row>
    <row r="933" spans="1:7" x14ac:dyDescent="0.6">
      <c r="A933" t="str">
        <f t="shared" si="56"/>
        <v>20260123_0931</v>
      </c>
      <c r="B933" s="12">
        <v>46045</v>
      </c>
      <c r="C933" s="13">
        <v>931</v>
      </c>
      <c r="D933" s="4" t="str">
        <f t="shared" si="59"/>
        <v>1E</v>
      </c>
      <c r="E933" s="14">
        <v>0</v>
      </c>
      <c r="F933">
        <f t="shared" si="57"/>
        <v>15</v>
      </c>
      <c r="G933" s="41" t="str">
        <f t="shared" si="58"/>
        <v>1E</v>
      </c>
    </row>
    <row r="934" spans="1:7" x14ac:dyDescent="0.6">
      <c r="A934" t="str">
        <f t="shared" si="56"/>
        <v>20260123_0932</v>
      </c>
      <c r="B934" s="12">
        <v>46045</v>
      </c>
      <c r="C934" s="13">
        <v>932</v>
      </c>
      <c r="D934" s="4" t="str">
        <f t="shared" si="59"/>
        <v>1E</v>
      </c>
      <c r="E934" s="14">
        <v>0</v>
      </c>
      <c r="F934">
        <f t="shared" si="57"/>
        <v>15</v>
      </c>
      <c r="G934" s="41" t="str">
        <f t="shared" si="58"/>
        <v>1E</v>
      </c>
    </row>
    <row r="935" spans="1:7" x14ac:dyDescent="0.6">
      <c r="A935" t="str">
        <f t="shared" si="56"/>
        <v>20260123_0933</v>
      </c>
      <c r="B935" s="12">
        <v>46045</v>
      </c>
      <c r="C935" s="13">
        <v>933</v>
      </c>
      <c r="D935" s="4" t="str">
        <f t="shared" si="59"/>
        <v>00</v>
      </c>
      <c r="E935" s="14">
        <v>0</v>
      </c>
      <c r="F935">
        <f t="shared" si="57"/>
        <v>15</v>
      </c>
      <c r="G935" s="41" t="str">
        <f t="shared" si="58"/>
        <v>00</v>
      </c>
    </row>
    <row r="936" spans="1:7" x14ac:dyDescent="0.6">
      <c r="A936" t="str">
        <f t="shared" si="56"/>
        <v>20260123_0934</v>
      </c>
      <c r="B936" s="12">
        <v>46045</v>
      </c>
      <c r="C936" s="13">
        <v>934</v>
      </c>
      <c r="D936" s="4" t="str">
        <f t="shared" si="59"/>
        <v>1E</v>
      </c>
      <c r="E936" s="14">
        <v>4.6200000000000001E-4</v>
      </c>
      <c r="F936">
        <f t="shared" si="57"/>
        <v>15</v>
      </c>
      <c r="G936" s="41" t="str">
        <f t="shared" si="58"/>
        <v>1E</v>
      </c>
    </row>
    <row r="937" spans="1:7" x14ac:dyDescent="0.6">
      <c r="A937" t="str">
        <f t="shared" si="56"/>
        <v>20260123_0935</v>
      </c>
      <c r="B937" s="12">
        <v>46045</v>
      </c>
      <c r="C937" s="13">
        <v>935</v>
      </c>
      <c r="D937" s="4" t="str">
        <f t="shared" si="59"/>
        <v>00</v>
      </c>
      <c r="E937" s="14">
        <v>0</v>
      </c>
      <c r="F937">
        <f t="shared" si="57"/>
        <v>15</v>
      </c>
      <c r="G937" s="41" t="str">
        <f t="shared" si="58"/>
        <v>00</v>
      </c>
    </row>
    <row r="938" spans="1:7" x14ac:dyDescent="0.6">
      <c r="A938" t="str">
        <f t="shared" si="56"/>
        <v>20260123_0936</v>
      </c>
      <c r="B938" s="12">
        <v>46045</v>
      </c>
      <c r="C938" s="13">
        <v>936</v>
      </c>
      <c r="D938" s="4" t="str">
        <f t="shared" si="59"/>
        <v>00</v>
      </c>
      <c r="E938" s="14">
        <v>0</v>
      </c>
      <c r="F938">
        <f t="shared" si="57"/>
        <v>15</v>
      </c>
      <c r="G938" s="41" t="str">
        <f t="shared" si="58"/>
        <v>00</v>
      </c>
    </row>
    <row r="939" spans="1:7" x14ac:dyDescent="0.6">
      <c r="A939" t="str">
        <f t="shared" si="56"/>
        <v>20260123_0937</v>
      </c>
      <c r="B939" s="12">
        <v>46045</v>
      </c>
      <c r="C939" s="13">
        <v>937</v>
      </c>
      <c r="D939" s="4" t="str">
        <f t="shared" si="59"/>
        <v>00</v>
      </c>
      <c r="E939" s="14">
        <v>0</v>
      </c>
      <c r="F939">
        <f t="shared" si="57"/>
        <v>15</v>
      </c>
      <c r="G939" s="41" t="str">
        <f t="shared" si="58"/>
        <v>00</v>
      </c>
    </row>
    <row r="940" spans="1:7" x14ac:dyDescent="0.6">
      <c r="A940" t="str">
        <f t="shared" si="56"/>
        <v>20260123_0938</v>
      </c>
      <c r="B940" s="12">
        <v>46045</v>
      </c>
      <c r="C940" s="13">
        <v>938</v>
      </c>
      <c r="D940" s="4" t="str">
        <f t="shared" si="59"/>
        <v>00</v>
      </c>
      <c r="E940" s="14">
        <v>0</v>
      </c>
      <c r="F940">
        <f t="shared" si="57"/>
        <v>15</v>
      </c>
      <c r="G940" s="41" t="str">
        <f t="shared" si="58"/>
        <v>00</v>
      </c>
    </row>
    <row r="941" spans="1:7" x14ac:dyDescent="0.6">
      <c r="A941" t="str">
        <f t="shared" si="56"/>
        <v>20260123_0939</v>
      </c>
      <c r="B941" s="12">
        <v>46045</v>
      </c>
      <c r="C941" s="13">
        <v>939</v>
      </c>
      <c r="D941" s="4" t="str">
        <f t="shared" si="59"/>
        <v>00</v>
      </c>
      <c r="E941" s="14">
        <v>4.0900000000000002E-4</v>
      </c>
      <c r="F941">
        <f t="shared" si="57"/>
        <v>15</v>
      </c>
      <c r="G941" s="41" t="str">
        <f t="shared" si="58"/>
        <v>00</v>
      </c>
    </row>
    <row r="942" spans="1:7" x14ac:dyDescent="0.6">
      <c r="A942" t="str">
        <f t="shared" si="56"/>
        <v>20260123_0940</v>
      </c>
      <c r="B942" s="12">
        <v>46045</v>
      </c>
      <c r="C942" s="13">
        <v>940</v>
      </c>
      <c r="D942" s="4" t="str">
        <f t="shared" si="59"/>
        <v>00</v>
      </c>
      <c r="E942" s="14">
        <v>0</v>
      </c>
      <c r="F942">
        <f t="shared" si="57"/>
        <v>15</v>
      </c>
      <c r="G942" s="41" t="str">
        <f t="shared" si="58"/>
        <v>00</v>
      </c>
    </row>
    <row r="943" spans="1:7" x14ac:dyDescent="0.6">
      <c r="A943" t="str">
        <f t="shared" si="56"/>
        <v>20260123_0941</v>
      </c>
      <c r="B943" s="12">
        <v>46045</v>
      </c>
      <c r="C943" s="13">
        <v>941</v>
      </c>
      <c r="D943" s="4" t="str">
        <f t="shared" si="59"/>
        <v>00</v>
      </c>
      <c r="E943" s="14">
        <v>0</v>
      </c>
      <c r="F943">
        <f t="shared" si="57"/>
        <v>15</v>
      </c>
      <c r="G943" s="41" t="str">
        <f t="shared" si="58"/>
        <v>00</v>
      </c>
    </row>
    <row r="944" spans="1:7" x14ac:dyDescent="0.6">
      <c r="A944" t="str">
        <f t="shared" si="56"/>
        <v>20260123_0942</v>
      </c>
      <c r="B944" s="12">
        <v>46045</v>
      </c>
      <c r="C944" s="13">
        <v>942</v>
      </c>
      <c r="D944" s="4" t="str">
        <f t="shared" si="59"/>
        <v>00</v>
      </c>
      <c r="E944" s="14">
        <v>0</v>
      </c>
      <c r="F944">
        <f t="shared" si="57"/>
        <v>15</v>
      </c>
      <c r="G944" s="41" t="str">
        <f t="shared" si="58"/>
        <v>00</v>
      </c>
    </row>
    <row r="945" spans="1:7" x14ac:dyDescent="0.6">
      <c r="A945" t="str">
        <f t="shared" si="56"/>
        <v>20260123_0943</v>
      </c>
      <c r="B945" s="12">
        <v>46045</v>
      </c>
      <c r="C945" s="13">
        <v>943</v>
      </c>
      <c r="D945" s="4" t="str">
        <f t="shared" si="59"/>
        <v>00</v>
      </c>
      <c r="E945" s="14">
        <v>0</v>
      </c>
      <c r="F945">
        <f t="shared" si="57"/>
        <v>15</v>
      </c>
      <c r="G945" s="41" t="str">
        <f t="shared" si="58"/>
        <v>00</v>
      </c>
    </row>
    <row r="946" spans="1:7" x14ac:dyDescent="0.6">
      <c r="A946" t="str">
        <f t="shared" si="56"/>
        <v>20260123_0944</v>
      </c>
      <c r="B946" s="12">
        <v>46045</v>
      </c>
      <c r="C946" s="13">
        <v>944</v>
      </c>
      <c r="D946" s="4" t="str">
        <f t="shared" si="59"/>
        <v>00</v>
      </c>
      <c r="E946" s="14">
        <v>0</v>
      </c>
      <c r="F946">
        <f t="shared" si="57"/>
        <v>15</v>
      </c>
      <c r="G946" s="41" t="str">
        <f t="shared" si="58"/>
        <v>00</v>
      </c>
    </row>
    <row r="947" spans="1:7" x14ac:dyDescent="0.6">
      <c r="A947" t="str">
        <f t="shared" si="56"/>
        <v>20260123_0945</v>
      </c>
      <c r="B947" s="12">
        <v>46045</v>
      </c>
      <c r="C947" s="13">
        <v>945</v>
      </c>
      <c r="D947" s="4" t="str">
        <f t="shared" si="59"/>
        <v>00</v>
      </c>
      <c r="E947" s="14">
        <v>0</v>
      </c>
      <c r="F947">
        <f t="shared" si="57"/>
        <v>15</v>
      </c>
      <c r="G947" s="41" t="str">
        <f t="shared" si="58"/>
        <v>00</v>
      </c>
    </row>
    <row r="948" spans="1:7" x14ac:dyDescent="0.6">
      <c r="A948" t="str">
        <f t="shared" si="56"/>
        <v>20260123_0946</v>
      </c>
      <c r="B948" s="12">
        <v>46045</v>
      </c>
      <c r="C948" s="13">
        <v>946</v>
      </c>
      <c r="D948" s="4" t="str">
        <f t="shared" si="59"/>
        <v>00</v>
      </c>
      <c r="E948" s="14">
        <v>0</v>
      </c>
      <c r="F948">
        <f t="shared" si="57"/>
        <v>15</v>
      </c>
      <c r="G948" s="41" t="str">
        <f t="shared" si="58"/>
        <v>00</v>
      </c>
    </row>
    <row r="949" spans="1:7" x14ac:dyDescent="0.6">
      <c r="A949" t="str">
        <f t="shared" si="56"/>
        <v>20260123_0947</v>
      </c>
      <c r="B949" s="12">
        <v>46045</v>
      </c>
      <c r="C949" s="13">
        <v>947</v>
      </c>
      <c r="D949" s="4" t="str">
        <f t="shared" si="59"/>
        <v>00</v>
      </c>
      <c r="E949" s="14">
        <v>0</v>
      </c>
      <c r="F949">
        <f t="shared" si="57"/>
        <v>15</v>
      </c>
      <c r="G949" s="41" t="str">
        <f t="shared" si="58"/>
        <v>00</v>
      </c>
    </row>
    <row r="950" spans="1:7" x14ac:dyDescent="0.6">
      <c r="A950" t="str">
        <f t="shared" si="56"/>
        <v>20260123_0948</v>
      </c>
      <c r="B950" s="12">
        <v>46045</v>
      </c>
      <c r="C950" s="13">
        <v>948</v>
      </c>
      <c r="D950" s="4" t="str">
        <f t="shared" si="59"/>
        <v>00</v>
      </c>
      <c r="E950" s="14">
        <v>0</v>
      </c>
      <c r="F950">
        <f t="shared" si="57"/>
        <v>15</v>
      </c>
      <c r="G950" s="41" t="str">
        <f t="shared" si="58"/>
        <v>00</v>
      </c>
    </row>
    <row r="951" spans="1:7" x14ac:dyDescent="0.6">
      <c r="A951" t="str">
        <f t="shared" si="56"/>
        <v>20260123_0949</v>
      </c>
      <c r="B951" s="12">
        <v>46045</v>
      </c>
      <c r="C951" s="13">
        <v>949</v>
      </c>
      <c r="D951" s="4" t="str">
        <f t="shared" si="59"/>
        <v>00</v>
      </c>
      <c r="E951" s="14">
        <v>0</v>
      </c>
      <c r="F951">
        <f t="shared" si="57"/>
        <v>15</v>
      </c>
      <c r="G951" s="41" t="str">
        <f t="shared" si="58"/>
        <v>00</v>
      </c>
    </row>
    <row r="952" spans="1:7" x14ac:dyDescent="0.6">
      <c r="A952" t="str">
        <f t="shared" si="56"/>
        <v>20260123_0950</v>
      </c>
      <c r="B952" s="12">
        <v>46045</v>
      </c>
      <c r="C952" s="13">
        <v>950</v>
      </c>
      <c r="D952" s="4" t="str">
        <f t="shared" si="59"/>
        <v>00</v>
      </c>
      <c r="E952" s="14">
        <v>0</v>
      </c>
      <c r="F952">
        <f t="shared" si="57"/>
        <v>15</v>
      </c>
      <c r="G952" s="41" t="str">
        <f t="shared" si="58"/>
        <v>00</v>
      </c>
    </row>
    <row r="953" spans="1:7" x14ac:dyDescent="0.6">
      <c r="A953" t="str">
        <f t="shared" si="56"/>
        <v>20260123_0951</v>
      </c>
      <c r="B953" s="12">
        <v>46045</v>
      </c>
      <c r="C953" s="13">
        <v>951</v>
      </c>
      <c r="D953" s="4" t="str">
        <f t="shared" si="59"/>
        <v>00</v>
      </c>
      <c r="E953" s="14">
        <v>0</v>
      </c>
      <c r="F953">
        <f t="shared" si="57"/>
        <v>15</v>
      </c>
      <c r="G953" s="41" t="str">
        <f t="shared" si="58"/>
        <v>00</v>
      </c>
    </row>
    <row r="954" spans="1:7" x14ac:dyDescent="0.6">
      <c r="A954" t="str">
        <f t="shared" si="56"/>
        <v>20260123_0952</v>
      </c>
      <c r="B954" s="12">
        <v>46045</v>
      </c>
      <c r="C954" s="13">
        <v>952</v>
      </c>
      <c r="D954" s="4" t="str">
        <f t="shared" si="59"/>
        <v>00</v>
      </c>
      <c r="E954" s="14">
        <v>2.8800000000000001E-4</v>
      </c>
      <c r="F954">
        <f t="shared" si="57"/>
        <v>15</v>
      </c>
      <c r="G954" s="41" t="str">
        <f t="shared" si="58"/>
        <v>00</v>
      </c>
    </row>
    <row r="955" spans="1:7" x14ac:dyDescent="0.6">
      <c r="A955" t="str">
        <f t="shared" si="56"/>
        <v>20260123_0953</v>
      </c>
      <c r="B955" s="12">
        <v>46045</v>
      </c>
      <c r="C955" s="13">
        <v>953</v>
      </c>
      <c r="D955" s="4" t="str">
        <f t="shared" si="59"/>
        <v>00</v>
      </c>
      <c r="E955" s="14">
        <v>0</v>
      </c>
      <c r="F955">
        <f t="shared" si="57"/>
        <v>15</v>
      </c>
      <c r="G955" s="41" t="str">
        <f t="shared" si="58"/>
        <v>00</v>
      </c>
    </row>
    <row r="956" spans="1:7" x14ac:dyDescent="0.6">
      <c r="A956" t="str">
        <f t="shared" si="56"/>
        <v>20260123_0954</v>
      </c>
      <c r="B956" s="12">
        <v>46045</v>
      </c>
      <c r="C956" s="13">
        <v>954</v>
      </c>
      <c r="D956" s="4" t="str">
        <f t="shared" si="59"/>
        <v>00</v>
      </c>
      <c r="E956" s="14">
        <v>0</v>
      </c>
      <c r="F956">
        <f t="shared" si="57"/>
        <v>15</v>
      </c>
      <c r="G956" s="41" t="str">
        <f t="shared" si="58"/>
        <v>00</v>
      </c>
    </row>
    <row r="957" spans="1:7" x14ac:dyDescent="0.6">
      <c r="A957" t="str">
        <f t="shared" si="56"/>
        <v>20260123_0955</v>
      </c>
      <c r="B957" s="12">
        <v>46045</v>
      </c>
      <c r="C957" s="13">
        <v>955</v>
      </c>
      <c r="D957" s="4" t="str">
        <f t="shared" si="59"/>
        <v>00</v>
      </c>
      <c r="E957" s="14">
        <v>3.9800000000000002E-4</v>
      </c>
      <c r="F957">
        <f t="shared" si="57"/>
        <v>15</v>
      </c>
      <c r="G957" s="41" t="str">
        <f t="shared" si="58"/>
        <v>00</v>
      </c>
    </row>
    <row r="958" spans="1:7" x14ac:dyDescent="0.6">
      <c r="A958" t="str">
        <f t="shared" si="56"/>
        <v>20260123_0956</v>
      </c>
      <c r="B958" s="12">
        <v>46045</v>
      </c>
      <c r="C958" s="13">
        <v>956</v>
      </c>
      <c r="D958" s="4" t="str">
        <f t="shared" si="59"/>
        <v>00</v>
      </c>
      <c r="E958" s="14">
        <v>0</v>
      </c>
      <c r="F958">
        <f t="shared" si="57"/>
        <v>15</v>
      </c>
      <c r="G958" s="41" t="str">
        <f t="shared" si="58"/>
        <v>00</v>
      </c>
    </row>
    <row r="959" spans="1:7" x14ac:dyDescent="0.6">
      <c r="A959" t="str">
        <f t="shared" si="56"/>
        <v>20260123_0957</v>
      </c>
      <c r="B959" s="12">
        <v>46045</v>
      </c>
      <c r="C959" s="13">
        <v>957</v>
      </c>
      <c r="D959" s="4" t="str">
        <f t="shared" si="59"/>
        <v>00</v>
      </c>
      <c r="E959" s="14">
        <v>0</v>
      </c>
      <c r="F959">
        <f t="shared" si="57"/>
        <v>15</v>
      </c>
      <c r="G959" s="41" t="str">
        <f t="shared" si="58"/>
        <v>00</v>
      </c>
    </row>
    <row r="960" spans="1:7" x14ac:dyDescent="0.6">
      <c r="A960" t="str">
        <f t="shared" si="56"/>
        <v>20260123_0958</v>
      </c>
      <c r="B960" s="12">
        <v>46045</v>
      </c>
      <c r="C960" s="13">
        <v>958</v>
      </c>
      <c r="D960" s="4" t="str">
        <f t="shared" si="59"/>
        <v>00</v>
      </c>
      <c r="E960" s="14">
        <v>0</v>
      </c>
      <c r="F960">
        <f t="shared" si="57"/>
        <v>15</v>
      </c>
      <c r="G960" s="41" t="str">
        <f t="shared" si="58"/>
        <v>00</v>
      </c>
    </row>
    <row r="961" spans="1:7" x14ac:dyDescent="0.6">
      <c r="A961" t="str">
        <f t="shared" si="56"/>
        <v>20260123_0959</v>
      </c>
      <c r="B961" s="12">
        <v>46045</v>
      </c>
      <c r="C961" s="13">
        <v>959</v>
      </c>
      <c r="D961" s="4" t="str">
        <f t="shared" si="59"/>
        <v>00</v>
      </c>
      <c r="E961" s="14">
        <v>0</v>
      </c>
      <c r="F961">
        <f t="shared" si="57"/>
        <v>15</v>
      </c>
      <c r="G961" s="41" t="str">
        <f t="shared" si="58"/>
        <v>00</v>
      </c>
    </row>
    <row r="962" spans="1:7" x14ac:dyDescent="0.6">
      <c r="A962" t="str">
        <f t="shared" ref="A962:A1025" si="60">IF(B962="","",TEXT(B962,"yyyymmdd")&amp;"_"&amp;TEXT(C962,"0000"))</f>
        <v>20260123_0960</v>
      </c>
      <c r="B962" s="12">
        <v>46045</v>
      </c>
      <c r="C962" s="13">
        <v>960</v>
      </c>
      <c r="D962" s="4" t="str">
        <f t="shared" si="59"/>
        <v>00</v>
      </c>
      <c r="E962" s="14">
        <v>0</v>
      </c>
      <c r="F962">
        <f t="shared" ref="F962:F1025" si="61">IF(C962="","",INT(C962/60))</f>
        <v>16</v>
      </c>
      <c r="G962" s="41" t="str">
        <f t="shared" ref="G962:G1025" si="62">IF(D962="","",IF(LEN(UPPER(SUBSTITUTE(SUBSTITUTE(TRIM(D962),CHAR(160),"")," ","")))=1,"0"&amp;UPPER(SUBSTITUTE(SUBSTITUTE(TRIM(D962),CHAR(160),"")," ","")),UPPER(SUBSTITUTE(SUBSTITUTE(TRIM(D962),CHAR(160),"")," ",""))))</f>
        <v>00</v>
      </c>
    </row>
    <row r="963" spans="1:7" x14ac:dyDescent="0.6">
      <c r="A963" t="str">
        <f t="shared" si="60"/>
        <v>20260123_0961</v>
      </c>
      <c r="B963" s="12">
        <v>46045</v>
      </c>
      <c r="C963" s="13">
        <v>961</v>
      </c>
      <c r="D963" s="4" t="str">
        <f t="shared" ref="D963:D1026" si="63">MID(I$1,$C963*2+1,2)</f>
        <v>00</v>
      </c>
      <c r="E963" s="14">
        <v>0</v>
      </c>
      <c r="F963">
        <f t="shared" si="61"/>
        <v>16</v>
      </c>
      <c r="G963" s="41" t="str">
        <f t="shared" si="62"/>
        <v>00</v>
      </c>
    </row>
    <row r="964" spans="1:7" x14ac:dyDescent="0.6">
      <c r="A964" t="str">
        <f t="shared" si="60"/>
        <v>20260123_0962</v>
      </c>
      <c r="B964" s="12">
        <v>46045</v>
      </c>
      <c r="C964" s="13">
        <v>962</v>
      </c>
      <c r="D964" s="4" t="str">
        <f t="shared" si="63"/>
        <v>00</v>
      </c>
      <c r="E964" s="14">
        <v>3.3599999999999998E-4</v>
      </c>
      <c r="F964">
        <f t="shared" si="61"/>
        <v>16</v>
      </c>
      <c r="G964" s="41" t="str">
        <f t="shared" si="62"/>
        <v>00</v>
      </c>
    </row>
    <row r="965" spans="1:7" x14ac:dyDescent="0.6">
      <c r="A965" t="str">
        <f t="shared" si="60"/>
        <v>20260123_0963</v>
      </c>
      <c r="B965" s="12">
        <v>46045</v>
      </c>
      <c r="C965" s="13">
        <v>963</v>
      </c>
      <c r="D965" s="4" t="str">
        <f t="shared" si="63"/>
        <v>00</v>
      </c>
      <c r="E965" s="14">
        <v>5.1099999999999995E-4</v>
      </c>
      <c r="F965">
        <f t="shared" si="61"/>
        <v>16</v>
      </c>
      <c r="G965" s="41" t="str">
        <f t="shared" si="62"/>
        <v>00</v>
      </c>
    </row>
    <row r="966" spans="1:7" x14ac:dyDescent="0.6">
      <c r="A966" t="str">
        <f t="shared" si="60"/>
        <v>20260123_0964</v>
      </c>
      <c r="B966" s="12">
        <v>46045</v>
      </c>
      <c r="C966" s="13">
        <v>964</v>
      </c>
      <c r="D966" s="4" t="str">
        <f t="shared" si="63"/>
        <v>00</v>
      </c>
      <c r="E966" s="14">
        <v>0</v>
      </c>
      <c r="F966">
        <f t="shared" si="61"/>
        <v>16</v>
      </c>
      <c r="G966" s="41" t="str">
        <f t="shared" si="62"/>
        <v>00</v>
      </c>
    </row>
    <row r="967" spans="1:7" x14ac:dyDescent="0.6">
      <c r="A967" t="str">
        <f t="shared" si="60"/>
        <v>20260123_0965</v>
      </c>
      <c r="B967" s="12">
        <v>46045</v>
      </c>
      <c r="C967" s="13">
        <v>965</v>
      </c>
      <c r="D967" s="4" t="str">
        <f t="shared" si="63"/>
        <v>1E</v>
      </c>
      <c r="E967" s="14">
        <v>0</v>
      </c>
      <c r="F967">
        <f t="shared" si="61"/>
        <v>16</v>
      </c>
      <c r="G967" s="41" t="str">
        <f t="shared" si="62"/>
        <v>1E</v>
      </c>
    </row>
    <row r="968" spans="1:7" x14ac:dyDescent="0.6">
      <c r="A968" t="str">
        <f t="shared" si="60"/>
        <v>20260123_0966</v>
      </c>
      <c r="B968" s="12">
        <v>46045</v>
      </c>
      <c r="C968" s="13">
        <v>966</v>
      </c>
      <c r="D968" s="4" t="str">
        <f t="shared" si="63"/>
        <v>00</v>
      </c>
      <c r="E968" s="14">
        <v>5.3399999999999997E-4</v>
      </c>
      <c r="F968">
        <f t="shared" si="61"/>
        <v>16</v>
      </c>
      <c r="G968" s="41" t="str">
        <f t="shared" si="62"/>
        <v>00</v>
      </c>
    </row>
    <row r="969" spans="1:7" x14ac:dyDescent="0.6">
      <c r="A969" t="str">
        <f t="shared" si="60"/>
        <v>20260123_0967</v>
      </c>
      <c r="B969" s="12">
        <v>46045</v>
      </c>
      <c r="C969" s="13">
        <v>967</v>
      </c>
      <c r="D969" s="4" t="str">
        <f t="shared" si="63"/>
        <v>00</v>
      </c>
      <c r="E969" s="14">
        <v>3.57E-4</v>
      </c>
      <c r="F969">
        <f t="shared" si="61"/>
        <v>16</v>
      </c>
      <c r="G969" s="41" t="str">
        <f t="shared" si="62"/>
        <v>00</v>
      </c>
    </row>
    <row r="970" spans="1:7" x14ac:dyDescent="0.6">
      <c r="A970" t="str">
        <f t="shared" si="60"/>
        <v>20260123_0968</v>
      </c>
      <c r="B970" s="12">
        <v>46045</v>
      </c>
      <c r="C970" s="13">
        <v>968</v>
      </c>
      <c r="D970" s="4" t="str">
        <f t="shared" si="63"/>
        <v>00</v>
      </c>
      <c r="E970" s="14">
        <v>0</v>
      </c>
      <c r="F970">
        <f t="shared" si="61"/>
        <v>16</v>
      </c>
      <c r="G970" s="41" t="str">
        <f t="shared" si="62"/>
        <v>00</v>
      </c>
    </row>
    <row r="971" spans="1:7" x14ac:dyDescent="0.6">
      <c r="A971" t="str">
        <f t="shared" si="60"/>
        <v>20260123_0969</v>
      </c>
      <c r="B971" s="12">
        <v>46045</v>
      </c>
      <c r="C971" s="13">
        <v>969</v>
      </c>
      <c r="D971" s="4" t="str">
        <f t="shared" si="63"/>
        <v>00</v>
      </c>
      <c r="E971" s="14">
        <v>0</v>
      </c>
      <c r="F971">
        <f t="shared" si="61"/>
        <v>16</v>
      </c>
      <c r="G971" s="41" t="str">
        <f t="shared" si="62"/>
        <v>00</v>
      </c>
    </row>
    <row r="972" spans="1:7" x14ac:dyDescent="0.6">
      <c r="A972" t="str">
        <f t="shared" si="60"/>
        <v>20260123_0970</v>
      </c>
      <c r="B972" s="12">
        <v>46045</v>
      </c>
      <c r="C972" s="13">
        <v>970</v>
      </c>
      <c r="D972" s="4" t="str">
        <f t="shared" si="63"/>
        <v>00</v>
      </c>
      <c r="E972" s="14">
        <v>0</v>
      </c>
      <c r="F972">
        <f t="shared" si="61"/>
        <v>16</v>
      </c>
      <c r="G972" s="41" t="str">
        <f t="shared" si="62"/>
        <v>00</v>
      </c>
    </row>
    <row r="973" spans="1:7" x14ac:dyDescent="0.6">
      <c r="A973" t="str">
        <f t="shared" si="60"/>
        <v>20260123_0971</v>
      </c>
      <c r="B973" s="12">
        <v>46045</v>
      </c>
      <c r="C973" s="13">
        <v>971</v>
      </c>
      <c r="D973" s="4" t="str">
        <f t="shared" si="63"/>
        <v>00</v>
      </c>
      <c r="E973" s="14">
        <v>0</v>
      </c>
      <c r="F973">
        <f t="shared" si="61"/>
        <v>16</v>
      </c>
      <c r="G973" s="41" t="str">
        <f t="shared" si="62"/>
        <v>00</v>
      </c>
    </row>
    <row r="974" spans="1:7" x14ac:dyDescent="0.6">
      <c r="A974" t="str">
        <f t="shared" si="60"/>
        <v>20260123_0972</v>
      </c>
      <c r="B974" s="12">
        <v>46045</v>
      </c>
      <c r="C974" s="13">
        <v>972</v>
      </c>
      <c r="D974" s="4" t="str">
        <f t="shared" si="63"/>
        <v>00</v>
      </c>
      <c r="E974" s="14">
        <v>0</v>
      </c>
      <c r="F974">
        <f t="shared" si="61"/>
        <v>16</v>
      </c>
      <c r="G974" s="41" t="str">
        <f t="shared" si="62"/>
        <v>00</v>
      </c>
    </row>
    <row r="975" spans="1:7" x14ac:dyDescent="0.6">
      <c r="A975" t="str">
        <f t="shared" si="60"/>
        <v>20260123_0973</v>
      </c>
      <c r="B975" s="12">
        <v>46045</v>
      </c>
      <c r="C975" s="13">
        <v>973</v>
      </c>
      <c r="D975" s="4" t="str">
        <f t="shared" si="63"/>
        <v>00</v>
      </c>
      <c r="E975" s="14">
        <v>0</v>
      </c>
      <c r="F975">
        <f t="shared" si="61"/>
        <v>16</v>
      </c>
      <c r="G975" s="41" t="str">
        <f t="shared" si="62"/>
        <v>00</v>
      </c>
    </row>
    <row r="976" spans="1:7" x14ac:dyDescent="0.6">
      <c r="A976" t="str">
        <f t="shared" si="60"/>
        <v>20260123_0974</v>
      </c>
      <c r="B976" s="12">
        <v>46045</v>
      </c>
      <c r="C976" s="13">
        <v>974</v>
      </c>
      <c r="D976" s="4" t="str">
        <f t="shared" si="63"/>
        <v>00</v>
      </c>
      <c r="E976" s="14">
        <v>3.4600000000000001E-4</v>
      </c>
      <c r="F976">
        <f t="shared" si="61"/>
        <v>16</v>
      </c>
      <c r="G976" s="41" t="str">
        <f t="shared" si="62"/>
        <v>00</v>
      </c>
    </row>
    <row r="977" spans="1:7" x14ac:dyDescent="0.6">
      <c r="A977" t="str">
        <f t="shared" si="60"/>
        <v>20260123_0975</v>
      </c>
      <c r="B977" s="12">
        <v>46045</v>
      </c>
      <c r="C977" s="13">
        <v>975</v>
      </c>
      <c r="D977" s="4" t="str">
        <f t="shared" si="63"/>
        <v>1E</v>
      </c>
      <c r="E977" s="14">
        <v>0</v>
      </c>
      <c r="F977">
        <f t="shared" si="61"/>
        <v>16</v>
      </c>
      <c r="G977" s="41" t="str">
        <f t="shared" si="62"/>
        <v>1E</v>
      </c>
    </row>
    <row r="978" spans="1:7" x14ac:dyDescent="0.6">
      <c r="A978" t="str">
        <f t="shared" si="60"/>
        <v>20260123_0976</v>
      </c>
      <c r="B978" s="12">
        <v>46045</v>
      </c>
      <c r="C978" s="13">
        <v>976</v>
      </c>
      <c r="D978" s="4" t="str">
        <f t="shared" si="63"/>
        <v>0A</v>
      </c>
      <c r="E978" s="14">
        <v>0</v>
      </c>
      <c r="F978">
        <f t="shared" si="61"/>
        <v>16</v>
      </c>
      <c r="G978" s="41" t="str">
        <f t="shared" si="62"/>
        <v>0A</v>
      </c>
    </row>
    <row r="979" spans="1:7" x14ac:dyDescent="0.6">
      <c r="A979" t="str">
        <f t="shared" si="60"/>
        <v>20260123_0977</v>
      </c>
      <c r="B979" s="12">
        <v>46045</v>
      </c>
      <c r="C979" s="13">
        <v>977</v>
      </c>
      <c r="D979" s="4" t="str">
        <f t="shared" si="63"/>
        <v>0A</v>
      </c>
      <c r="E979" s="14">
        <v>0</v>
      </c>
      <c r="F979">
        <f t="shared" si="61"/>
        <v>16</v>
      </c>
      <c r="G979" s="41" t="str">
        <f t="shared" si="62"/>
        <v>0A</v>
      </c>
    </row>
    <row r="980" spans="1:7" x14ac:dyDescent="0.6">
      <c r="A980" t="str">
        <f t="shared" si="60"/>
        <v>20260123_0978</v>
      </c>
      <c r="B980" s="12">
        <v>46045</v>
      </c>
      <c r="C980" s="13">
        <v>978</v>
      </c>
      <c r="D980" s="4" t="str">
        <f t="shared" si="63"/>
        <v>0A</v>
      </c>
      <c r="E980" s="14">
        <v>7.4100000000000001E-4</v>
      </c>
      <c r="F980">
        <f t="shared" si="61"/>
        <v>16</v>
      </c>
      <c r="G980" s="41" t="str">
        <f t="shared" si="62"/>
        <v>0A</v>
      </c>
    </row>
    <row r="981" spans="1:7" x14ac:dyDescent="0.6">
      <c r="A981" t="str">
        <f t="shared" si="60"/>
        <v>20260123_0979</v>
      </c>
      <c r="B981" s="12">
        <v>46045</v>
      </c>
      <c r="C981" s="13">
        <v>979</v>
      </c>
      <c r="D981" s="4" t="str">
        <f t="shared" si="63"/>
        <v>1E</v>
      </c>
      <c r="E981" s="14">
        <v>4.3199999999999998E-4</v>
      </c>
      <c r="F981">
        <f t="shared" si="61"/>
        <v>16</v>
      </c>
      <c r="G981" s="41" t="str">
        <f t="shared" si="62"/>
        <v>1E</v>
      </c>
    </row>
    <row r="982" spans="1:7" x14ac:dyDescent="0.6">
      <c r="A982" t="str">
        <f t="shared" si="60"/>
        <v>20260123_0980</v>
      </c>
      <c r="B982" s="12">
        <v>46045</v>
      </c>
      <c r="C982" s="13">
        <v>980</v>
      </c>
      <c r="D982" s="4" t="str">
        <f t="shared" si="63"/>
        <v>1E</v>
      </c>
      <c r="E982" s="14">
        <v>3.7599999999999998E-4</v>
      </c>
      <c r="F982">
        <f t="shared" si="61"/>
        <v>16</v>
      </c>
      <c r="G982" s="41" t="str">
        <f t="shared" si="62"/>
        <v>1E</v>
      </c>
    </row>
    <row r="983" spans="1:7" x14ac:dyDescent="0.6">
      <c r="A983" t="str">
        <f t="shared" si="60"/>
        <v>20260123_0981</v>
      </c>
      <c r="B983" s="12">
        <v>46045</v>
      </c>
      <c r="C983" s="13">
        <v>981</v>
      </c>
      <c r="D983" s="4" t="str">
        <f t="shared" si="63"/>
        <v>1E</v>
      </c>
      <c r="E983" s="14">
        <v>0</v>
      </c>
      <c r="F983">
        <f t="shared" si="61"/>
        <v>16</v>
      </c>
      <c r="G983" s="41" t="str">
        <f t="shared" si="62"/>
        <v>1E</v>
      </c>
    </row>
    <row r="984" spans="1:7" x14ac:dyDescent="0.6">
      <c r="A984" t="str">
        <f t="shared" si="60"/>
        <v>20260123_0982</v>
      </c>
      <c r="B984" s="12">
        <v>46045</v>
      </c>
      <c r="C984" s="13">
        <v>982</v>
      </c>
      <c r="D984" s="4" t="str">
        <f t="shared" si="63"/>
        <v>1E</v>
      </c>
      <c r="E984" s="14">
        <v>0</v>
      </c>
      <c r="F984">
        <f t="shared" si="61"/>
        <v>16</v>
      </c>
      <c r="G984" s="41" t="str">
        <f t="shared" si="62"/>
        <v>1E</v>
      </c>
    </row>
    <row r="985" spans="1:7" x14ac:dyDescent="0.6">
      <c r="A985" t="str">
        <f t="shared" si="60"/>
        <v>20260123_0983</v>
      </c>
      <c r="B985" s="12">
        <v>46045</v>
      </c>
      <c r="C985" s="13">
        <v>983</v>
      </c>
      <c r="D985" s="4" t="str">
        <f t="shared" si="63"/>
        <v>0A</v>
      </c>
      <c r="E985" s="14">
        <v>0</v>
      </c>
      <c r="F985">
        <f t="shared" si="61"/>
        <v>16</v>
      </c>
      <c r="G985" s="41" t="str">
        <f t="shared" si="62"/>
        <v>0A</v>
      </c>
    </row>
    <row r="986" spans="1:7" x14ac:dyDescent="0.6">
      <c r="A986" t="str">
        <f t="shared" si="60"/>
        <v>20260123_0984</v>
      </c>
      <c r="B986" s="12">
        <v>46045</v>
      </c>
      <c r="C986" s="13">
        <v>984</v>
      </c>
      <c r="D986" s="4" t="str">
        <f t="shared" si="63"/>
        <v>0A</v>
      </c>
      <c r="E986" s="14">
        <v>0</v>
      </c>
      <c r="F986">
        <f t="shared" si="61"/>
        <v>16</v>
      </c>
      <c r="G986" s="41" t="str">
        <f t="shared" si="62"/>
        <v>0A</v>
      </c>
    </row>
    <row r="987" spans="1:7" x14ac:dyDescent="0.6">
      <c r="A987" t="str">
        <f t="shared" si="60"/>
        <v>20260123_0985</v>
      </c>
      <c r="B987" s="12">
        <v>46045</v>
      </c>
      <c r="C987" s="13">
        <v>985</v>
      </c>
      <c r="D987" s="4" t="str">
        <f t="shared" si="63"/>
        <v>0A</v>
      </c>
      <c r="E987" s="14">
        <v>2.6699999999999998E-4</v>
      </c>
      <c r="F987">
        <f t="shared" si="61"/>
        <v>16</v>
      </c>
      <c r="G987" s="41" t="str">
        <f t="shared" si="62"/>
        <v>0A</v>
      </c>
    </row>
    <row r="988" spans="1:7" x14ac:dyDescent="0.6">
      <c r="A988" t="str">
        <f t="shared" si="60"/>
        <v>20260123_0986</v>
      </c>
      <c r="B988" s="12">
        <v>46045</v>
      </c>
      <c r="C988" s="13">
        <v>986</v>
      </c>
      <c r="D988" s="4" t="str">
        <f t="shared" si="63"/>
        <v>0A</v>
      </c>
      <c r="E988" s="14">
        <v>0</v>
      </c>
      <c r="F988">
        <f t="shared" si="61"/>
        <v>16</v>
      </c>
      <c r="G988" s="41" t="str">
        <f t="shared" si="62"/>
        <v>0A</v>
      </c>
    </row>
    <row r="989" spans="1:7" x14ac:dyDescent="0.6">
      <c r="A989" t="str">
        <f t="shared" si="60"/>
        <v>20260123_0987</v>
      </c>
      <c r="B989" s="12">
        <v>46045</v>
      </c>
      <c r="C989" s="13">
        <v>987</v>
      </c>
      <c r="D989" s="4" t="str">
        <f t="shared" si="63"/>
        <v>0A</v>
      </c>
      <c r="E989" s="14">
        <v>0</v>
      </c>
      <c r="F989">
        <f t="shared" si="61"/>
        <v>16</v>
      </c>
      <c r="G989" s="41" t="str">
        <f t="shared" si="62"/>
        <v>0A</v>
      </c>
    </row>
    <row r="990" spans="1:7" x14ac:dyDescent="0.6">
      <c r="A990" t="str">
        <f t="shared" si="60"/>
        <v>20260123_0988</v>
      </c>
      <c r="B990" s="12">
        <v>46045</v>
      </c>
      <c r="C990" s="13">
        <v>988</v>
      </c>
      <c r="D990" s="4" t="str">
        <f t="shared" si="63"/>
        <v>0A</v>
      </c>
      <c r="E990" s="14">
        <v>0</v>
      </c>
      <c r="F990">
        <f t="shared" si="61"/>
        <v>16</v>
      </c>
      <c r="G990" s="41" t="str">
        <f t="shared" si="62"/>
        <v>0A</v>
      </c>
    </row>
    <row r="991" spans="1:7" x14ac:dyDescent="0.6">
      <c r="A991" t="str">
        <f t="shared" si="60"/>
        <v>20260123_0989</v>
      </c>
      <c r="B991" s="12">
        <v>46045</v>
      </c>
      <c r="C991" s="13">
        <v>989</v>
      </c>
      <c r="D991" s="4" t="str">
        <f t="shared" si="63"/>
        <v>0A</v>
      </c>
      <c r="E991" s="14">
        <v>4.37E-4</v>
      </c>
      <c r="F991">
        <f t="shared" si="61"/>
        <v>16</v>
      </c>
      <c r="G991" s="41" t="str">
        <f t="shared" si="62"/>
        <v>0A</v>
      </c>
    </row>
    <row r="992" spans="1:7" x14ac:dyDescent="0.6">
      <c r="A992" t="str">
        <f t="shared" si="60"/>
        <v>20260123_0990</v>
      </c>
      <c r="B992" s="12">
        <v>46045</v>
      </c>
      <c r="C992" s="13">
        <v>990</v>
      </c>
      <c r="D992" s="4" t="str">
        <f t="shared" si="63"/>
        <v>14</v>
      </c>
      <c r="E992" s="14">
        <v>0</v>
      </c>
      <c r="F992">
        <f t="shared" si="61"/>
        <v>16</v>
      </c>
      <c r="G992" s="41" t="str">
        <f t="shared" si="62"/>
        <v>14</v>
      </c>
    </row>
    <row r="993" spans="1:7" x14ac:dyDescent="0.6">
      <c r="A993" t="str">
        <f t="shared" si="60"/>
        <v>20260123_0991</v>
      </c>
      <c r="B993" s="12">
        <v>46045</v>
      </c>
      <c r="C993" s="13">
        <v>991</v>
      </c>
      <c r="D993" s="4" t="str">
        <f t="shared" si="63"/>
        <v>1E</v>
      </c>
      <c r="E993" s="14">
        <v>0</v>
      </c>
      <c r="F993">
        <f t="shared" si="61"/>
        <v>16</v>
      </c>
      <c r="G993" s="41" t="str">
        <f t="shared" si="62"/>
        <v>1E</v>
      </c>
    </row>
    <row r="994" spans="1:7" x14ac:dyDescent="0.6">
      <c r="A994" t="str">
        <f t="shared" si="60"/>
        <v>20260123_0992</v>
      </c>
      <c r="B994" s="12">
        <v>46045</v>
      </c>
      <c r="C994" s="13">
        <v>992</v>
      </c>
      <c r="D994" s="4" t="str">
        <f t="shared" si="63"/>
        <v>1E</v>
      </c>
      <c r="E994" s="14">
        <v>0</v>
      </c>
      <c r="F994">
        <f t="shared" si="61"/>
        <v>16</v>
      </c>
      <c r="G994" s="41" t="str">
        <f t="shared" si="62"/>
        <v>1E</v>
      </c>
    </row>
    <row r="995" spans="1:7" x14ac:dyDescent="0.6">
      <c r="A995" t="str">
        <f t="shared" si="60"/>
        <v>20260123_0993</v>
      </c>
      <c r="B995" s="12">
        <v>46045</v>
      </c>
      <c r="C995" s="13">
        <v>993</v>
      </c>
      <c r="D995" s="4" t="str">
        <f t="shared" si="63"/>
        <v>0A</v>
      </c>
      <c r="E995" s="14">
        <v>5.2300000000000003E-4</v>
      </c>
      <c r="F995">
        <f t="shared" si="61"/>
        <v>16</v>
      </c>
      <c r="G995" s="41" t="str">
        <f t="shared" si="62"/>
        <v>0A</v>
      </c>
    </row>
    <row r="996" spans="1:7" x14ac:dyDescent="0.6">
      <c r="A996" t="str">
        <f t="shared" si="60"/>
        <v>20260123_0994</v>
      </c>
      <c r="B996" s="12">
        <v>46045</v>
      </c>
      <c r="C996" s="13">
        <v>994</v>
      </c>
      <c r="D996" s="4" t="str">
        <f t="shared" si="63"/>
        <v>0A</v>
      </c>
      <c r="E996" s="14">
        <v>0</v>
      </c>
      <c r="F996">
        <f t="shared" si="61"/>
        <v>16</v>
      </c>
      <c r="G996" s="41" t="str">
        <f t="shared" si="62"/>
        <v>0A</v>
      </c>
    </row>
    <row r="997" spans="1:7" x14ac:dyDescent="0.6">
      <c r="A997" t="str">
        <f t="shared" si="60"/>
        <v>20260123_0995</v>
      </c>
      <c r="B997" s="12">
        <v>46045</v>
      </c>
      <c r="C997" s="13">
        <v>995</v>
      </c>
      <c r="D997" s="4" t="str">
        <f t="shared" si="63"/>
        <v>0A</v>
      </c>
      <c r="E997" s="14">
        <v>0</v>
      </c>
      <c r="F997">
        <f t="shared" si="61"/>
        <v>16</v>
      </c>
      <c r="G997" s="41" t="str">
        <f t="shared" si="62"/>
        <v>0A</v>
      </c>
    </row>
    <row r="998" spans="1:7" x14ac:dyDescent="0.6">
      <c r="A998" t="str">
        <f t="shared" si="60"/>
        <v>20260123_0996</v>
      </c>
      <c r="B998" s="12">
        <v>46045</v>
      </c>
      <c r="C998" s="13">
        <v>996</v>
      </c>
      <c r="D998" s="4" t="str">
        <f t="shared" si="63"/>
        <v>FE</v>
      </c>
      <c r="E998" s="14">
        <v>3.5E-4</v>
      </c>
      <c r="F998">
        <f t="shared" si="61"/>
        <v>16</v>
      </c>
      <c r="G998" s="41" t="str">
        <f t="shared" si="62"/>
        <v>FE</v>
      </c>
    </row>
    <row r="999" spans="1:7" x14ac:dyDescent="0.6">
      <c r="A999" t="str">
        <f t="shared" si="60"/>
        <v>20260123_0997</v>
      </c>
      <c r="B999" s="12">
        <v>46045</v>
      </c>
      <c r="C999" s="13">
        <v>997</v>
      </c>
      <c r="D999" s="4" t="str">
        <f t="shared" si="63"/>
        <v>FE</v>
      </c>
      <c r="E999" s="14">
        <v>8.3900000000000001E-4</v>
      </c>
      <c r="F999">
        <f t="shared" si="61"/>
        <v>16</v>
      </c>
      <c r="G999" s="41" t="str">
        <f t="shared" si="62"/>
        <v>FE</v>
      </c>
    </row>
    <row r="1000" spans="1:7" x14ac:dyDescent="0.6">
      <c r="A1000" t="str">
        <f t="shared" si="60"/>
        <v>20260123_0998</v>
      </c>
      <c r="B1000" s="12">
        <v>46045</v>
      </c>
      <c r="C1000" s="13">
        <v>998</v>
      </c>
      <c r="D1000" s="4" t="str">
        <f t="shared" si="63"/>
        <v>FE</v>
      </c>
      <c r="E1000" s="14">
        <v>2.6800000000000001E-4</v>
      </c>
      <c r="F1000">
        <f t="shared" si="61"/>
        <v>16</v>
      </c>
      <c r="G1000" s="41" t="str">
        <f t="shared" si="62"/>
        <v>FE</v>
      </c>
    </row>
    <row r="1001" spans="1:7" x14ac:dyDescent="0.6">
      <c r="A1001" t="str">
        <f t="shared" si="60"/>
        <v>20260123_0999</v>
      </c>
      <c r="B1001" s="12">
        <v>46045</v>
      </c>
      <c r="C1001" s="13">
        <v>999</v>
      </c>
      <c r="D1001" s="4" t="str">
        <f t="shared" si="63"/>
        <v>0A</v>
      </c>
      <c r="E1001" s="14">
        <v>0</v>
      </c>
      <c r="F1001">
        <f t="shared" si="61"/>
        <v>16</v>
      </c>
      <c r="G1001" s="41" t="str">
        <f t="shared" si="62"/>
        <v>0A</v>
      </c>
    </row>
    <row r="1002" spans="1:7" x14ac:dyDescent="0.6">
      <c r="A1002" t="str">
        <f t="shared" si="60"/>
        <v>20260123_1000</v>
      </c>
      <c r="B1002" s="12">
        <v>46045</v>
      </c>
      <c r="C1002" s="13">
        <v>1000</v>
      </c>
      <c r="D1002" s="4" t="str">
        <f t="shared" si="63"/>
        <v>FE</v>
      </c>
      <c r="E1002" s="14">
        <v>2.7300000000000002E-4</v>
      </c>
      <c r="F1002">
        <f t="shared" si="61"/>
        <v>16</v>
      </c>
      <c r="G1002" s="41" t="str">
        <f t="shared" si="62"/>
        <v>FE</v>
      </c>
    </row>
    <row r="1003" spans="1:7" x14ac:dyDescent="0.6">
      <c r="A1003" t="str">
        <f t="shared" si="60"/>
        <v>20260123_1001</v>
      </c>
      <c r="B1003" s="12">
        <v>46045</v>
      </c>
      <c r="C1003" s="13">
        <v>1001</v>
      </c>
      <c r="D1003" s="4" t="str">
        <f t="shared" si="63"/>
        <v>FE</v>
      </c>
      <c r="E1003" s="14">
        <v>5.5599999999999996E-4</v>
      </c>
      <c r="F1003">
        <f t="shared" si="61"/>
        <v>16</v>
      </c>
      <c r="G1003" s="41" t="str">
        <f t="shared" si="62"/>
        <v>FE</v>
      </c>
    </row>
    <row r="1004" spans="1:7" x14ac:dyDescent="0.6">
      <c r="A1004" t="str">
        <f t="shared" si="60"/>
        <v>20260123_1002</v>
      </c>
      <c r="B1004" s="12">
        <v>46045</v>
      </c>
      <c r="C1004" s="13">
        <v>1002</v>
      </c>
      <c r="D1004" s="4" t="str">
        <f t="shared" si="63"/>
        <v>FE</v>
      </c>
      <c r="E1004" s="14">
        <v>3.4299999999999999E-4</v>
      </c>
      <c r="F1004">
        <f t="shared" si="61"/>
        <v>16</v>
      </c>
      <c r="G1004" s="41" t="str">
        <f t="shared" si="62"/>
        <v>FE</v>
      </c>
    </row>
    <row r="1005" spans="1:7" x14ac:dyDescent="0.6">
      <c r="A1005" t="str">
        <f t="shared" si="60"/>
        <v>20260123_1003</v>
      </c>
      <c r="B1005" s="12">
        <v>46045</v>
      </c>
      <c r="C1005" s="13">
        <v>1003</v>
      </c>
      <c r="D1005" s="4" t="str">
        <f t="shared" si="63"/>
        <v>FE</v>
      </c>
      <c r="E1005" s="14">
        <v>1.185937E-3</v>
      </c>
      <c r="F1005">
        <f t="shared" si="61"/>
        <v>16</v>
      </c>
      <c r="G1005" s="41" t="str">
        <f t="shared" si="62"/>
        <v>FE</v>
      </c>
    </row>
    <row r="1006" spans="1:7" x14ac:dyDescent="0.6">
      <c r="A1006" t="str">
        <f t="shared" si="60"/>
        <v>20260123_1004</v>
      </c>
      <c r="B1006" s="12">
        <v>46045</v>
      </c>
      <c r="C1006" s="13">
        <v>1004</v>
      </c>
      <c r="D1006" s="4" t="str">
        <f t="shared" si="63"/>
        <v>FE</v>
      </c>
      <c r="E1006" s="14">
        <v>7.2999999999999996E-4</v>
      </c>
      <c r="F1006">
        <f t="shared" si="61"/>
        <v>16</v>
      </c>
      <c r="G1006" s="41" t="str">
        <f t="shared" si="62"/>
        <v>FE</v>
      </c>
    </row>
    <row r="1007" spans="1:7" x14ac:dyDescent="0.6">
      <c r="A1007" t="str">
        <f t="shared" si="60"/>
        <v>20260123_1005</v>
      </c>
      <c r="B1007" s="12">
        <v>46045</v>
      </c>
      <c r="C1007" s="13">
        <v>1005</v>
      </c>
      <c r="D1007" s="4" t="str">
        <f t="shared" si="63"/>
        <v>FE</v>
      </c>
      <c r="E1007" s="14">
        <v>0</v>
      </c>
      <c r="F1007">
        <f t="shared" si="61"/>
        <v>16</v>
      </c>
      <c r="G1007" s="41" t="str">
        <f t="shared" si="62"/>
        <v>FE</v>
      </c>
    </row>
    <row r="1008" spans="1:7" x14ac:dyDescent="0.6">
      <c r="A1008" t="str">
        <f t="shared" si="60"/>
        <v>20260123_1006</v>
      </c>
      <c r="B1008" s="12">
        <v>46045</v>
      </c>
      <c r="C1008" s="13">
        <v>1006</v>
      </c>
      <c r="D1008" s="4" t="str">
        <f t="shared" si="63"/>
        <v>FE</v>
      </c>
      <c r="E1008" s="14">
        <v>4.4499999999999997E-4</v>
      </c>
      <c r="F1008">
        <f t="shared" si="61"/>
        <v>16</v>
      </c>
      <c r="G1008" s="41" t="str">
        <f t="shared" si="62"/>
        <v>FE</v>
      </c>
    </row>
    <row r="1009" spans="1:7" x14ac:dyDescent="0.6">
      <c r="A1009" t="str">
        <f t="shared" si="60"/>
        <v>20260123_1007</v>
      </c>
      <c r="B1009" s="12">
        <v>46045</v>
      </c>
      <c r="C1009" s="13">
        <v>1007</v>
      </c>
      <c r="D1009" s="4" t="str">
        <f t="shared" si="63"/>
        <v>FE</v>
      </c>
      <c r="E1009" s="14">
        <v>0</v>
      </c>
      <c r="F1009">
        <f t="shared" si="61"/>
        <v>16</v>
      </c>
      <c r="G1009" s="41" t="str">
        <f t="shared" si="62"/>
        <v>FE</v>
      </c>
    </row>
    <row r="1010" spans="1:7" x14ac:dyDescent="0.6">
      <c r="A1010" t="str">
        <f t="shared" si="60"/>
        <v>20260123_1008</v>
      </c>
      <c r="B1010" s="12">
        <v>46045</v>
      </c>
      <c r="C1010" s="13">
        <v>1008</v>
      </c>
      <c r="D1010" s="4" t="str">
        <f t="shared" si="63"/>
        <v>FE</v>
      </c>
      <c r="E1010" s="14">
        <v>3.7500000000000001E-4</v>
      </c>
      <c r="F1010">
        <f t="shared" si="61"/>
        <v>16</v>
      </c>
      <c r="G1010" s="41" t="str">
        <f t="shared" si="62"/>
        <v>FE</v>
      </c>
    </row>
    <row r="1011" spans="1:7" x14ac:dyDescent="0.6">
      <c r="A1011" t="str">
        <f t="shared" si="60"/>
        <v>20260123_1009</v>
      </c>
      <c r="B1011" s="12">
        <v>46045</v>
      </c>
      <c r="C1011" s="13">
        <v>1009</v>
      </c>
      <c r="D1011" s="4" t="str">
        <f t="shared" si="63"/>
        <v>FE</v>
      </c>
      <c r="E1011" s="14">
        <v>0</v>
      </c>
      <c r="F1011">
        <f t="shared" si="61"/>
        <v>16</v>
      </c>
      <c r="G1011" s="41" t="str">
        <f t="shared" si="62"/>
        <v>FE</v>
      </c>
    </row>
    <row r="1012" spans="1:7" x14ac:dyDescent="0.6">
      <c r="A1012" t="str">
        <f t="shared" si="60"/>
        <v>20260123_1010</v>
      </c>
      <c r="B1012" s="12">
        <v>46045</v>
      </c>
      <c r="C1012" s="13">
        <v>1010</v>
      </c>
      <c r="D1012" s="4" t="str">
        <f t="shared" si="63"/>
        <v>FE</v>
      </c>
      <c r="E1012" s="14">
        <v>6.1300000000000005E-4</v>
      </c>
      <c r="F1012">
        <f t="shared" si="61"/>
        <v>16</v>
      </c>
      <c r="G1012" s="41" t="str">
        <f t="shared" si="62"/>
        <v>FE</v>
      </c>
    </row>
    <row r="1013" spans="1:7" x14ac:dyDescent="0.6">
      <c r="A1013" t="str">
        <f t="shared" si="60"/>
        <v>20260123_1011</v>
      </c>
      <c r="B1013" s="12">
        <v>46045</v>
      </c>
      <c r="C1013" s="13">
        <v>1011</v>
      </c>
      <c r="D1013" s="4" t="str">
        <f t="shared" si="63"/>
        <v>FE</v>
      </c>
      <c r="E1013" s="14">
        <v>6.1600000000000001E-4</v>
      </c>
      <c r="F1013">
        <f t="shared" si="61"/>
        <v>16</v>
      </c>
      <c r="G1013" s="41" t="str">
        <f t="shared" si="62"/>
        <v>FE</v>
      </c>
    </row>
    <row r="1014" spans="1:7" x14ac:dyDescent="0.6">
      <c r="A1014" t="str">
        <f t="shared" si="60"/>
        <v>20260123_1012</v>
      </c>
      <c r="B1014" s="12">
        <v>46045</v>
      </c>
      <c r="C1014" s="13">
        <v>1012</v>
      </c>
      <c r="D1014" s="4" t="str">
        <f t="shared" si="63"/>
        <v>FE</v>
      </c>
      <c r="E1014" s="14">
        <v>2.6899999999999998E-4</v>
      </c>
      <c r="F1014">
        <f t="shared" si="61"/>
        <v>16</v>
      </c>
      <c r="G1014" s="41" t="str">
        <f t="shared" si="62"/>
        <v>FE</v>
      </c>
    </row>
    <row r="1015" spans="1:7" x14ac:dyDescent="0.6">
      <c r="A1015" t="str">
        <f t="shared" si="60"/>
        <v>20260123_1013</v>
      </c>
      <c r="B1015" s="12">
        <v>46045</v>
      </c>
      <c r="C1015" s="13">
        <v>1013</v>
      </c>
      <c r="D1015" s="4" t="str">
        <f t="shared" si="63"/>
        <v>FE</v>
      </c>
      <c r="E1015" s="14">
        <v>0</v>
      </c>
      <c r="F1015">
        <f t="shared" si="61"/>
        <v>16</v>
      </c>
      <c r="G1015" s="41" t="str">
        <f t="shared" si="62"/>
        <v>FE</v>
      </c>
    </row>
    <row r="1016" spans="1:7" x14ac:dyDescent="0.6">
      <c r="A1016" t="str">
        <f t="shared" si="60"/>
        <v>20260123_1014</v>
      </c>
      <c r="B1016" s="12">
        <v>46045</v>
      </c>
      <c r="C1016" s="13">
        <v>1014</v>
      </c>
      <c r="D1016" s="4" t="str">
        <f t="shared" si="63"/>
        <v>FE</v>
      </c>
      <c r="E1016" s="14">
        <v>0</v>
      </c>
      <c r="F1016">
        <f t="shared" si="61"/>
        <v>16</v>
      </c>
      <c r="G1016" s="41" t="str">
        <f t="shared" si="62"/>
        <v>FE</v>
      </c>
    </row>
    <row r="1017" spans="1:7" x14ac:dyDescent="0.6">
      <c r="A1017" t="str">
        <f t="shared" si="60"/>
        <v>20260123_1015</v>
      </c>
      <c r="B1017" s="12">
        <v>46045</v>
      </c>
      <c r="C1017" s="13">
        <v>1015</v>
      </c>
      <c r="D1017" s="4" t="str">
        <f t="shared" si="63"/>
        <v>FE</v>
      </c>
      <c r="E1017" s="14">
        <v>0</v>
      </c>
      <c r="F1017">
        <f t="shared" si="61"/>
        <v>16</v>
      </c>
      <c r="G1017" s="41" t="str">
        <f t="shared" si="62"/>
        <v>FE</v>
      </c>
    </row>
    <row r="1018" spans="1:7" x14ac:dyDescent="0.6">
      <c r="A1018" t="str">
        <f t="shared" si="60"/>
        <v>20260123_1016</v>
      </c>
      <c r="B1018" s="12">
        <v>46045</v>
      </c>
      <c r="C1018" s="13">
        <v>1016</v>
      </c>
      <c r="D1018" s="4" t="str">
        <f t="shared" si="63"/>
        <v>FE</v>
      </c>
      <c r="E1018" s="14">
        <v>2.2499999999999999E-4</v>
      </c>
      <c r="F1018">
        <f t="shared" si="61"/>
        <v>16</v>
      </c>
      <c r="G1018" s="41" t="str">
        <f t="shared" si="62"/>
        <v>FE</v>
      </c>
    </row>
    <row r="1019" spans="1:7" x14ac:dyDescent="0.6">
      <c r="A1019" t="str">
        <f t="shared" si="60"/>
        <v>20260123_1017</v>
      </c>
      <c r="B1019" s="12">
        <v>46045</v>
      </c>
      <c r="C1019" s="13">
        <v>1017</v>
      </c>
      <c r="D1019" s="4" t="str">
        <f t="shared" si="63"/>
        <v>FE</v>
      </c>
      <c r="E1019" s="14">
        <v>0</v>
      </c>
      <c r="F1019">
        <f t="shared" si="61"/>
        <v>16</v>
      </c>
      <c r="G1019" s="41" t="str">
        <f t="shared" si="62"/>
        <v>FE</v>
      </c>
    </row>
    <row r="1020" spans="1:7" x14ac:dyDescent="0.6">
      <c r="A1020" t="str">
        <f t="shared" si="60"/>
        <v>20260123_1018</v>
      </c>
      <c r="B1020" s="12">
        <v>46045</v>
      </c>
      <c r="C1020" s="13">
        <v>1018</v>
      </c>
      <c r="D1020" s="4" t="str">
        <f t="shared" si="63"/>
        <v>FE</v>
      </c>
      <c r="E1020" s="14">
        <v>0</v>
      </c>
      <c r="F1020">
        <f t="shared" si="61"/>
        <v>16</v>
      </c>
      <c r="G1020" s="41" t="str">
        <f t="shared" si="62"/>
        <v>FE</v>
      </c>
    </row>
    <row r="1021" spans="1:7" x14ac:dyDescent="0.6">
      <c r="A1021" t="str">
        <f t="shared" si="60"/>
        <v>20260123_1019</v>
      </c>
      <c r="B1021" s="12">
        <v>46045</v>
      </c>
      <c r="C1021" s="13">
        <v>1019</v>
      </c>
      <c r="D1021" s="4" t="str">
        <f t="shared" si="63"/>
        <v>FE</v>
      </c>
      <c r="E1021" s="14">
        <v>0</v>
      </c>
      <c r="F1021">
        <f t="shared" si="61"/>
        <v>16</v>
      </c>
      <c r="G1021" s="41" t="str">
        <f t="shared" si="62"/>
        <v>FE</v>
      </c>
    </row>
    <row r="1022" spans="1:7" x14ac:dyDescent="0.6">
      <c r="A1022" t="str">
        <f t="shared" si="60"/>
        <v>20260123_1020</v>
      </c>
      <c r="B1022" s="12">
        <v>46045</v>
      </c>
      <c r="C1022" s="13">
        <v>1020</v>
      </c>
      <c r="D1022" s="4" t="str">
        <f t="shared" si="63"/>
        <v>FE</v>
      </c>
      <c r="E1022" s="14">
        <v>7.5600000000000005E-4</v>
      </c>
      <c r="F1022">
        <f t="shared" si="61"/>
        <v>17</v>
      </c>
      <c r="G1022" s="41" t="str">
        <f t="shared" si="62"/>
        <v>FE</v>
      </c>
    </row>
    <row r="1023" spans="1:7" x14ac:dyDescent="0.6">
      <c r="A1023" t="str">
        <f t="shared" si="60"/>
        <v>20260123_1021</v>
      </c>
      <c r="B1023" s="12">
        <v>46045</v>
      </c>
      <c r="C1023" s="13">
        <v>1021</v>
      </c>
      <c r="D1023" s="4" t="str">
        <f t="shared" si="63"/>
        <v>FE</v>
      </c>
      <c r="E1023" s="14">
        <v>4.4099999999999999E-4</v>
      </c>
      <c r="F1023">
        <f t="shared" si="61"/>
        <v>17</v>
      </c>
      <c r="G1023" s="41" t="str">
        <f t="shared" si="62"/>
        <v>FE</v>
      </c>
    </row>
    <row r="1024" spans="1:7" x14ac:dyDescent="0.6">
      <c r="A1024" t="str">
        <f t="shared" si="60"/>
        <v>20260123_1022</v>
      </c>
      <c r="B1024" s="12">
        <v>46045</v>
      </c>
      <c r="C1024" s="13">
        <v>1022</v>
      </c>
      <c r="D1024" s="4" t="str">
        <f t="shared" si="63"/>
        <v>FE</v>
      </c>
      <c r="E1024" s="14">
        <v>0</v>
      </c>
      <c r="F1024">
        <f t="shared" si="61"/>
        <v>17</v>
      </c>
      <c r="G1024" s="41" t="str">
        <f t="shared" si="62"/>
        <v>FE</v>
      </c>
    </row>
    <row r="1025" spans="1:7" x14ac:dyDescent="0.6">
      <c r="A1025" t="str">
        <f t="shared" si="60"/>
        <v>20260123_1023</v>
      </c>
      <c r="B1025" s="12">
        <v>46045</v>
      </c>
      <c r="C1025" s="13">
        <v>1023</v>
      </c>
      <c r="D1025" s="4" t="str">
        <f t="shared" si="63"/>
        <v>FF</v>
      </c>
      <c r="E1025" s="14">
        <v>0</v>
      </c>
      <c r="F1025">
        <f t="shared" si="61"/>
        <v>17</v>
      </c>
      <c r="G1025" s="41" t="str">
        <f t="shared" si="62"/>
        <v>FF</v>
      </c>
    </row>
    <row r="1026" spans="1:7" x14ac:dyDescent="0.6">
      <c r="A1026" t="str">
        <f t="shared" ref="A1026:A1089" si="64">IF(B1026="","",TEXT(B1026,"yyyymmdd")&amp;"_"&amp;TEXT(C1026,"0000"))</f>
        <v>20260123_1024</v>
      </c>
      <c r="B1026" s="12">
        <v>46045</v>
      </c>
      <c r="C1026" s="13">
        <v>1024</v>
      </c>
      <c r="D1026" s="4" t="str">
        <f t="shared" si="63"/>
        <v>FE</v>
      </c>
      <c r="E1026" s="14">
        <v>0</v>
      </c>
      <c r="F1026">
        <f t="shared" ref="F1026:F1089" si="65">IF(C1026="","",INT(C1026/60))</f>
        <v>17</v>
      </c>
      <c r="G1026" s="41" t="str">
        <f t="shared" ref="G1026:G1089" si="66">IF(D1026="","",IF(LEN(UPPER(SUBSTITUTE(SUBSTITUTE(TRIM(D1026),CHAR(160),"")," ","")))=1,"0"&amp;UPPER(SUBSTITUTE(SUBSTITUTE(TRIM(D1026),CHAR(160),"")," ","")),UPPER(SUBSTITUTE(SUBSTITUTE(TRIM(D1026),CHAR(160),"")," ",""))))</f>
        <v>FE</v>
      </c>
    </row>
    <row r="1027" spans="1:7" x14ac:dyDescent="0.6">
      <c r="A1027" t="str">
        <f t="shared" si="64"/>
        <v>20260123_1025</v>
      </c>
      <c r="B1027" s="12">
        <v>46045</v>
      </c>
      <c r="C1027" s="13">
        <v>1025</v>
      </c>
      <c r="D1027" s="4" t="str">
        <f t="shared" ref="D1027:D1090" si="67">MID(I$1,$C1027*2+1,2)</f>
        <v>FE</v>
      </c>
      <c r="E1027" s="14">
        <v>0</v>
      </c>
      <c r="F1027">
        <f t="shared" si="65"/>
        <v>17</v>
      </c>
      <c r="G1027" s="41" t="str">
        <f t="shared" si="66"/>
        <v>FE</v>
      </c>
    </row>
    <row r="1028" spans="1:7" x14ac:dyDescent="0.6">
      <c r="A1028" t="str">
        <f t="shared" si="64"/>
        <v>20260123_1026</v>
      </c>
      <c r="B1028" s="12">
        <v>46045</v>
      </c>
      <c r="C1028" s="13">
        <v>1026</v>
      </c>
      <c r="D1028" s="4" t="str">
        <f t="shared" si="67"/>
        <v>FE</v>
      </c>
      <c r="E1028" s="14">
        <v>0</v>
      </c>
      <c r="F1028">
        <f t="shared" si="65"/>
        <v>17</v>
      </c>
      <c r="G1028" s="41" t="str">
        <f t="shared" si="66"/>
        <v>FE</v>
      </c>
    </row>
    <row r="1029" spans="1:7" x14ac:dyDescent="0.6">
      <c r="A1029" t="str">
        <f t="shared" si="64"/>
        <v>20260123_1027</v>
      </c>
      <c r="B1029" s="12">
        <v>46045</v>
      </c>
      <c r="C1029" s="13">
        <v>1027</v>
      </c>
      <c r="D1029" s="4" t="str">
        <f t="shared" si="67"/>
        <v>FE</v>
      </c>
      <c r="E1029" s="14">
        <v>2.3800000000000001E-4</v>
      </c>
      <c r="F1029">
        <f t="shared" si="65"/>
        <v>17</v>
      </c>
      <c r="G1029" s="41" t="str">
        <f t="shared" si="66"/>
        <v>FE</v>
      </c>
    </row>
    <row r="1030" spans="1:7" x14ac:dyDescent="0.6">
      <c r="A1030" t="str">
        <f t="shared" si="64"/>
        <v>20260123_1028</v>
      </c>
      <c r="B1030" s="12">
        <v>46045</v>
      </c>
      <c r="C1030" s="13">
        <v>1028</v>
      </c>
      <c r="D1030" s="4" t="str">
        <f t="shared" si="67"/>
        <v>FE</v>
      </c>
      <c r="E1030" s="14">
        <v>0</v>
      </c>
      <c r="F1030">
        <f t="shared" si="65"/>
        <v>17</v>
      </c>
      <c r="G1030" s="41" t="str">
        <f t="shared" si="66"/>
        <v>FE</v>
      </c>
    </row>
    <row r="1031" spans="1:7" x14ac:dyDescent="0.6">
      <c r="A1031" t="str">
        <f t="shared" si="64"/>
        <v>20260123_1029</v>
      </c>
      <c r="B1031" s="12">
        <v>46045</v>
      </c>
      <c r="C1031" s="13">
        <v>1029</v>
      </c>
      <c r="D1031" s="4" t="str">
        <f t="shared" si="67"/>
        <v>FE</v>
      </c>
      <c r="E1031" s="14">
        <v>0</v>
      </c>
      <c r="F1031">
        <f t="shared" si="65"/>
        <v>17</v>
      </c>
      <c r="G1031" s="41" t="str">
        <f t="shared" si="66"/>
        <v>FE</v>
      </c>
    </row>
    <row r="1032" spans="1:7" x14ac:dyDescent="0.6">
      <c r="A1032" t="str">
        <f t="shared" si="64"/>
        <v>20260123_1030</v>
      </c>
      <c r="B1032" s="12">
        <v>46045</v>
      </c>
      <c r="C1032" s="13">
        <v>1030</v>
      </c>
      <c r="D1032" s="4" t="str">
        <f t="shared" si="67"/>
        <v>FE</v>
      </c>
      <c r="E1032" s="14">
        <v>5.7700000000000004E-4</v>
      </c>
      <c r="F1032">
        <f t="shared" si="65"/>
        <v>17</v>
      </c>
      <c r="G1032" s="41" t="str">
        <f t="shared" si="66"/>
        <v>FE</v>
      </c>
    </row>
    <row r="1033" spans="1:7" x14ac:dyDescent="0.6">
      <c r="A1033" t="str">
        <f t="shared" si="64"/>
        <v>20260123_1031</v>
      </c>
      <c r="B1033" s="12">
        <v>46045</v>
      </c>
      <c r="C1033" s="13">
        <v>1031</v>
      </c>
      <c r="D1033" s="4" t="str">
        <f t="shared" si="67"/>
        <v>FE</v>
      </c>
      <c r="E1033" s="14">
        <v>3.2899999999999997E-4</v>
      </c>
      <c r="F1033">
        <f t="shared" si="65"/>
        <v>17</v>
      </c>
      <c r="G1033" s="41" t="str">
        <f t="shared" si="66"/>
        <v>FE</v>
      </c>
    </row>
    <row r="1034" spans="1:7" x14ac:dyDescent="0.6">
      <c r="A1034" t="str">
        <f t="shared" si="64"/>
        <v>20260123_1032</v>
      </c>
      <c r="B1034" s="12">
        <v>46045</v>
      </c>
      <c r="C1034" s="13">
        <v>1032</v>
      </c>
      <c r="D1034" s="4" t="str">
        <f t="shared" si="67"/>
        <v>FE</v>
      </c>
      <c r="E1034" s="14">
        <v>0</v>
      </c>
      <c r="F1034">
        <f t="shared" si="65"/>
        <v>17</v>
      </c>
      <c r="G1034" s="41" t="str">
        <f t="shared" si="66"/>
        <v>FE</v>
      </c>
    </row>
    <row r="1035" spans="1:7" x14ac:dyDescent="0.6">
      <c r="A1035" t="str">
        <f t="shared" si="64"/>
        <v>20260123_1033</v>
      </c>
      <c r="B1035" s="12">
        <v>46045</v>
      </c>
      <c r="C1035" s="13">
        <v>1033</v>
      </c>
      <c r="D1035" s="4" t="str">
        <f t="shared" si="67"/>
        <v>FE</v>
      </c>
      <c r="E1035" s="14">
        <v>0</v>
      </c>
      <c r="F1035">
        <f t="shared" si="65"/>
        <v>17</v>
      </c>
      <c r="G1035" s="41" t="str">
        <f t="shared" si="66"/>
        <v>FE</v>
      </c>
    </row>
    <row r="1036" spans="1:7" x14ac:dyDescent="0.6">
      <c r="A1036" t="str">
        <f t="shared" si="64"/>
        <v>20260123_1034</v>
      </c>
      <c r="B1036" s="12">
        <v>46045</v>
      </c>
      <c r="C1036" s="13">
        <v>1034</v>
      </c>
      <c r="D1036" s="4" t="str">
        <f t="shared" si="67"/>
        <v>FE</v>
      </c>
      <c r="E1036" s="14">
        <v>4.4799999999999999E-4</v>
      </c>
      <c r="F1036">
        <f t="shared" si="65"/>
        <v>17</v>
      </c>
      <c r="G1036" s="41" t="str">
        <f t="shared" si="66"/>
        <v>FE</v>
      </c>
    </row>
    <row r="1037" spans="1:7" x14ac:dyDescent="0.6">
      <c r="A1037" t="str">
        <f t="shared" si="64"/>
        <v>20260123_1035</v>
      </c>
      <c r="B1037" s="12">
        <v>46045</v>
      </c>
      <c r="C1037" s="13">
        <v>1035</v>
      </c>
      <c r="D1037" s="4" t="str">
        <f t="shared" si="67"/>
        <v>FE</v>
      </c>
      <c r="E1037" s="14">
        <v>0</v>
      </c>
      <c r="F1037">
        <f t="shared" si="65"/>
        <v>17</v>
      </c>
      <c r="G1037" s="41" t="str">
        <f t="shared" si="66"/>
        <v>FE</v>
      </c>
    </row>
    <row r="1038" spans="1:7" x14ac:dyDescent="0.6">
      <c r="A1038" t="str">
        <f t="shared" si="64"/>
        <v>20260123_1036</v>
      </c>
      <c r="B1038" s="12">
        <v>46045</v>
      </c>
      <c r="C1038" s="13">
        <v>1036</v>
      </c>
      <c r="D1038" s="4" t="str">
        <f t="shared" si="67"/>
        <v>FE</v>
      </c>
      <c r="E1038" s="14">
        <v>0</v>
      </c>
      <c r="F1038">
        <f t="shared" si="65"/>
        <v>17</v>
      </c>
      <c r="G1038" s="41" t="str">
        <f t="shared" si="66"/>
        <v>FE</v>
      </c>
    </row>
    <row r="1039" spans="1:7" x14ac:dyDescent="0.6">
      <c r="A1039" t="str">
        <f t="shared" si="64"/>
        <v>20260123_1037</v>
      </c>
      <c r="B1039" s="12">
        <v>46045</v>
      </c>
      <c r="C1039" s="13">
        <v>1037</v>
      </c>
      <c r="D1039" s="4" t="str">
        <f t="shared" si="67"/>
        <v>FE</v>
      </c>
      <c r="E1039" s="14">
        <v>0</v>
      </c>
      <c r="F1039">
        <f t="shared" si="65"/>
        <v>17</v>
      </c>
      <c r="G1039" s="41" t="str">
        <f t="shared" si="66"/>
        <v>FE</v>
      </c>
    </row>
    <row r="1040" spans="1:7" x14ac:dyDescent="0.6">
      <c r="A1040" t="str">
        <f t="shared" si="64"/>
        <v>20260123_1038</v>
      </c>
      <c r="B1040" s="12">
        <v>46045</v>
      </c>
      <c r="C1040" s="13">
        <v>1038</v>
      </c>
      <c r="D1040" s="4" t="str">
        <f t="shared" si="67"/>
        <v>FE</v>
      </c>
      <c r="E1040" s="14">
        <v>0</v>
      </c>
      <c r="F1040">
        <f t="shared" si="65"/>
        <v>17</v>
      </c>
      <c r="G1040" s="41" t="str">
        <f t="shared" si="66"/>
        <v>FE</v>
      </c>
    </row>
    <row r="1041" spans="1:7" x14ac:dyDescent="0.6">
      <c r="A1041" t="str">
        <f t="shared" si="64"/>
        <v>20260123_1039</v>
      </c>
      <c r="B1041" s="12">
        <v>46045</v>
      </c>
      <c r="C1041" s="13">
        <v>1039</v>
      </c>
      <c r="D1041" s="4" t="str">
        <f t="shared" si="67"/>
        <v>FE</v>
      </c>
      <c r="E1041" s="14">
        <v>0</v>
      </c>
      <c r="F1041">
        <f t="shared" si="65"/>
        <v>17</v>
      </c>
      <c r="G1041" s="41" t="str">
        <f t="shared" si="66"/>
        <v>FE</v>
      </c>
    </row>
    <row r="1042" spans="1:7" x14ac:dyDescent="0.6">
      <c r="A1042" t="str">
        <f t="shared" si="64"/>
        <v>20260123_1040</v>
      </c>
      <c r="B1042" s="12">
        <v>46045</v>
      </c>
      <c r="C1042" s="13">
        <v>1040</v>
      </c>
      <c r="D1042" s="4" t="str">
        <f t="shared" si="67"/>
        <v>FE</v>
      </c>
      <c r="E1042" s="14">
        <v>5.2700000000000002E-4</v>
      </c>
      <c r="F1042">
        <f t="shared" si="65"/>
        <v>17</v>
      </c>
      <c r="G1042" s="41" t="str">
        <f t="shared" si="66"/>
        <v>FE</v>
      </c>
    </row>
    <row r="1043" spans="1:7" x14ac:dyDescent="0.6">
      <c r="A1043" t="str">
        <f t="shared" si="64"/>
        <v>20260123_1041</v>
      </c>
      <c r="B1043" s="12">
        <v>46045</v>
      </c>
      <c r="C1043" s="13">
        <v>1041</v>
      </c>
      <c r="D1043" s="4" t="str">
        <f t="shared" si="67"/>
        <v>FE</v>
      </c>
      <c r="E1043" s="14">
        <v>0</v>
      </c>
      <c r="F1043">
        <f t="shared" si="65"/>
        <v>17</v>
      </c>
      <c r="G1043" s="41" t="str">
        <f t="shared" si="66"/>
        <v>FE</v>
      </c>
    </row>
    <row r="1044" spans="1:7" x14ac:dyDescent="0.6">
      <c r="A1044" t="str">
        <f t="shared" si="64"/>
        <v>20260123_1042</v>
      </c>
      <c r="B1044" s="12">
        <v>46045</v>
      </c>
      <c r="C1044" s="13">
        <v>1042</v>
      </c>
      <c r="D1044" s="4" t="str">
        <f t="shared" si="67"/>
        <v>FE</v>
      </c>
      <c r="E1044" s="14">
        <v>0</v>
      </c>
      <c r="F1044">
        <f t="shared" si="65"/>
        <v>17</v>
      </c>
      <c r="G1044" s="41" t="str">
        <f t="shared" si="66"/>
        <v>FE</v>
      </c>
    </row>
    <row r="1045" spans="1:7" x14ac:dyDescent="0.6">
      <c r="A1045" t="str">
        <f t="shared" si="64"/>
        <v>20260123_1043</v>
      </c>
      <c r="B1045" s="12">
        <v>46045</v>
      </c>
      <c r="C1045" s="13">
        <v>1043</v>
      </c>
      <c r="D1045" s="4" t="str">
        <f t="shared" si="67"/>
        <v>FE</v>
      </c>
      <c r="E1045" s="14">
        <v>5.1000000000000004E-4</v>
      </c>
      <c r="F1045">
        <f t="shared" si="65"/>
        <v>17</v>
      </c>
      <c r="G1045" s="41" t="str">
        <f t="shared" si="66"/>
        <v>FE</v>
      </c>
    </row>
    <row r="1046" spans="1:7" x14ac:dyDescent="0.6">
      <c r="A1046" t="str">
        <f t="shared" si="64"/>
        <v>20260123_1044</v>
      </c>
      <c r="B1046" s="12">
        <v>46045</v>
      </c>
      <c r="C1046" s="13">
        <v>1044</v>
      </c>
      <c r="D1046" s="4" t="str">
        <f t="shared" si="67"/>
        <v>FE</v>
      </c>
      <c r="E1046" s="14">
        <v>2.61E-4</v>
      </c>
      <c r="F1046">
        <f t="shared" si="65"/>
        <v>17</v>
      </c>
      <c r="G1046" s="41" t="str">
        <f t="shared" si="66"/>
        <v>FE</v>
      </c>
    </row>
    <row r="1047" spans="1:7" x14ac:dyDescent="0.6">
      <c r="A1047" t="str">
        <f t="shared" si="64"/>
        <v>20260123_1045</v>
      </c>
      <c r="B1047" s="12">
        <v>46045</v>
      </c>
      <c r="C1047" s="13">
        <v>1045</v>
      </c>
      <c r="D1047" s="4" t="str">
        <f t="shared" si="67"/>
        <v>FE</v>
      </c>
      <c r="E1047" s="14">
        <v>0</v>
      </c>
      <c r="F1047">
        <f t="shared" si="65"/>
        <v>17</v>
      </c>
      <c r="G1047" s="41" t="str">
        <f t="shared" si="66"/>
        <v>FE</v>
      </c>
    </row>
    <row r="1048" spans="1:7" x14ac:dyDescent="0.6">
      <c r="A1048" t="str">
        <f t="shared" si="64"/>
        <v>20260123_1046</v>
      </c>
      <c r="B1048" s="12">
        <v>46045</v>
      </c>
      <c r="C1048" s="13">
        <v>1046</v>
      </c>
      <c r="D1048" s="4" t="str">
        <f t="shared" si="67"/>
        <v>FE</v>
      </c>
      <c r="E1048" s="14">
        <v>3.9100000000000002E-4</v>
      </c>
      <c r="F1048">
        <f t="shared" si="65"/>
        <v>17</v>
      </c>
      <c r="G1048" s="41" t="str">
        <f t="shared" si="66"/>
        <v>FE</v>
      </c>
    </row>
    <row r="1049" spans="1:7" x14ac:dyDescent="0.6">
      <c r="A1049" t="str">
        <f t="shared" si="64"/>
        <v>20260123_1047</v>
      </c>
      <c r="B1049" s="12">
        <v>46045</v>
      </c>
      <c r="C1049" s="13">
        <v>1047</v>
      </c>
      <c r="D1049" s="4" t="str">
        <f t="shared" si="67"/>
        <v>FE</v>
      </c>
      <c r="E1049" s="14">
        <v>3.5300000000000002E-4</v>
      </c>
      <c r="F1049">
        <f t="shared" si="65"/>
        <v>17</v>
      </c>
      <c r="G1049" s="41" t="str">
        <f t="shared" si="66"/>
        <v>FE</v>
      </c>
    </row>
    <row r="1050" spans="1:7" x14ac:dyDescent="0.6">
      <c r="A1050" t="str">
        <f t="shared" si="64"/>
        <v>20260123_1048</v>
      </c>
      <c r="B1050" s="12">
        <v>46045</v>
      </c>
      <c r="C1050" s="13">
        <v>1048</v>
      </c>
      <c r="D1050" s="4" t="str">
        <f t="shared" si="67"/>
        <v>FE</v>
      </c>
      <c r="E1050" s="14">
        <v>0</v>
      </c>
      <c r="F1050">
        <f t="shared" si="65"/>
        <v>17</v>
      </c>
      <c r="G1050" s="41" t="str">
        <f t="shared" si="66"/>
        <v>FE</v>
      </c>
    </row>
    <row r="1051" spans="1:7" x14ac:dyDescent="0.6">
      <c r="A1051" t="str">
        <f t="shared" si="64"/>
        <v>20260123_1049</v>
      </c>
      <c r="B1051" s="12">
        <v>46045</v>
      </c>
      <c r="C1051" s="13">
        <v>1049</v>
      </c>
      <c r="D1051" s="4" t="str">
        <f t="shared" si="67"/>
        <v>FE</v>
      </c>
      <c r="E1051" s="14">
        <v>0</v>
      </c>
      <c r="F1051">
        <f t="shared" si="65"/>
        <v>17</v>
      </c>
      <c r="G1051" s="41" t="str">
        <f t="shared" si="66"/>
        <v>FE</v>
      </c>
    </row>
    <row r="1052" spans="1:7" x14ac:dyDescent="0.6">
      <c r="A1052" t="str">
        <f t="shared" si="64"/>
        <v>20260123_1050</v>
      </c>
      <c r="B1052" s="12">
        <v>46045</v>
      </c>
      <c r="C1052" s="13">
        <v>1050</v>
      </c>
      <c r="D1052" s="4" t="str">
        <f t="shared" si="67"/>
        <v>FE</v>
      </c>
      <c r="E1052" s="14">
        <v>3.3E-4</v>
      </c>
      <c r="F1052">
        <f t="shared" si="65"/>
        <v>17</v>
      </c>
      <c r="G1052" s="41" t="str">
        <f t="shared" si="66"/>
        <v>FE</v>
      </c>
    </row>
    <row r="1053" spans="1:7" x14ac:dyDescent="0.6">
      <c r="A1053" t="str">
        <f t="shared" si="64"/>
        <v>20260123_1051</v>
      </c>
      <c r="B1053" s="12">
        <v>46045</v>
      </c>
      <c r="C1053" s="13">
        <v>1051</v>
      </c>
      <c r="D1053" s="4" t="str">
        <f t="shared" si="67"/>
        <v>FE</v>
      </c>
      <c r="E1053" s="14">
        <v>0</v>
      </c>
      <c r="F1053">
        <f t="shared" si="65"/>
        <v>17</v>
      </c>
      <c r="G1053" s="41" t="str">
        <f t="shared" si="66"/>
        <v>FE</v>
      </c>
    </row>
    <row r="1054" spans="1:7" x14ac:dyDescent="0.6">
      <c r="A1054" t="str">
        <f t="shared" si="64"/>
        <v>20260123_1052</v>
      </c>
      <c r="B1054" s="12">
        <v>46045</v>
      </c>
      <c r="C1054" s="13">
        <v>1052</v>
      </c>
      <c r="D1054" s="4" t="str">
        <f t="shared" si="67"/>
        <v>FE</v>
      </c>
      <c r="E1054" s="14">
        <v>4.4799999999999999E-4</v>
      </c>
      <c r="F1054">
        <f t="shared" si="65"/>
        <v>17</v>
      </c>
      <c r="G1054" s="41" t="str">
        <f t="shared" si="66"/>
        <v>FE</v>
      </c>
    </row>
    <row r="1055" spans="1:7" x14ac:dyDescent="0.6">
      <c r="A1055" t="str">
        <f t="shared" si="64"/>
        <v>20260123_1053</v>
      </c>
      <c r="B1055" s="12">
        <v>46045</v>
      </c>
      <c r="C1055" s="13">
        <v>1053</v>
      </c>
      <c r="D1055" s="4" t="str">
        <f t="shared" si="67"/>
        <v>FE</v>
      </c>
      <c r="E1055" s="14">
        <v>7.1699999999999997E-4</v>
      </c>
      <c r="F1055">
        <f t="shared" si="65"/>
        <v>17</v>
      </c>
      <c r="G1055" s="41" t="str">
        <f t="shared" si="66"/>
        <v>FE</v>
      </c>
    </row>
    <row r="1056" spans="1:7" x14ac:dyDescent="0.6">
      <c r="A1056" t="str">
        <f t="shared" si="64"/>
        <v>20260123_1054</v>
      </c>
      <c r="B1056" s="12">
        <v>46045</v>
      </c>
      <c r="C1056" s="13">
        <v>1054</v>
      </c>
      <c r="D1056" s="4" t="str">
        <f t="shared" si="67"/>
        <v>FE</v>
      </c>
      <c r="E1056" s="14">
        <v>0</v>
      </c>
      <c r="F1056">
        <f t="shared" si="65"/>
        <v>17</v>
      </c>
      <c r="G1056" s="41" t="str">
        <f t="shared" si="66"/>
        <v>FE</v>
      </c>
    </row>
    <row r="1057" spans="1:7" x14ac:dyDescent="0.6">
      <c r="A1057" t="str">
        <f t="shared" si="64"/>
        <v>20260123_1055</v>
      </c>
      <c r="B1057" s="12">
        <v>46045</v>
      </c>
      <c r="C1057" s="13">
        <v>1055</v>
      </c>
      <c r="D1057" s="4" t="str">
        <f t="shared" si="67"/>
        <v>FE</v>
      </c>
      <c r="E1057" s="14">
        <v>0</v>
      </c>
      <c r="F1057">
        <f t="shared" si="65"/>
        <v>17</v>
      </c>
      <c r="G1057" s="41" t="str">
        <f t="shared" si="66"/>
        <v>FE</v>
      </c>
    </row>
    <row r="1058" spans="1:7" x14ac:dyDescent="0.6">
      <c r="A1058" t="str">
        <f t="shared" si="64"/>
        <v>20260123_1056</v>
      </c>
      <c r="B1058" s="12">
        <v>46045</v>
      </c>
      <c r="C1058" s="13">
        <v>1056</v>
      </c>
      <c r="D1058" s="4" t="str">
        <f t="shared" si="67"/>
        <v>FE</v>
      </c>
      <c r="E1058" s="14">
        <v>3.4200000000000002E-4</v>
      </c>
      <c r="F1058">
        <f t="shared" si="65"/>
        <v>17</v>
      </c>
      <c r="G1058" s="41" t="str">
        <f t="shared" si="66"/>
        <v>FE</v>
      </c>
    </row>
    <row r="1059" spans="1:7" x14ac:dyDescent="0.6">
      <c r="A1059" t="str">
        <f t="shared" si="64"/>
        <v>20260123_1057</v>
      </c>
      <c r="B1059" s="12">
        <v>46045</v>
      </c>
      <c r="C1059" s="13">
        <v>1057</v>
      </c>
      <c r="D1059" s="4" t="str">
        <f t="shared" si="67"/>
        <v>FE</v>
      </c>
      <c r="E1059" s="14">
        <v>2.7599999999999999E-4</v>
      </c>
      <c r="F1059">
        <f t="shared" si="65"/>
        <v>17</v>
      </c>
      <c r="G1059" s="41" t="str">
        <f t="shared" si="66"/>
        <v>FE</v>
      </c>
    </row>
    <row r="1060" spans="1:7" x14ac:dyDescent="0.6">
      <c r="A1060" t="str">
        <f t="shared" si="64"/>
        <v>20260123_1058</v>
      </c>
      <c r="B1060" s="12">
        <v>46045</v>
      </c>
      <c r="C1060" s="13">
        <v>1058</v>
      </c>
      <c r="D1060" s="4" t="str">
        <f t="shared" si="67"/>
        <v>FE</v>
      </c>
      <c r="E1060" s="14">
        <v>0</v>
      </c>
      <c r="F1060">
        <f t="shared" si="65"/>
        <v>17</v>
      </c>
      <c r="G1060" s="41" t="str">
        <f t="shared" si="66"/>
        <v>FE</v>
      </c>
    </row>
    <row r="1061" spans="1:7" x14ac:dyDescent="0.6">
      <c r="A1061" t="str">
        <f t="shared" si="64"/>
        <v>20260123_1059</v>
      </c>
      <c r="B1061" s="12">
        <v>46045</v>
      </c>
      <c r="C1061" s="13">
        <v>1059</v>
      </c>
      <c r="D1061" s="4" t="str">
        <f t="shared" si="67"/>
        <v>FE</v>
      </c>
      <c r="E1061" s="14">
        <v>3.4600000000000001E-4</v>
      </c>
      <c r="F1061">
        <f t="shared" si="65"/>
        <v>17</v>
      </c>
      <c r="G1061" s="41" t="str">
        <f t="shared" si="66"/>
        <v>FE</v>
      </c>
    </row>
    <row r="1062" spans="1:7" x14ac:dyDescent="0.6">
      <c r="A1062" t="str">
        <f t="shared" si="64"/>
        <v>20260123_1060</v>
      </c>
      <c r="B1062" s="12">
        <v>46045</v>
      </c>
      <c r="C1062" s="13">
        <v>1060</v>
      </c>
      <c r="D1062" s="4" t="str">
        <f t="shared" si="67"/>
        <v>FE</v>
      </c>
      <c r="E1062" s="14">
        <v>4.5100000000000001E-4</v>
      </c>
      <c r="F1062">
        <f t="shared" si="65"/>
        <v>17</v>
      </c>
      <c r="G1062" s="41" t="str">
        <f t="shared" si="66"/>
        <v>FE</v>
      </c>
    </row>
    <row r="1063" spans="1:7" x14ac:dyDescent="0.6">
      <c r="A1063" t="str">
        <f t="shared" si="64"/>
        <v>20260123_1061</v>
      </c>
      <c r="B1063" s="12">
        <v>46045</v>
      </c>
      <c r="C1063" s="13">
        <v>1061</v>
      </c>
      <c r="D1063" s="4" t="str">
        <f t="shared" si="67"/>
        <v>FE</v>
      </c>
      <c r="E1063" s="14">
        <v>2.9500000000000001E-4</v>
      </c>
      <c r="F1063">
        <f t="shared" si="65"/>
        <v>17</v>
      </c>
      <c r="G1063" s="41" t="str">
        <f t="shared" si="66"/>
        <v>FE</v>
      </c>
    </row>
    <row r="1064" spans="1:7" x14ac:dyDescent="0.6">
      <c r="A1064" t="str">
        <f t="shared" si="64"/>
        <v>20260123_1062</v>
      </c>
      <c r="B1064" s="12">
        <v>46045</v>
      </c>
      <c r="C1064" s="13">
        <v>1062</v>
      </c>
      <c r="D1064" s="4" t="str">
        <f t="shared" si="67"/>
        <v>FE</v>
      </c>
      <c r="E1064" s="14">
        <v>0</v>
      </c>
      <c r="F1064">
        <f t="shared" si="65"/>
        <v>17</v>
      </c>
      <c r="G1064" s="41" t="str">
        <f t="shared" si="66"/>
        <v>FE</v>
      </c>
    </row>
    <row r="1065" spans="1:7" x14ac:dyDescent="0.6">
      <c r="A1065" t="str">
        <f t="shared" si="64"/>
        <v>20260123_1063</v>
      </c>
      <c r="B1065" s="12">
        <v>46045</v>
      </c>
      <c r="C1065" s="13">
        <v>1063</v>
      </c>
      <c r="D1065" s="4" t="str">
        <f t="shared" si="67"/>
        <v>FE</v>
      </c>
      <c r="E1065" s="14">
        <v>0</v>
      </c>
      <c r="F1065">
        <f t="shared" si="65"/>
        <v>17</v>
      </c>
      <c r="G1065" s="41" t="str">
        <f t="shared" si="66"/>
        <v>FE</v>
      </c>
    </row>
    <row r="1066" spans="1:7" x14ac:dyDescent="0.6">
      <c r="A1066" t="str">
        <f t="shared" si="64"/>
        <v>20260123_1064</v>
      </c>
      <c r="B1066" s="12">
        <v>46045</v>
      </c>
      <c r="C1066" s="13">
        <v>1064</v>
      </c>
      <c r="D1066" s="4" t="str">
        <f t="shared" si="67"/>
        <v>FE</v>
      </c>
      <c r="E1066" s="14">
        <v>6.2E-4</v>
      </c>
      <c r="F1066">
        <f t="shared" si="65"/>
        <v>17</v>
      </c>
      <c r="G1066" s="41" t="str">
        <f t="shared" si="66"/>
        <v>FE</v>
      </c>
    </row>
    <row r="1067" spans="1:7" x14ac:dyDescent="0.6">
      <c r="A1067" t="str">
        <f t="shared" si="64"/>
        <v>20260123_1065</v>
      </c>
      <c r="B1067" s="12">
        <v>46045</v>
      </c>
      <c r="C1067" s="13">
        <v>1065</v>
      </c>
      <c r="D1067" s="4" t="str">
        <f t="shared" si="67"/>
        <v>FE</v>
      </c>
      <c r="E1067" s="14">
        <v>4.6500000000000003E-4</v>
      </c>
      <c r="F1067">
        <f t="shared" si="65"/>
        <v>17</v>
      </c>
      <c r="G1067" s="41" t="str">
        <f t="shared" si="66"/>
        <v>FE</v>
      </c>
    </row>
    <row r="1068" spans="1:7" x14ac:dyDescent="0.6">
      <c r="A1068" t="str">
        <f t="shared" si="64"/>
        <v>20260123_1066</v>
      </c>
      <c r="B1068" s="12">
        <v>46045</v>
      </c>
      <c r="C1068" s="13">
        <v>1066</v>
      </c>
      <c r="D1068" s="4" t="str">
        <f t="shared" si="67"/>
        <v>FE</v>
      </c>
      <c r="E1068" s="14">
        <v>3.5E-4</v>
      </c>
      <c r="F1068">
        <f t="shared" si="65"/>
        <v>17</v>
      </c>
      <c r="G1068" s="41" t="str">
        <f t="shared" si="66"/>
        <v>FE</v>
      </c>
    </row>
    <row r="1069" spans="1:7" x14ac:dyDescent="0.6">
      <c r="A1069" t="str">
        <f t="shared" si="64"/>
        <v>20260123_1067</v>
      </c>
      <c r="B1069" s="12">
        <v>46045</v>
      </c>
      <c r="C1069" s="13">
        <v>1067</v>
      </c>
      <c r="D1069" s="4" t="str">
        <f t="shared" si="67"/>
        <v>FE</v>
      </c>
      <c r="E1069" s="14">
        <v>2.3000000000000001E-4</v>
      </c>
      <c r="F1069">
        <f t="shared" si="65"/>
        <v>17</v>
      </c>
      <c r="G1069" s="41" t="str">
        <f t="shared" si="66"/>
        <v>FE</v>
      </c>
    </row>
    <row r="1070" spans="1:7" x14ac:dyDescent="0.6">
      <c r="A1070" t="str">
        <f t="shared" si="64"/>
        <v>20260123_1068</v>
      </c>
      <c r="B1070" s="12">
        <v>46045</v>
      </c>
      <c r="C1070" s="13">
        <v>1068</v>
      </c>
      <c r="D1070" s="4" t="str">
        <f t="shared" si="67"/>
        <v>FE</v>
      </c>
      <c r="E1070" s="14">
        <v>0</v>
      </c>
      <c r="F1070">
        <f t="shared" si="65"/>
        <v>17</v>
      </c>
      <c r="G1070" s="41" t="str">
        <f t="shared" si="66"/>
        <v>FE</v>
      </c>
    </row>
    <row r="1071" spans="1:7" x14ac:dyDescent="0.6">
      <c r="A1071" t="str">
        <f t="shared" si="64"/>
        <v>20260123_1069</v>
      </c>
      <c r="B1071" s="12">
        <v>46045</v>
      </c>
      <c r="C1071" s="13">
        <v>1069</v>
      </c>
      <c r="D1071" s="4" t="str">
        <f t="shared" si="67"/>
        <v>FE</v>
      </c>
      <c r="E1071" s="14">
        <v>6.6799999999999997E-4</v>
      </c>
      <c r="F1071">
        <f t="shared" si="65"/>
        <v>17</v>
      </c>
      <c r="G1071" s="41" t="str">
        <f t="shared" si="66"/>
        <v>FE</v>
      </c>
    </row>
    <row r="1072" spans="1:7" x14ac:dyDescent="0.6">
      <c r="A1072" t="str">
        <f t="shared" si="64"/>
        <v>20260123_1070</v>
      </c>
      <c r="B1072" s="12">
        <v>46045</v>
      </c>
      <c r="C1072" s="13">
        <v>1070</v>
      </c>
      <c r="D1072" s="4" t="str">
        <f t="shared" si="67"/>
        <v>FE</v>
      </c>
      <c r="E1072" s="14">
        <v>0</v>
      </c>
      <c r="F1072">
        <f t="shared" si="65"/>
        <v>17</v>
      </c>
      <c r="G1072" s="41" t="str">
        <f t="shared" si="66"/>
        <v>FE</v>
      </c>
    </row>
    <row r="1073" spans="1:7" x14ac:dyDescent="0.6">
      <c r="A1073" t="str">
        <f t="shared" si="64"/>
        <v>20260123_1071</v>
      </c>
      <c r="B1073" s="12">
        <v>46045</v>
      </c>
      <c r="C1073" s="13">
        <v>1071</v>
      </c>
      <c r="D1073" s="4" t="str">
        <f t="shared" si="67"/>
        <v>FE</v>
      </c>
      <c r="E1073" s="14">
        <v>5.2400000000000005E-4</v>
      </c>
      <c r="F1073">
        <f t="shared" si="65"/>
        <v>17</v>
      </c>
      <c r="G1073" s="41" t="str">
        <f t="shared" si="66"/>
        <v>FE</v>
      </c>
    </row>
    <row r="1074" spans="1:7" x14ac:dyDescent="0.6">
      <c r="A1074" t="str">
        <f t="shared" si="64"/>
        <v>20260123_1072</v>
      </c>
      <c r="B1074" s="12">
        <v>46045</v>
      </c>
      <c r="C1074" s="13">
        <v>1072</v>
      </c>
      <c r="D1074" s="4" t="str">
        <f t="shared" si="67"/>
        <v>FE</v>
      </c>
      <c r="E1074" s="14">
        <v>0</v>
      </c>
      <c r="F1074">
        <f t="shared" si="65"/>
        <v>17</v>
      </c>
      <c r="G1074" s="41" t="str">
        <f t="shared" si="66"/>
        <v>FE</v>
      </c>
    </row>
    <row r="1075" spans="1:7" x14ac:dyDescent="0.6">
      <c r="A1075" t="str">
        <f t="shared" si="64"/>
        <v>20260123_1073</v>
      </c>
      <c r="B1075" s="12">
        <v>46045</v>
      </c>
      <c r="C1075" s="13">
        <v>1073</v>
      </c>
      <c r="D1075" s="4" t="str">
        <f t="shared" si="67"/>
        <v>FE</v>
      </c>
      <c r="E1075" s="14">
        <v>4.86E-4</v>
      </c>
      <c r="F1075">
        <f t="shared" si="65"/>
        <v>17</v>
      </c>
      <c r="G1075" s="41" t="str">
        <f t="shared" si="66"/>
        <v>FE</v>
      </c>
    </row>
    <row r="1076" spans="1:7" x14ac:dyDescent="0.6">
      <c r="A1076" t="str">
        <f t="shared" si="64"/>
        <v>20260123_1074</v>
      </c>
      <c r="B1076" s="12">
        <v>46045</v>
      </c>
      <c r="C1076" s="13">
        <v>1074</v>
      </c>
      <c r="D1076" s="4" t="str">
        <f t="shared" si="67"/>
        <v>FE</v>
      </c>
      <c r="E1076" s="14">
        <v>2.5900000000000001E-4</v>
      </c>
      <c r="F1076">
        <f t="shared" si="65"/>
        <v>17</v>
      </c>
      <c r="G1076" s="41" t="str">
        <f t="shared" si="66"/>
        <v>FE</v>
      </c>
    </row>
    <row r="1077" spans="1:7" x14ac:dyDescent="0.6">
      <c r="A1077" t="str">
        <f t="shared" si="64"/>
        <v>20260123_1075</v>
      </c>
      <c r="B1077" s="12">
        <v>46045</v>
      </c>
      <c r="C1077" s="13">
        <v>1075</v>
      </c>
      <c r="D1077" s="4" t="str">
        <f t="shared" si="67"/>
        <v>FE</v>
      </c>
      <c r="E1077" s="14">
        <v>0</v>
      </c>
      <c r="F1077">
        <f t="shared" si="65"/>
        <v>17</v>
      </c>
      <c r="G1077" s="41" t="str">
        <f t="shared" si="66"/>
        <v>FE</v>
      </c>
    </row>
    <row r="1078" spans="1:7" x14ac:dyDescent="0.6">
      <c r="A1078" t="str">
        <f t="shared" si="64"/>
        <v>20260123_1076</v>
      </c>
      <c r="B1078" s="12">
        <v>46045</v>
      </c>
      <c r="C1078" s="13">
        <v>1076</v>
      </c>
      <c r="D1078" s="4" t="str">
        <f t="shared" si="67"/>
        <v>14</v>
      </c>
      <c r="E1078" s="14">
        <v>0</v>
      </c>
      <c r="F1078">
        <f t="shared" si="65"/>
        <v>17</v>
      </c>
      <c r="G1078" s="41" t="str">
        <f t="shared" si="66"/>
        <v>14</v>
      </c>
    </row>
    <row r="1079" spans="1:7" x14ac:dyDescent="0.6">
      <c r="A1079" t="str">
        <f t="shared" si="64"/>
        <v>20260123_1077</v>
      </c>
      <c r="B1079" s="12">
        <v>46045</v>
      </c>
      <c r="C1079" s="13">
        <v>1077</v>
      </c>
      <c r="D1079" s="4" t="str">
        <f t="shared" si="67"/>
        <v>01</v>
      </c>
      <c r="E1079" s="14">
        <v>0</v>
      </c>
      <c r="F1079">
        <f t="shared" si="65"/>
        <v>17</v>
      </c>
      <c r="G1079" s="41" t="str">
        <f t="shared" si="66"/>
        <v>01</v>
      </c>
    </row>
    <row r="1080" spans="1:7" x14ac:dyDescent="0.6">
      <c r="A1080" t="str">
        <f t="shared" si="64"/>
        <v>20260123_1078</v>
      </c>
      <c r="B1080" s="12">
        <v>46045</v>
      </c>
      <c r="C1080" s="13">
        <v>1078</v>
      </c>
      <c r="D1080" s="4" t="str">
        <f t="shared" si="67"/>
        <v>01</v>
      </c>
      <c r="E1080" s="14">
        <v>3.6000000000000002E-4</v>
      </c>
      <c r="F1080">
        <f t="shared" si="65"/>
        <v>17</v>
      </c>
      <c r="G1080" s="41" t="str">
        <f t="shared" si="66"/>
        <v>01</v>
      </c>
    </row>
    <row r="1081" spans="1:7" x14ac:dyDescent="0.6">
      <c r="A1081" t="str">
        <f t="shared" si="64"/>
        <v>20260123_1079</v>
      </c>
      <c r="B1081" s="12">
        <v>46045</v>
      </c>
      <c r="C1081" s="13">
        <v>1079</v>
      </c>
      <c r="D1081" s="4" t="str">
        <f t="shared" si="67"/>
        <v>01</v>
      </c>
      <c r="E1081" s="14">
        <v>4.9799999999999996E-4</v>
      </c>
      <c r="F1081">
        <f t="shared" si="65"/>
        <v>17</v>
      </c>
      <c r="G1081" s="41" t="str">
        <f t="shared" si="66"/>
        <v>01</v>
      </c>
    </row>
    <row r="1082" spans="1:7" x14ac:dyDescent="0.6">
      <c r="A1082" t="str">
        <f t="shared" si="64"/>
        <v>20260123_1080</v>
      </c>
      <c r="B1082" s="12">
        <v>46045</v>
      </c>
      <c r="C1082" s="13">
        <v>1080</v>
      </c>
      <c r="D1082" s="4" t="str">
        <f t="shared" si="67"/>
        <v>01</v>
      </c>
      <c r="E1082" s="14">
        <v>0</v>
      </c>
      <c r="F1082">
        <f t="shared" si="65"/>
        <v>18</v>
      </c>
      <c r="G1082" s="41" t="str">
        <f t="shared" si="66"/>
        <v>01</v>
      </c>
    </row>
    <row r="1083" spans="1:7" x14ac:dyDescent="0.6">
      <c r="A1083" t="str">
        <f t="shared" si="64"/>
        <v>20260123_1081</v>
      </c>
      <c r="B1083" s="12">
        <v>46045</v>
      </c>
      <c r="C1083" s="13">
        <v>1081</v>
      </c>
      <c r="D1083" s="4" t="str">
        <f t="shared" si="67"/>
        <v>01</v>
      </c>
      <c r="E1083" s="14">
        <v>4.7800000000000002E-4</v>
      </c>
      <c r="F1083">
        <f t="shared" si="65"/>
        <v>18</v>
      </c>
      <c r="G1083" s="41" t="str">
        <f t="shared" si="66"/>
        <v>01</v>
      </c>
    </row>
    <row r="1084" spans="1:7" x14ac:dyDescent="0.6">
      <c r="A1084" t="str">
        <f t="shared" si="64"/>
        <v>20260123_1082</v>
      </c>
      <c r="B1084" s="12">
        <v>46045</v>
      </c>
      <c r="C1084" s="13">
        <v>1082</v>
      </c>
      <c r="D1084" s="4" t="str">
        <f t="shared" si="67"/>
        <v>01</v>
      </c>
      <c r="E1084" s="14">
        <v>0</v>
      </c>
      <c r="F1084">
        <f t="shared" si="65"/>
        <v>18</v>
      </c>
      <c r="G1084" s="41" t="str">
        <f t="shared" si="66"/>
        <v>01</v>
      </c>
    </row>
    <row r="1085" spans="1:7" x14ac:dyDescent="0.6">
      <c r="A1085" t="str">
        <f t="shared" si="64"/>
        <v>20260123_1083</v>
      </c>
      <c r="B1085" s="12">
        <v>46045</v>
      </c>
      <c r="C1085" s="13">
        <v>1083</v>
      </c>
      <c r="D1085" s="4" t="str">
        <f t="shared" si="67"/>
        <v>01</v>
      </c>
      <c r="E1085" s="14">
        <v>0</v>
      </c>
      <c r="F1085">
        <f t="shared" si="65"/>
        <v>18</v>
      </c>
      <c r="G1085" s="41" t="str">
        <f t="shared" si="66"/>
        <v>01</v>
      </c>
    </row>
    <row r="1086" spans="1:7" x14ac:dyDescent="0.6">
      <c r="A1086" t="str">
        <f t="shared" si="64"/>
        <v>20260123_1084</v>
      </c>
      <c r="B1086" s="12">
        <v>46045</v>
      </c>
      <c r="C1086" s="13">
        <v>1084</v>
      </c>
      <c r="D1086" s="4" t="str">
        <f t="shared" si="67"/>
        <v>01</v>
      </c>
      <c r="E1086" s="14">
        <v>3.4299999999999999E-4</v>
      </c>
      <c r="F1086">
        <f t="shared" si="65"/>
        <v>18</v>
      </c>
      <c r="G1086" s="41" t="str">
        <f t="shared" si="66"/>
        <v>01</v>
      </c>
    </row>
    <row r="1087" spans="1:7" x14ac:dyDescent="0.6">
      <c r="A1087" t="str">
        <f t="shared" si="64"/>
        <v>20260123_1085</v>
      </c>
      <c r="B1087" s="12">
        <v>46045</v>
      </c>
      <c r="C1087" s="13">
        <v>1085</v>
      </c>
      <c r="D1087" s="4" t="str">
        <f t="shared" si="67"/>
        <v>1E</v>
      </c>
      <c r="E1087" s="14">
        <v>3.9100000000000002E-4</v>
      </c>
      <c r="F1087">
        <f t="shared" si="65"/>
        <v>18</v>
      </c>
      <c r="G1087" s="41" t="str">
        <f t="shared" si="66"/>
        <v>1E</v>
      </c>
    </row>
    <row r="1088" spans="1:7" x14ac:dyDescent="0.6">
      <c r="A1088" t="str">
        <f t="shared" si="64"/>
        <v>20260123_1086</v>
      </c>
      <c r="B1088" s="12">
        <v>46045</v>
      </c>
      <c r="C1088" s="13">
        <v>1086</v>
      </c>
      <c r="D1088" s="4" t="str">
        <f t="shared" si="67"/>
        <v>01</v>
      </c>
      <c r="E1088" s="14">
        <v>0</v>
      </c>
      <c r="F1088">
        <f t="shared" si="65"/>
        <v>18</v>
      </c>
      <c r="G1088" s="41" t="str">
        <f t="shared" si="66"/>
        <v>01</v>
      </c>
    </row>
    <row r="1089" spans="1:7" x14ac:dyDescent="0.6">
      <c r="A1089" t="str">
        <f t="shared" si="64"/>
        <v>20260123_1087</v>
      </c>
      <c r="B1089" s="12">
        <v>46045</v>
      </c>
      <c r="C1089" s="13">
        <v>1087</v>
      </c>
      <c r="D1089" s="4" t="str">
        <f t="shared" si="67"/>
        <v>0A</v>
      </c>
      <c r="E1089" s="14">
        <v>8.9899999999999995E-4</v>
      </c>
      <c r="F1089">
        <f t="shared" si="65"/>
        <v>18</v>
      </c>
      <c r="G1089" s="41" t="str">
        <f t="shared" si="66"/>
        <v>0A</v>
      </c>
    </row>
    <row r="1090" spans="1:7" x14ac:dyDescent="0.6">
      <c r="A1090" t="str">
        <f t="shared" ref="A1090:A1153" si="68">IF(B1090="","",TEXT(B1090,"yyyymmdd")&amp;"_"&amp;TEXT(C1090,"0000"))</f>
        <v>20260123_1088</v>
      </c>
      <c r="B1090" s="12">
        <v>46045</v>
      </c>
      <c r="C1090" s="13">
        <v>1088</v>
      </c>
      <c r="D1090" s="4" t="str">
        <f t="shared" si="67"/>
        <v>01</v>
      </c>
      <c r="E1090" s="14">
        <v>5.53E-4</v>
      </c>
      <c r="F1090">
        <f t="shared" ref="F1090:F1153" si="69">IF(C1090="","",INT(C1090/60))</f>
        <v>18</v>
      </c>
      <c r="G1090" s="41" t="str">
        <f t="shared" ref="G1090:G1153" si="70">IF(D1090="","",IF(LEN(UPPER(SUBSTITUTE(SUBSTITUTE(TRIM(D1090),CHAR(160),"")," ","")))=1,"0"&amp;UPPER(SUBSTITUTE(SUBSTITUTE(TRIM(D1090),CHAR(160),"")," ","")),UPPER(SUBSTITUTE(SUBSTITUTE(TRIM(D1090),CHAR(160),"")," ",""))))</f>
        <v>01</v>
      </c>
    </row>
    <row r="1091" spans="1:7" x14ac:dyDescent="0.6">
      <c r="A1091" t="str">
        <f t="shared" si="68"/>
        <v>20260123_1089</v>
      </c>
      <c r="B1091" s="12">
        <v>46045</v>
      </c>
      <c r="C1091" s="13">
        <v>1089</v>
      </c>
      <c r="D1091" s="4" t="str">
        <f t="shared" ref="D1091:D1154" si="71">MID(I$1,$C1091*2+1,2)</f>
        <v>01</v>
      </c>
      <c r="E1091" s="14">
        <v>4.4099999999999999E-4</v>
      </c>
      <c r="F1091">
        <f t="shared" si="69"/>
        <v>18</v>
      </c>
      <c r="G1091" s="41" t="str">
        <f t="shared" si="70"/>
        <v>01</v>
      </c>
    </row>
    <row r="1092" spans="1:7" x14ac:dyDescent="0.6">
      <c r="A1092" t="str">
        <f t="shared" si="68"/>
        <v>20260123_1090</v>
      </c>
      <c r="B1092" s="12">
        <v>46045</v>
      </c>
      <c r="C1092" s="13">
        <v>1090</v>
      </c>
      <c r="D1092" s="4" t="str">
        <f t="shared" si="71"/>
        <v>01</v>
      </c>
      <c r="E1092" s="14">
        <v>0</v>
      </c>
      <c r="F1092">
        <f t="shared" si="69"/>
        <v>18</v>
      </c>
      <c r="G1092" s="41" t="str">
        <f t="shared" si="70"/>
        <v>01</v>
      </c>
    </row>
    <row r="1093" spans="1:7" x14ac:dyDescent="0.6">
      <c r="A1093" t="str">
        <f t="shared" si="68"/>
        <v>20260123_1091</v>
      </c>
      <c r="B1093" s="12">
        <v>46045</v>
      </c>
      <c r="C1093" s="13">
        <v>1091</v>
      </c>
      <c r="D1093" s="4" t="str">
        <f t="shared" si="71"/>
        <v>01</v>
      </c>
      <c r="E1093" s="14">
        <v>6.2699999999999995E-4</v>
      </c>
      <c r="F1093">
        <f t="shared" si="69"/>
        <v>18</v>
      </c>
      <c r="G1093" s="41" t="str">
        <f t="shared" si="70"/>
        <v>01</v>
      </c>
    </row>
    <row r="1094" spans="1:7" x14ac:dyDescent="0.6">
      <c r="A1094" t="str">
        <f t="shared" si="68"/>
        <v>20260123_1092</v>
      </c>
      <c r="B1094" s="12">
        <v>46045</v>
      </c>
      <c r="C1094" s="13">
        <v>1092</v>
      </c>
      <c r="D1094" s="4" t="str">
        <f t="shared" si="71"/>
        <v>01</v>
      </c>
      <c r="E1094" s="14">
        <v>7.2400000000000003E-4</v>
      </c>
      <c r="F1094">
        <f t="shared" si="69"/>
        <v>18</v>
      </c>
      <c r="G1094" s="41" t="str">
        <f t="shared" si="70"/>
        <v>01</v>
      </c>
    </row>
    <row r="1095" spans="1:7" x14ac:dyDescent="0.6">
      <c r="A1095" t="str">
        <f t="shared" si="68"/>
        <v>20260123_1093</v>
      </c>
      <c r="B1095" s="12">
        <v>46045</v>
      </c>
      <c r="C1095" s="13">
        <v>1093</v>
      </c>
      <c r="D1095" s="4" t="str">
        <f t="shared" si="71"/>
        <v>01</v>
      </c>
      <c r="E1095" s="14">
        <v>0</v>
      </c>
      <c r="F1095">
        <f t="shared" si="69"/>
        <v>18</v>
      </c>
      <c r="G1095" s="41" t="str">
        <f t="shared" si="70"/>
        <v>01</v>
      </c>
    </row>
    <row r="1096" spans="1:7" x14ac:dyDescent="0.6">
      <c r="A1096" t="str">
        <f t="shared" si="68"/>
        <v>20260123_1094</v>
      </c>
      <c r="B1096" s="12">
        <v>46045</v>
      </c>
      <c r="C1096" s="13">
        <v>1094</v>
      </c>
      <c r="D1096" s="4" t="str">
        <f t="shared" si="71"/>
        <v>01</v>
      </c>
      <c r="E1096" s="14">
        <v>0</v>
      </c>
      <c r="F1096">
        <f t="shared" si="69"/>
        <v>18</v>
      </c>
      <c r="G1096" s="41" t="str">
        <f t="shared" si="70"/>
        <v>01</v>
      </c>
    </row>
    <row r="1097" spans="1:7" x14ac:dyDescent="0.6">
      <c r="A1097" t="str">
        <f t="shared" si="68"/>
        <v>20260123_1095</v>
      </c>
      <c r="B1097" s="12">
        <v>46045</v>
      </c>
      <c r="C1097" s="13">
        <v>1095</v>
      </c>
      <c r="D1097" s="4" t="str">
        <f t="shared" si="71"/>
        <v>01</v>
      </c>
      <c r="E1097" s="14">
        <v>0</v>
      </c>
      <c r="F1097">
        <f t="shared" si="69"/>
        <v>18</v>
      </c>
      <c r="G1097" s="41" t="str">
        <f t="shared" si="70"/>
        <v>01</v>
      </c>
    </row>
    <row r="1098" spans="1:7" x14ac:dyDescent="0.6">
      <c r="A1098" t="str">
        <f t="shared" si="68"/>
        <v>20260123_1096</v>
      </c>
      <c r="B1098" s="12">
        <v>46045</v>
      </c>
      <c r="C1098" s="13">
        <v>1096</v>
      </c>
      <c r="D1098" s="4" t="str">
        <f t="shared" si="71"/>
        <v>01</v>
      </c>
      <c r="E1098" s="14">
        <v>2.2699999999999999E-4</v>
      </c>
      <c r="F1098">
        <f t="shared" si="69"/>
        <v>18</v>
      </c>
      <c r="G1098" s="41" t="str">
        <f t="shared" si="70"/>
        <v>01</v>
      </c>
    </row>
    <row r="1099" spans="1:7" x14ac:dyDescent="0.6">
      <c r="A1099" t="str">
        <f t="shared" si="68"/>
        <v>20260123_1097</v>
      </c>
      <c r="B1099" s="12">
        <v>46045</v>
      </c>
      <c r="C1099" s="13">
        <v>1097</v>
      </c>
      <c r="D1099" s="4" t="str">
        <f t="shared" si="71"/>
        <v>01</v>
      </c>
      <c r="E1099" s="14">
        <v>3.5E-4</v>
      </c>
      <c r="F1099">
        <f t="shared" si="69"/>
        <v>18</v>
      </c>
      <c r="G1099" s="41" t="str">
        <f t="shared" si="70"/>
        <v>01</v>
      </c>
    </row>
    <row r="1100" spans="1:7" x14ac:dyDescent="0.6">
      <c r="A1100" t="str">
        <f t="shared" si="68"/>
        <v>20260123_1098</v>
      </c>
      <c r="B1100" s="12">
        <v>46045</v>
      </c>
      <c r="C1100" s="13">
        <v>1098</v>
      </c>
      <c r="D1100" s="4" t="str">
        <f t="shared" si="71"/>
        <v>01</v>
      </c>
      <c r="E1100" s="14">
        <v>0</v>
      </c>
      <c r="F1100">
        <f t="shared" si="69"/>
        <v>18</v>
      </c>
      <c r="G1100" s="41" t="str">
        <f t="shared" si="70"/>
        <v>01</v>
      </c>
    </row>
    <row r="1101" spans="1:7" x14ac:dyDescent="0.6">
      <c r="A1101" t="str">
        <f t="shared" si="68"/>
        <v>20260123_1099</v>
      </c>
      <c r="B1101" s="12">
        <v>46045</v>
      </c>
      <c r="C1101" s="13">
        <v>1099</v>
      </c>
      <c r="D1101" s="4" t="str">
        <f t="shared" si="71"/>
        <v>01</v>
      </c>
      <c r="E1101" s="14">
        <v>0</v>
      </c>
      <c r="F1101">
        <f t="shared" si="69"/>
        <v>18</v>
      </c>
      <c r="G1101" s="41" t="str">
        <f t="shared" si="70"/>
        <v>01</v>
      </c>
    </row>
    <row r="1102" spans="1:7" x14ac:dyDescent="0.6">
      <c r="A1102" t="str">
        <f t="shared" si="68"/>
        <v>20260123_1100</v>
      </c>
      <c r="B1102" s="12">
        <v>46045</v>
      </c>
      <c r="C1102" s="13">
        <v>1100</v>
      </c>
      <c r="D1102" s="4" t="str">
        <f t="shared" si="71"/>
        <v>01</v>
      </c>
      <c r="E1102" s="14">
        <v>0</v>
      </c>
      <c r="F1102">
        <f t="shared" si="69"/>
        <v>18</v>
      </c>
      <c r="G1102" s="41" t="str">
        <f t="shared" si="70"/>
        <v>01</v>
      </c>
    </row>
    <row r="1103" spans="1:7" x14ac:dyDescent="0.6">
      <c r="A1103" t="str">
        <f t="shared" si="68"/>
        <v>20260123_1101</v>
      </c>
      <c r="B1103" s="12">
        <v>46045</v>
      </c>
      <c r="C1103" s="13">
        <v>1101</v>
      </c>
      <c r="D1103" s="4" t="str">
        <f t="shared" si="71"/>
        <v>01</v>
      </c>
      <c r="E1103" s="14">
        <v>0</v>
      </c>
      <c r="F1103">
        <f t="shared" si="69"/>
        <v>18</v>
      </c>
      <c r="G1103" s="41" t="str">
        <f t="shared" si="70"/>
        <v>01</v>
      </c>
    </row>
    <row r="1104" spans="1:7" x14ac:dyDescent="0.6">
      <c r="A1104" t="str">
        <f t="shared" si="68"/>
        <v>20260123_1102</v>
      </c>
      <c r="B1104" s="12">
        <v>46045</v>
      </c>
      <c r="C1104" s="13">
        <v>1102</v>
      </c>
      <c r="D1104" s="4" t="str">
        <f t="shared" si="71"/>
        <v>01</v>
      </c>
      <c r="E1104" s="14">
        <v>0</v>
      </c>
      <c r="F1104">
        <f t="shared" si="69"/>
        <v>18</v>
      </c>
      <c r="G1104" s="41" t="str">
        <f t="shared" si="70"/>
        <v>01</v>
      </c>
    </row>
    <row r="1105" spans="1:7" x14ac:dyDescent="0.6">
      <c r="A1105" t="str">
        <f t="shared" si="68"/>
        <v>20260123_1103</v>
      </c>
      <c r="B1105" s="12">
        <v>46045</v>
      </c>
      <c r="C1105" s="13">
        <v>1103</v>
      </c>
      <c r="D1105" s="4" t="str">
        <f t="shared" si="71"/>
        <v>01</v>
      </c>
      <c r="E1105" s="14">
        <v>0</v>
      </c>
      <c r="F1105">
        <f t="shared" si="69"/>
        <v>18</v>
      </c>
      <c r="G1105" s="41" t="str">
        <f t="shared" si="70"/>
        <v>01</v>
      </c>
    </row>
    <row r="1106" spans="1:7" x14ac:dyDescent="0.6">
      <c r="A1106" t="str">
        <f t="shared" si="68"/>
        <v>20260123_1104</v>
      </c>
      <c r="B1106" s="12">
        <v>46045</v>
      </c>
      <c r="C1106" s="13">
        <v>1104</v>
      </c>
      <c r="D1106" s="4" t="str">
        <f t="shared" si="71"/>
        <v>01</v>
      </c>
      <c r="E1106" s="14">
        <v>3.6999999999999999E-4</v>
      </c>
      <c r="F1106">
        <f t="shared" si="69"/>
        <v>18</v>
      </c>
      <c r="G1106" s="41" t="str">
        <f t="shared" si="70"/>
        <v>01</v>
      </c>
    </row>
    <row r="1107" spans="1:7" x14ac:dyDescent="0.6">
      <c r="A1107" t="str">
        <f t="shared" si="68"/>
        <v>20260123_1105</v>
      </c>
      <c r="B1107" s="12">
        <v>46045</v>
      </c>
      <c r="C1107" s="13">
        <v>1105</v>
      </c>
      <c r="D1107" s="4" t="str">
        <f t="shared" si="71"/>
        <v>01</v>
      </c>
      <c r="E1107" s="14">
        <v>4.37E-4</v>
      </c>
      <c r="F1107">
        <f t="shared" si="69"/>
        <v>18</v>
      </c>
      <c r="G1107" s="41" t="str">
        <f t="shared" si="70"/>
        <v>01</v>
      </c>
    </row>
    <row r="1108" spans="1:7" x14ac:dyDescent="0.6">
      <c r="A1108" t="str">
        <f t="shared" si="68"/>
        <v>20260123_1106</v>
      </c>
      <c r="B1108" s="12">
        <v>46045</v>
      </c>
      <c r="C1108" s="13">
        <v>1106</v>
      </c>
      <c r="D1108" s="4" t="str">
        <f t="shared" si="71"/>
        <v>01</v>
      </c>
      <c r="E1108" s="14">
        <v>2.9399999999999999E-4</v>
      </c>
      <c r="F1108">
        <f t="shared" si="69"/>
        <v>18</v>
      </c>
      <c r="G1108" s="41" t="str">
        <f t="shared" si="70"/>
        <v>01</v>
      </c>
    </row>
    <row r="1109" spans="1:7" x14ac:dyDescent="0.6">
      <c r="A1109" t="str">
        <f t="shared" si="68"/>
        <v>20260123_1107</v>
      </c>
      <c r="B1109" s="12">
        <v>46045</v>
      </c>
      <c r="C1109" s="13">
        <v>1107</v>
      </c>
      <c r="D1109" s="4" t="str">
        <f t="shared" si="71"/>
        <v>01</v>
      </c>
      <c r="E1109" s="14">
        <v>0</v>
      </c>
      <c r="F1109">
        <f t="shared" si="69"/>
        <v>18</v>
      </c>
      <c r="G1109" s="41" t="str">
        <f t="shared" si="70"/>
        <v>01</v>
      </c>
    </row>
    <row r="1110" spans="1:7" x14ac:dyDescent="0.6">
      <c r="A1110" t="str">
        <f t="shared" si="68"/>
        <v>20260123_1108</v>
      </c>
      <c r="B1110" s="12">
        <v>46045</v>
      </c>
      <c r="C1110" s="13">
        <v>1108</v>
      </c>
      <c r="D1110" s="4" t="str">
        <f t="shared" si="71"/>
        <v>01</v>
      </c>
      <c r="E1110" s="14">
        <v>0</v>
      </c>
      <c r="F1110">
        <f t="shared" si="69"/>
        <v>18</v>
      </c>
      <c r="G1110" s="41" t="str">
        <f t="shared" si="70"/>
        <v>01</v>
      </c>
    </row>
    <row r="1111" spans="1:7" x14ac:dyDescent="0.6">
      <c r="A1111" t="str">
        <f t="shared" si="68"/>
        <v>20260123_1109</v>
      </c>
      <c r="B1111" s="12">
        <v>46045</v>
      </c>
      <c r="C1111" s="13">
        <v>1109</v>
      </c>
      <c r="D1111" s="4" t="str">
        <f t="shared" si="71"/>
        <v>01</v>
      </c>
      <c r="E1111" s="14">
        <v>2.5599999999999999E-4</v>
      </c>
      <c r="F1111">
        <f t="shared" si="69"/>
        <v>18</v>
      </c>
      <c r="G1111" s="41" t="str">
        <f t="shared" si="70"/>
        <v>01</v>
      </c>
    </row>
    <row r="1112" spans="1:7" x14ac:dyDescent="0.6">
      <c r="A1112" t="str">
        <f t="shared" si="68"/>
        <v>20260123_1110</v>
      </c>
      <c r="B1112" s="12">
        <v>46045</v>
      </c>
      <c r="C1112" s="13">
        <v>1110</v>
      </c>
      <c r="D1112" s="4" t="str">
        <f t="shared" si="71"/>
        <v>01</v>
      </c>
      <c r="E1112" s="14">
        <v>1.3999999999999999E-4</v>
      </c>
      <c r="F1112">
        <f t="shared" si="69"/>
        <v>18</v>
      </c>
      <c r="G1112" s="41" t="str">
        <f t="shared" si="70"/>
        <v>01</v>
      </c>
    </row>
    <row r="1113" spans="1:7" x14ac:dyDescent="0.6">
      <c r="A1113" t="str">
        <f t="shared" si="68"/>
        <v>20260123_1111</v>
      </c>
      <c r="B1113" s="12">
        <v>46045</v>
      </c>
      <c r="C1113" s="13">
        <v>1111</v>
      </c>
      <c r="D1113" s="4" t="str">
        <f t="shared" si="71"/>
        <v>01</v>
      </c>
      <c r="E1113" s="14">
        <v>3.5799999999999997E-4</v>
      </c>
      <c r="F1113">
        <f t="shared" si="69"/>
        <v>18</v>
      </c>
      <c r="G1113" s="41" t="str">
        <f t="shared" si="70"/>
        <v>01</v>
      </c>
    </row>
    <row r="1114" spans="1:7" x14ac:dyDescent="0.6">
      <c r="A1114" t="str">
        <f t="shared" si="68"/>
        <v>20260123_1112</v>
      </c>
      <c r="B1114" s="12">
        <v>46045</v>
      </c>
      <c r="C1114" s="13">
        <v>1112</v>
      </c>
      <c r="D1114" s="4" t="str">
        <f t="shared" si="71"/>
        <v>01</v>
      </c>
      <c r="E1114" s="14">
        <v>5.2499999999999997E-4</v>
      </c>
      <c r="F1114">
        <f t="shared" si="69"/>
        <v>18</v>
      </c>
      <c r="G1114" s="41" t="str">
        <f t="shared" si="70"/>
        <v>01</v>
      </c>
    </row>
    <row r="1115" spans="1:7" x14ac:dyDescent="0.6">
      <c r="A1115" t="str">
        <f t="shared" si="68"/>
        <v>20260123_1113</v>
      </c>
      <c r="B1115" s="12">
        <v>46045</v>
      </c>
      <c r="C1115" s="13">
        <v>1113</v>
      </c>
      <c r="D1115" s="4" t="str">
        <f t="shared" si="71"/>
        <v>01</v>
      </c>
      <c r="E1115" s="14">
        <v>4.35E-4</v>
      </c>
      <c r="F1115">
        <f t="shared" si="69"/>
        <v>18</v>
      </c>
      <c r="G1115" s="41" t="str">
        <f t="shared" si="70"/>
        <v>01</v>
      </c>
    </row>
    <row r="1116" spans="1:7" x14ac:dyDescent="0.6">
      <c r="A1116" t="str">
        <f t="shared" si="68"/>
        <v>20260123_1114</v>
      </c>
      <c r="B1116" s="12">
        <v>46045</v>
      </c>
      <c r="C1116" s="13">
        <v>1114</v>
      </c>
      <c r="D1116" s="4" t="str">
        <f t="shared" si="71"/>
        <v>01</v>
      </c>
      <c r="E1116" s="14">
        <v>0</v>
      </c>
      <c r="F1116">
        <f t="shared" si="69"/>
        <v>18</v>
      </c>
      <c r="G1116" s="41" t="str">
        <f t="shared" si="70"/>
        <v>01</v>
      </c>
    </row>
    <row r="1117" spans="1:7" x14ac:dyDescent="0.6">
      <c r="A1117" t="str">
        <f t="shared" si="68"/>
        <v>20260123_1115</v>
      </c>
      <c r="B1117" s="12">
        <v>46045</v>
      </c>
      <c r="C1117" s="13">
        <v>1115</v>
      </c>
      <c r="D1117" s="4" t="str">
        <f t="shared" si="71"/>
        <v>01</v>
      </c>
      <c r="E1117" s="14">
        <v>5.3300000000000005E-4</v>
      </c>
      <c r="F1117">
        <f t="shared" si="69"/>
        <v>18</v>
      </c>
      <c r="G1117" s="41" t="str">
        <f t="shared" si="70"/>
        <v>01</v>
      </c>
    </row>
    <row r="1118" spans="1:7" x14ac:dyDescent="0.6">
      <c r="A1118" t="str">
        <f t="shared" si="68"/>
        <v>20260123_1116</v>
      </c>
      <c r="B1118" s="12">
        <v>46045</v>
      </c>
      <c r="C1118" s="13">
        <v>1116</v>
      </c>
      <c r="D1118" s="4" t="str">
        <f t="shared" si="71"/>
        <v>01</v>
      </c>
      <c r="E1118" s="14">
        <v>2.7700000000000001E-4</v>
      </c>
      <c r="F1118">
        <f t="shared" si="69"/>
        <v>18</v>
      </c>
      <c r="G1118" s="41" t="str">
        <f t="shared" si="70"/>
        <v>01</v>
      </c>
    </row>
    <row r="1119" spans="1:7" x14ac:dyDescent="0.6">
      <c r="A1119" t="str">
        <f t="shared" si="68"/>
        <v>20260123_1117</v>
      </c>
      <c r="B1119" s="12">
        <v>46045</v>
      </c>
      <c r="C1119" s="13">
        <v>1117</v>
      </c>
      <c r="D1119" s="4" t="str">
        <f t="shared" si="71"/>
        <v>01</v>
      </c>
      <c r="E1119" s="14">
        <v>5.1999999999999995E-4</v>
      </c>
      <c r="F1119">
        <f t="shared" si="69"/>
        <v>18</v>
      </c>
      <c r="G1119" s="41" t="str">
        <f t="shared" si="70"/>
        <v>01</v>
      </c>
    </row>
    <row r="1120" spans="1:7" x14ac:dyDescent="0.6">
      <c r="A1120" t="str">
        <f t="shared" si="68"/>
        <v>20260123_1118</v>
      </c>
      <c r="B1120" s="12">
        <v>46045</v>
      </c>
      <c r="C1120" s="13">
        <v>1118</v>
      </c>
      <c r="D1120" s="4" t="str">
        <f t="shared" si="71"/>
        <v>01</v>
      </c>
      <c r="E1120" s="14">
        <v>5.4100000000000003E-4</v>
      </c>
      <c r="F1120">
        <f t="shared" si="69"/>
        <v>18</v>
      </c>
      <c r="G1120" s="41" t="str">
        <f t="shared" si="70"/>
        <v>01</v>
      </c>
    </row>
    <row r="1121" spans="1:7" x14ac:dyDescent="0.6">
      <c r="A1121" t="str">
        <f t="shared" si="68"/>
        <v>20260123_1119</v>
      </c>
      <c r="B1121" s="12">
        <v>46045</v>
      </c>
      <c r="C1121" s="13">
        <v>1119</v>
      </c>
      <c r="D1121" s="4" t="str">
        <f t="shared" si="71"/>
        <v>01</v>
      </c>
      <c r="E1121" s="14">
        <v>7.5100000000000004E-4</v>
      </c>
      <c r="F1121">
        <f t="shared" si="69"/>
        <v>18</v>
      </c>
      <c r="G1121" s="41" t="str">
        <f t="shared" si="70"/>
        <v>01</v>
      </c>
    </row>
    <row r="1122" spans="1:7" x14ac:dyDescent="0.6">
      <c r="A1122" t="str">
        <f t="shared" si="68"/>
        <v>20260123_1120</v>
      </c>
      <c r="B1122" s="12">
        <v>46045</v>
      </c>
      <c r="C1122" s="13">
        <v>1120</v>
      </c>
      <c r="D1122" s="4" t="str">
        <f t="shared" si="71"/>
        <v>01</v>
      </c>
      <c r="E1122" s="14">
        <v>0</v>
      </c>
      <c r="F1122">
        <f t="shared" si="69"/>
        <v>18</v>
      </c>
      <c r="G1122" s="41" t="str">
        <f t="shared" si="70"/>
        <v>01</v>
      </c>
    </row>
    <row r="1123" spans="1:7" x14ac:dyDescent="0.6">
      <c r="A1123" t="str">
        <f t="shared" si="68"/>
        <v>20260123_1121</v>
      </c>
      <c r="B1123" s="12">
        <v>46045</v>
      </c>
      <c r="C1123" s="13">
        <v>1121</v>
      </c>
      <c r="D1123" s="4" t="str">
        <f t="shared" si="71"/>
        <v>01</v>
      </c>
      <c r="E1123" s="14">
        <v>5.1800000000000001E-4</v>
      </c>
      <c r="F1123">
        <f t="shared" si="69"/>
        <v>18</v>
      </c>
      <c r="G1123" s="41" t="str">
        <f t="shared" si="70"/>
        <v>01</v>
      </c>
    </row>
    <row r="1124" spans="1:7" x14ac:dyDescent="0.6">
      <c r="A1124" t="str">
        <f t="shared" si="68"/>
        <v>20260123_1122</v>
      </c>
      <c r="B1124" s="12">
        <v>46045</v>
      </c>
      <c r="C1124" s="13">
        <v>1122</v>
      </c>
      <c r="D1124" s="4" t="str">
        <f t="shared" si="71"/>
        <v>01</v>
      </c>
      <c r="E1124" s="14">
        <v>5.8600000000000004E-4</v>
      </c>
      <c r="F1124">
        <f t="shared" si="69"/>
        <v>18</v>
      </c>
      <c r="G1124" s="41" t="str">
        <f t="shared" si="70"/>
        <v>01</v>
      </c>
    </row>
    <row r="1125" spans="1:7" x14ac:dyDescent="0.6">
      <c r="A1125" t="str">
        <f t="shared" si="68"/>
        <v>20260123_1123</v>
      </c>
      <c r="B1125" s="12">
        <v>46045</v>
      </c>
      <c r="C1125" s="13">
        <v>1123</v>
      </c>
      <c r="D1125" s="4" t="str">
        <f t="shared" si="71"/>
        <v>01</v>
      </c>
      <c r="E1125" s="14">
        <v>2.7500000000000002E-4</v>
      </c>
      <c r="F1125">
        <f t="shared" si="69"/>
        <v>18</v>
      </c>
      <c r="G1125" s="41" t="str">
        <f t="shared" si="70"/>
        <v>01</v>
      </c>
    </row>
    <row r="1126" spans="1:7" x14ac:dyDescent="0.6">
      <c r="A1126" t="str">
        <f t="shared" si="68"/>
        <v>20260123_1124</v>
      </c>
      <c r="B1126" s="12">
        <v>46045</v>
      </c>
      <c r="C1126" s="13">
        <v>1124</v>
      </c>
      <c r="D1126" s="4" t="str">
        <f t="shared" si="71"/>
        <v>01</v>
      </c>
      <c r="E1126" s="14">
        <v>0</v>
      </c>
      <c r="F1126">
        <f t="shared" si="69"/>
        <v>18</v>
      </c>
      <c r="G1126" s="41" t="str">
        <f t="shared" si="70"/>
        <v>01</v>
      </c>
    </row>
    <row r="1127" spans="1:7" x14ac:dyDescent="0.6">
      <c r="A1127" t="str">
        <f t="shared" si="68"/>
        <v>20260123_1125</v>
      </c>
      <c r="B1127" s="12">
        <v>46045</v>
      </c>
      <c r="C1127" s="13">
        <v>1125</v>
      </c>
      <c r="D1127" s="4" t="str">
        <f t="shared" si="71"/>
        <v>01</v>
      </c>
      <c r="E1127" s="14">
        <v>0</v>
      </c>
      <c r="F1127">
        <f t="shared" si="69"/>
        <v>18</v>
      </c>
      <c r="G1127" s="41" t="str">
        <f t="shared" si="70"/>
        <v>01</v>
      </c>
    </row>
    <row r="1128" spans="1:7" x14ac:dyDescent="0.6">
      <c r="A1128" t="str">
        <f t="shared" si="68"/>
        <v>20260123_1126</v>
      </c>
      <c r="B1128" s="12">
        <v>46045</v>
      </c>
      <c r="C1128" s="13">
        <v>1126</v>
      </c>
      <c r="D1128" s="4" t="str">
        <f t="shared" si="71"/>
        <v>01</v>
      </c>
      <c r="E1128" s="14">
        <v>0</v>
      </c>
      <c r="F1128">
        <f t="shared" si="69"/>
        <v>18</v>
      </c>
      <c r="G1128" s="41" t="str">
        <f t="shared" si="70"/>
        <v>01</v>
      </c>
    </row>
    <row r="1129" spans="1:7" x14ac:dyDescent="0.6">
      <c r="A1129" t="str">
        <f t="shared" si="68"/>
        <v>20260123_1127</v>
      </c>
      <c r="B1129" s="12">
        <v>46045</v>
      </c>
      <c r="C1129" s="13">
        <v>1127</v>
      </c>
      <c r="D1129" s="4" t="str">
        <f t="shared" si="71"/>
        <v>01</v>
      </c>
      <c r="E1129" s="14">
        <v>6.0300000000000002E-4</v>
      </c>
      <c r="F1129">
        <f t="shared" si="69"/>
        <v>18</v>
      </c>
      <c r="G1129" s="41" t="str">
        <f t="shared" si="70"/>
        <v>01</v>
      </c>
    </row>
    <row r="1130" spans="1:7" x14ac:dyDescent="0.6">
      <c r="A1130" t="str">
        <f t="shared" si="68"/>
        <v>20260123_1128</v>
      </c>
      <c r="B1130" s="12">
        <v>46045</v>
      </c>
      <c r="C1130" s="13">
        <v>1128</v>
      </c>
      <c r="D1130" s="4" t="str">
        <f t="shared" si="71"/>
        <v>01</v>
      </c>
      <c r="E1130" s="14">
        <v>0</v>
      </c>
      <c r="F1130">
        <f t="shared" si="69"/>
        <v>18</v>
      </c>
      <c r="G1130" s="41" t="str">
        <f t="shared" si="70"/>
        <v>01</v>
      </c>
    </row>
    <row r="1131" spans="1:7" x14ac:dyDescent="0.6">
      <c r="A1131" t="str">
        <f t="shared" si="68"/>
        <v>20260123_1129</v>
      </c>
      <c r="B1131" s="12">
        <v>46045</v>
      </c>
      <c r="C1131" s="13">
        <v>1129</v>
      </c>
      <c r="D1131" s="4" t="str">
        <f t="shared" si="71"/>
        <v>01</v>
      </c>
      <c r="E1131" s="14">
        <v>2.5500000000000002E-4</v>
      </c>
      <c r="F1131">
        <f t="shared" si="69"/>
        <v>18</v>
      </c>
      <c r="G1131" s="41" t="str">
        <f t="shared" si="70"/>
        <v>01</v>
      </c>
    </row>
    <row r="1132" spans="1:7" x14ac:dyDescent="0.6">
      <c r="A1132" t="str">
        <f t="shared" si="68"/>
        <v>20260123_1130</v>
      </c>
      <c r="B1132" s="12">
        <v>46045</v>
      </c>
      <c r="C1132" s="13">
        <v>1130</v>
      </c>
      <c r="D1132" s="4" t="str">
        <f t="shared" si="71"/>
        <v>01</v>
      </c>
      <c r="E1132" s="14">
        <v>3.5E-4</v>
      </c>
      <c r="F1132">
        <f t="shared" si="69"/>
        <v>18</v>
      </c>
      <c r="G1132" s="41" t="str">
        <f t="shared" si="70"/>
        <v>01</v>
      </c>
    </row>
    <row r="1133" spans="1:7" x14ac:dyDescent="0.6">
      <c r="A1133" t="str">
        <f t="shared" si="68"/>
        <v>20260123_1131</v>
      </c>
      <c r="B1133" s="12">
        <v>46045</v>
      </c>
      <c r="C1133" s="13">
        <v>1131</v>
      </c>
      <c r="D1133" s="4" t="str">
        <f t="shared" si="71"/>
        <v>01</v>
      </c>
      <c r="E1133" s="14">
        <v>0</v>
      </c>
      <c r="F1133">
        <f t="shared" si="69"/>
        <v>18</v>
      </c>
      <c r="G1133" s="41" t="str">
        <f t="shared" si="70"/>
        <v>01</v>
      </c>
    </row>
    <row r="1134" spans="1:7" x14ac:dyDescent="0.6">
      <c r="A1134" t="str">
        <f t="shared" si="68"/>
        <v>20260123_1132</v>
      </c>
      <c r="B1134" s="12">
        <v>46045</v>
      </c>
      <c r="C1134" s="13">
        <v>1132</v>
      </c>
      <c r="D1134" s="4" t="str">
        <f t="shared" si="71"/>
        <v>01</v>
      </c>
      <c r="E1134" s="14">
        <v>9.3400000000000004E-4</v>
      </c>
      <c r="F1134">
        <f t="shared" si="69"/>
        <v>18</v>
      </c>
      <c r="G1134" s="41" t="str">
        <f t="shared" si="70"/>
        <v>01</v>
      </c>
    </row>
    <row r="1135" spans="1:7" x14ac:dyDescent="0.6">
      <c r="A1135" t="str">
        <f t="shared" si="68"/>
        <v>20260123_1133</v>
      </c>
      <c r="B1135" s="12">
        <v>46045</v>
      </c>
      <c r="C1135" s="13">
        <v>1133</v>
      </c>
      <c r="D1135" s="4" t="str">
        <f t="shared" si="71"/>
        <v>01</v>
      </c>
      <c r="E1135" s="14">
        <v>7.3899999999999997E-4</v>
      </c>
      <c r="F1135">
        <f t="shared" si="69"/>
        <v>18</v>
      </c>
      <c r="G1135" s="41" t="str">
        <f t="shared" si="70"/>
        <v>01</v>
      </c>
    </row>
    <row r="1136" spans="1:7" x14ac:dyDescent="0.6">
      <c r="A1136" t="str">
        <f t="shared" si="68"/>
        <v>20260123_1134</v>
      </c>
      <c r="B1136" s="12">
        <v>46045</v>
      </c>
      <c r="C1136" s="13">
        <v>1134</v>
      </c>
      <c r="D1136" s="4" t="str">
        <f t="shared" si="71"/>
        <v>01</v>
      </c>
      <c r="E1136" s="14">
        <v>0</v>
      </c>
      <c r="F1136">
        <f t="shared" si="69"/>
        <v>18</v>
      </c>
      <c r="G1136" s="41" t="str">
        <f t="shared" si="70"/>
        <v>01</v>
      </c>
    </row>
    <row r="1137" spans="1:7" x14ac:dyDescent="0.6">
      <c r="A1137" t="str">
        <f t="shared" si="68"/>
        <v>20260123_1135</v>
      </c>
      <c r="B1137" s="12">
        <v>46045</v>
      </c>
      <c r="C1137" s="13">
        <v>1135</v>
      </c>
      <c r="D1137" s="4" t="str">
        <f t="shared" si="71"/>
        <v>01</v>
      </c>
      <c r="E1137" s="14">
        <v>0</v>
      </c>
      <c r="F1137">
        <f t="shared" si="69"/>
        <v>18</v>
      </c>
      <c r="G1137" s="41" t="str">
        <f t="shared" si="70"/>
        <v>01</v>
      </c>
    </row>
    <row r="1138" spans="1:7" x14ac:dyDescent="0.6">
      <c r="A1138" t="str">
        <f t="shared" si="68"/>
        <v>20260123_1136</v>
      </c>
      <c r="B1138" s="12">
        <v>46045</v>
      </c>
      <c r="C1138" s="13">
        <v>1136</v>
      </c>
      <c r="D1138" s="4" t="str">
        <f t="shared" si="71"/>
        <v>01</v>
      </c>
      <c r="E1138" s="14">
        <v>1.111E-3</v>
      </c>
      <c r="F1138">
        <f t="shared" si="69"/>
        <v>18</v>
      </c>
      <c r="G1138" s="41" t="str">
        <f t="shared" si="70"/>
        <v>01</v>
      </c>
    </row>
    <row r="1139" spans="1:7" x14ac:dyDescent="0.6">
      <c r="A1139" t="str">
        <f t="shared" si="68"/>
        <v>20260123_1137</v>
      </c>
      <c r="B1139" s="12">
        <v>46045</v>
      </c>
      <c r="C1139" s="13">
        <v>1137</v>
      </c>
      <c r="D1139" s="4" t="str">
        <f t="shared" si="71"/>
        <v>01</v>
      </c>
      <c r="E1139" s="14">
        <v>7.9100000000000004E-4</v>
      </c>
      <c r="F1139">
        <f t="shared" si="69"/>
        <v>18</v>
      </c>
      <c r="G1139" s="41" t="str">
        <f t="shared" si="70"/>
        <v>01</v>
      </c>
    </row>
    <row r="1140" spans="1:7" x14ac:dyDescent="0.6">
      <c r="A1140" t="str">
        <f t="shared" si="68"/>
        <v>20260123_1138</v>
      </c>
      <c r="B1140" s="12">
        <v>46045</v>
      </c>
      <c r="C1140" s="13">
        <v>1138</v>
      </c>
      <c r="D1140" s="4" t="str">
        <f t="shared" si="71"/>
        <v>01</v>
      </c>
      <c r="E1140" s="14">
        <v>4.3300000000000001E-4</v>
      </c>
      <c r="F1140">
        <f t="shared" si="69"/>
        <v>18</v>
      </c>
      <c r="G1140" s="41" t="str">
        <f t="shared" si="70"/>
        <v>01</v>
      </c>
    </row>
    <row r="1141" spans="1:7" x14ac:dyDescent="0.6">
      <c r="A1141" t="str">
        <f t="shared" si="68"/>
        <v>20260123_1139</v>
      </c>
      <c r="B1141" s="12">
        <v>46045</v>
      </c>
      <c r="C1141" s="13">
        <v>1139</v>
      </c>
      <c r="D1141" s="4" t="str">
        <f t="shared" si="71"/>
        <v>01</v>
      </c>
      <c r="E1141" s="14">
        <v>0</v>
      </c>
      <c r="F1141">
        <f t="shared" si="69"/>
        <v>18</v>
      </c>
      <c r="G1141" s="41" t="str">
        <f t="shared" si="70"/>
        <v>01</v>
      </c>
    </row>
    <row r="1142" spans="1:7" x14ac:dyDescent="0.6">
      <c r="A1142" t="str">
        <f t="shared" si="68"/>
        <v>20260123_1140</v>
      </c>
      <c r="B1142" s="12">
        <v>46045</v>
      </c>
      <c r="C1142" s="13">
        <v>1140</v>
      </c>
      <c r="D1142" s="4" t="str">
        <f t="shared" si="71"/>
        <v>0A</v>
      </c>
      <c r="E1142" s="14">
        <v>0</v>
      </c>
      <c r="F1142">
        <f t="shared" si="69"/>
        <v>19</v>
      </c>
      <c r="G1142" s="41" t="str">
        <f t="shared" si="70"/>
        <v>0A</v>
      </c>
    </row>
    <row r="1143" spans="1:7" x14ac:dyDescent="0.6">
      <c r="A1143" t="str">
        <f t="shared" si="68"/>
        <v>20260123_1141</v>
      </c>
      <c r="B1143" s="12">
        <v>46045</v>
      </c>
      <c r="C1143" s="13">
        <v>1141</v>
      </c>
      <c r="D1143" s="4" t="str">
        <f t="shared" si="71"/>
        <v>0A</v>
      </c>
      <c r="E1143" s="14">
        <v>0</v>
      </c>
      <c r="F1143">
        <f t="shared" si="69"/>
        <v>19</v>
      </c>
      <c r="G1143" s="41" t="str">
        <f t="shared" si="70"/>
        <v>0A</v>
      </c>
    </row>
    <row r="1144" spans="1:7" x14ac:dyDescent="0.6">
      <c r="A1144" t="str">
        <f t="shared" si="68"/>
        <v>20260123_1142</v>
      </c>
      <c r="B1144" s="12">
        <v>46045</v>
      </c>
      <c r="C1144" s="13">
        <v>1142</v>
      </c>
      <c r="D1144" s="4" t="str">
        <f t="shared" si="71"/>
        <v>01</v>
      </c>
      <c r="E1144" s="14">
        <v>4.7899999999999999E-4</v>
      </c>
      <c r="F1144">
        <f t="shared" si="69"/>
        <v>19</v>
      </c>
      <c r="G1144" s="41" t="str">
        <f t="shared" si="70"/>
        <v>01</v>
      </c>
    </row>
    <row r="1145" spans="1:7" x14ac:dyDescent="0.6">
      <c r="A1145" t="str">
        <f t="shared" si="68"/>
        <v>20260123_1143</v>
      </c>
      <c r="B1145" s="12">
        <v>46045</v>
      </c>
      <c r="C1145" s="13">
        <v>1143</v>
      </c>
      <c r="D1145" s="4" t="str">
        <f t="shared" si="71"/>
        <v>01</v>
      </c>
      <c r="E1145" s="14">
        <v>0</v>
      </c>
      <c r="F1145">
        <f t="shared" si="69"/>
        <v>19</v>
      </c>
      <c r="G1145" s="41" t="str">
        <f t="shared" si="70"/>
        <v>01</v>
      </c>
    </row>
    <row r="1146" spans="1:7" x14ac:dyDescent="0.6">
      <c r="A1146" t="str">
        <f t="shared" si="68"/>
        <v>20260123_1144</v>
      </c>
      <c r="B1146" s="12">
        <v>46045</v>
      </c>
      <c r="C1146" s="13">
        <v>1144</v>
      </c>
      <c r="D1146" s="4" t="str">
        <f t="shared" si="71"/>
        <v>01</v>
      </c>
      <c r="E1146" s="14">
        <v>2.4600000000000002E-4</v>
      </c>
      <c r="F1146">
        <f t="shared" si="69"/>
        <v>19</v>
      </c>
      <c r="G1146" s="41" t="str">
        <f t="shared" si="70"/>
        <v>01</v>
      </c>
    </row>
    <row r="1147" spans="1:7" x14ac:dyDescent="0.6">
      <c r="A1147" t="str">
        <f t="shared" si="68"/>
        <v>20260123_1145</v>
      </c>
      <c r="B1147" s="12">
        <v>46045</v>
      </c>
      <c r="C1147" s="13">
        <v>1145</v>
      </c>
      <c r="D1147" s="4" t="str">
        <f t="shared" si="71"/>
        <v>01</v>
      </c>
      <c r="E1147" s="14">
        <v>4.4299999999999998E-4</v>
      </c>
      <c r="F1147">
        <f t="shared" si="69"/>
        <v>19</v>
      </c>
      <c r="G1147" s="41" t="str">
        <f t="shared" si="70"/>
        <v>01</v>
      </c>
    </row>
    <row r="1148" spans="1:7" x14ac:dyDescent="0.6">
      <c r="A1148" t="str">
        <f t="shared" si="68"/>
        <v>20260123_1146</v>
      </c>
      <c r="B1148" s="12">
        <v>46045</v>
      </c>
      <c r="C1148" s="13">
        <v>1146</v>
      </c>
      <c r="D1148" s="4" t="str">
        <f t="shared" si="71"/>
        <v>01</v>
      </c>
      <c r="E1148" s="14">
        <v>2.6400000000000002E-4</v>
      </c>
      <c r="F1148">
        <f t="shared" si="69"/>
        <v>19</v>
      </c>
      <c r="G1148" s="41" t="str">
        <f t="shared" si="70"/>
        <v>01</v>
      </c>
    </row>
    <row r="1149" spans="1:7" x14ac:dyDescent="0.6">
      <c r="A1149" t="str">
        <f t="shared" si="68"/>
        <v>20260123_1147</v>
      </c>
      <c r="B1149" s="12">
        <v>46045</v>
      </c>
      <c r="C1149" s="13">
        <v>1147</v>
      </c>
      <c r="D1149" s="4" t="str">
        <f t="shared" si="71"/>
        <v>01</v>
      </c>
      <c r="E1149" s="14">
        <v>3.6200000000000002E-4</v>
      </c>
      <c r="F1149">
        <f t="shared" si="69"/>
        <v>19</v>
      </c>
      <c r="G1149" s="41" t="str">
        <f t="shared" si="70"/>
        <v>01</v>
      </c>
    </row>
    <row r="1150" spans="1:7" x14ac:dyDescent="0.6">
      <c r="A1150" t="str">
        <f t="shared" si="68"/>
        <v>20260123_1148</v>
      </c>
      <c r="B1150" s="12">
        <v>46045</v>
      </c>
      <c r="C1150" s="13">
        <v>1148</v>
      </c>
      <c r="D1150" s="4" t="str">
        <f t="shared" si="71"/>
        <v>01</v>
      </c>
      <c r="E1150" s="14">
        <v>0</v>
      </c>
      <c r="F1150">
        <f t="shared" si="69"/>
        <v>19</v>
      </c>
      <c r="G1150" s="41" t="str">
        <f t="shared" si="70"/>
        <v>01</v>
      </c>
    </row>
    <row r="1151" spans="1:7" x14ac:dyDescent="0.6">
      <c r="A1151" t="str">
        <f t="shared" si="68"/>
        <v>20260123_1149</v>
      </c>
      <c r="B1151" s="12">
        <v>46045</v>
      </c>
      <c r="C1151" s="13">
        <v>1149</v>
      </c>
      <c r="D1151" s="4" t="str">
        <f t="shared" si="71"/>
        <v>01</v>
      </c>
      <c r="E1151" s="14">
        <v>0</v>
      </c>
      <c r="F1151">
        <f t="shared" si="69"/>
        <v>19</v>
      </c>
      <c r="G1151" s="41" t="str">
        <f t="shared" si="70"/>
        <v>01</v>
      </c>
    </row>
    <row r="1152" spans="1:7" x14ac:dyDescent="0.6">
      <c r="A1152" t="str">
        <f t="shared" si="68"/>
        <v>20260123_1150</v>
      </c>
      <c r="B1152" s="12">
        <v>46045</v>
      </c>
      <c r="C1152" s="13">
        <v>1150</v>
      </c>
      <c r="D1152" s="4" t="str">
        <f t="shared" si="71"/>
        <v>01</v>
      </c>
      <c r="E1152" s="14">
        <v>3.4200000000000002E-4</v>
      </c>
      <c r="F1152">
        <f t="shared" si="69"/>
        <v>19</v>
      </c>
      <c r="G1152" s="41" t="str">
        <f t="shared" si="70"/>
        <v>01</v>
      </c>
    </row>
    <row r="1153" spans="1:7" x14ac:dyDescent="0.6">
      <c r="A1153" t="str">
        <f t="shared" si="68"/>
        <v>20260123_1151</v>
      </c>
      <c r="B1153" s="12">
        <v>46045</v>
      </c>
      <c r="C1153" s="13">
        <v>1151</v>
      </c>
      <c r="D1153" s="4" t="str">
        <f t="shared" si="71"/>
        <v>01</v>
      </c>
      <c r="E1153" s="14">
        <v>4.3399999999999998E-4</v>
      </c>
      <c r="F1153">
        <f t="shared" si="69"/>
        <v>19</v>
      </c>
      <c r="G1153" s="41" t="str">
        <f t="shared" si="70"/>
        <v>01</v>
      </c>
    </row>
    <row r="1154" spans="1:7" x14ac:dyDescent="0.6">
      <c r="A1154" t="str">
        <f t="shared" ref="A1154:A1217" si="72">IF(B1154="","",TEXT(B1154,"yyyymmdd")&amp;"_"&amp;TEXT(C1154,"0000"))</f>
        <v>20260123_1152</v>
      </c>
      <c r="B1154" s="12">
        <v>46045</v>
      </c>
      <c r="C1154" s="13">
        <v>1152</v>
      </c>
      <c r="D1154" s="4" t="str">
        <f t="shared" si="71"/>
        <v>01</v>
      </c>
      <c r="E1154" s="14">
        <v>0</v>
      </c>
      <c r="F1154">
        <f t="shared" ref="F1154:F1217" si="73">IF(C1154="","",INT(C1154/60))</f>
        <v>19</v>
      </c>
      <c r="G1154" s="41" t="str">
        <f t="shared" ref="G1154:G1217" si="74">IF(D1154="","",IF(LEN(UPPER(SUBSTITUTE(SUBSTITUTE(TRIM(D1154),CHAR(160),"")," ","")))=1,"0"&amp;UPPER(SUBSTITUTE(SUBSTITUTE(TRIM(D1154),CHAR(160),"")," ","")),UPPER(SUBSTITUTE(SUBSTITUTE(TRIM(D1154),CHAR(160),"")," ",""))))</f>
        <v>01</v>
      </c>
    </row>
    <row r="1155" spans="1:7" x14ac:dyDescent="0.6">
      <c r="A1155" t="str">
        <f t="shared" si="72"/>
        <v>20260123_1153</v>
      </c>
      <c r="B1155" s="12">
        <v>46045</v>
      </c>
      <c r="C1155" s="13">
        <v>1153</v>
      </c>
      <c r="D1155" s="4" t="str">
        <f t="shared" ref="D1155:D1218" si="75">MID(I$1,$C1155*2+1,2)</f>
        <v>01</v>
      </c>
      <c r="E1155" s="14">
        <v>0</v>
      </c>
      <c r="F1155">
        <f t="shared" si="73"/>
        <v>19</v>
      </c>
      <c r="G1155" s="41" t="str">
        <f t="shared" si="74"/>
        <v>01</v>
      </c>
    </row>
    <row r="1156" spans="1:7" x14ac:dyDescent="0.6">
      <c r="A1156" t="str">
        <f t="shared" si="72"/>
        <v>20260123_1154</v>
      </c>
      <c r="B1156" s="12">
        <v>46045</v>
      </c>
      <c r="C1156" s="13">
        <v>1154</v>
      </c>
      <c r="D1156" s="4" t="str">
        <f t="shared" si="75"/>
        <v>01</v>
      </c>
      <c r="E1156" s="14">
        <v>0</v>
      </c>
      <c r="F1156">
        <f t="shared" si="73"/>
        <v>19</v>
      </c>
      <c r="G1156" s="41" t="str">
        <f t="shared" si="74"/>
        <v>01</v>
      </c>
    </row>
    <row r="1157" spans="1:7" x14ac:dyDescent="0.6">
      <c r="A1157" t="str">
        <f t="shared" si="72"/>
        <v>20260123_1155</v>
      </c>
      <c r="B1157" s="12">
        <v>46045</v>
      </c>
      <c r="C1157" s="13">
        <v>1155</v>
      </c>
      <c r="D1157" s="4" t="str">
        <f t="shared" si="75"/>
        <v>01</v>
      </c>
      <c r="E1157" s="14">
        <v>0</v>
      </c>
      <c r="F1157">
        <f t="shared" si="73"/>
        <v>19</v>
      </c>
      <c r="G1157" s="41" t="str">
        <f t="shared" si="74"/>
        <v>01</v>
      </c>
    </row>
    <row r="1158" spans="1:7" x14ac:dyDescent="0.6">
      <c r="A1158" t="str">
        <f t="shared" si="72"/>
        <v>20260123_1156</v>
      </c>
      <c r="B1158" s="12">
        <v>46045</v>
      </c>
      <c r="C1158" s="13">
        <v>1156</v>
      </c>
      <c r="D1158" s="4" t="str">
        <f t="shared" si="75"/>
        <v>1E</v>
      </c>
      <c r="E1158" s="14">
        <v>0</v>
      </c>
      <c r="F1158">
        <f t="shared" si="73"/>
        <v>19</v>
      </c>
      <c r="G1158" s="41" t="str">
        <f t="shared" si="74"/>
        <v>1E</v>
      </c>
    </row>
    <row r="1159" spans="1:7" x14ac:dyDescent="0.6">
      <c r="A1159" t="str">
        <f t="shared" si="72"/>
        <v>20260123_1157</v>
      </c>
      <c r="B1159" s="12">
        <v>46045</v>
      </c>
      <c r="C1159" s="13">
        <v>1157</v>
      </c>
      <c r="D1159" s="4" t="str">
        <f t="shared" si="75"/>
        <v>01</v>
      </c>
      <c r="E1159" s="14">
        <v>0</v>
      </c>
      <c r="F1159">
        <f t="shared" si="73"/>
        <v>19</v>
      </c>
      <c r="G1159" s="41" t="str">
        <f t="shared" si="74"/>
        <v>01</v>
      </c>
    </row>
    <row r="1160" spans="1:7" x14ac:dyDescent="0.6">
      <c r="A1160" t="str">
        <f t="shared" si="72"/>
        <v>20260123_1158</v>
      </c>
      <c r="B1160" s="12">
        <v>46045</v>
      </c>
      <c r="C1160" s="13">
        <v>1158</v>
      </c>
      <c r="D1160" s="4" t="str">
        <f t="shared" si="75"/>
        <v>01</v>
      </c>
      <c r="E1160" s="14">
        <v>3.7800000000000003E-4</v>
      </c>
      <c r="F1160">
        <f t="shared" si="73"/>
        <v>19</v>
      </c>
      <c r="G1160" s="41" t="str">
        <f t="shared" si="74"/>
        <v>01</v>
      </c>
    </row>
    <row r="1161" spans="1:7" x14ac:dyDescent="0.6">
      <c r="A1161" t="str">
        <f t="shared" si="72"/>
        <v>20260123_1159</v>
      </c>
      <c r="B1161" s="12">
        <v>46045</v>
      </c>
      <c r="C1161" s="13">
        <v>1159</v>
      </c>
      <c r="D1161" s="4" t="str">
        <f t="shared" si="75"/>
        <v>01</v>
      </c>
      <c r="E1161" s="14">
        <v>0</v>
      </c>
      <c r="F1161">
        <f t="shared" si="73"/>
        <v>19</v>
      </c>
      <c r="G1161" s="41" t="str">
        <f t="shared" si="74"/>
        <v>01</v>
      </c>
    </row>
    <row r="1162" spans="1:7" x14ac:dyDescent="0.6">
      <c r="A1162" t="str">
        <f t="shared" si="72"/>
        <v>20260123_1160</v>
      </c>
      <c r="B1162" s="12">
        <v>46045</v>
      </c>
      <c r="C1162" s="13">
        <v>1160</v>
      </c>
      <c r="D1162" s="4" t="str">
        <f t="shared" si="75"/>
        <v>01</v>
      </c>
      <c r="E1162" s="14">
        <v>5.8399999999999999E-4</v>
      </c>
      <c r="F1162">
        <f t="shared" si="73"/>
        <v>19</v>
      </c>
      <c r="G1162" s="41" t="str">
        <f t="shared" si="74"/>
        <v>01</v>
      </c>
    </row>
    <row r="1163" spans="1:7" x14ac:dyDescent="0.6">
      <c r="A1163" t="str">
        <f t="shared" si="72"/>
        <v>20260123_1161</v>
      </c>
      <c r="B1163" s="12">
        <v>46045</v>
      </c>
      <c r="C1163" s="13">
        <v>1161</v>
      </c>
      <c r="D1163" s="4" t="str">
        <f t="shared" si="75"/>
        <v>01</v>
      </c>
      <c r="E1163" s="14">
        <v>6.02E-4</v>
      </c>
      <c r="F1163">
        <f t="shared" si="73"/>
        <v>19</v>
      </c>
      <c r="G1163" s="41" t="str">
        <f t="shared" si="74"/>
        <v>01</v>
      </c>
    </row>
    <row r="1164" spans="1:7" x14ac:dyDescent="0.6">
      <c r="A1164" t="str">
        <f t="shared" si="72"/>
        <v>20260123_1162</v>
      </c>
      <c r="B1164" s="12">
        <v>46045</v>
      </c>
      <c r="C1164" s="13">
        <v>1162</v>
      </c>
      <c r="D1164" s="4" t="str">
        <f t="shared" si="75"/>
        <v>01</v>
      </c>
      <c r="E1164" s="14">
        <v>5.8E-4</v>
      </c>
      <c r="F1164">
        <f t="shared" si="73"/>
        <v>19</v>
      </c>
      <c r="G1164" s="41" t="str">
        <f t="shared" si="74"/>
        <v>01</v>
      </c>
    </row>
    <row r="1165" spans="1:7" x14ac:dyDescent="0.6">
      <c r="A1165" t="str">
        <f t="shared" si="72"/>
        <v>20260123_1163</v>
      </c>
      <c r="B1165" s="12">
        <v>46045</v>
      </c>
      <c r="C1165" s="13">
        <v>1163</v>
      </c>
      <c r="D1165" s="4" t="str">
        <f t="shared" si="75"/>
        <v>01</v>
      </c>
      <c r="E1165" s="14">
        <v>0</v>
      </c>
      <c r="F1165">
        <f t="shared" si="73"/>
        <v>19</v>
      </c>
      <c r="G1165" s="41" t="str">
        <f t="shared" si="74"/>
        <v>01</v>
      </c>
    </row>
    <row r="1166" spans="1:7" x14ac:dyDescent="0.6">
      <c r="A1166" t="str">
        <f t="shared" si="72"/>
        <v>20260123_1164</v>
      </c>
      <c r="B1166" s="12">
        <v>46045</v>
      </c>
      <c r="C1166" s="13">
        <v>1164</v>
      </c>
      <c r="D1166" s="4" t="str">
        <f t="shared" si="75"/>
        <v>01</v>
      </c>
      <c r="E1166" s="14">
        <v>9.7099999999999997E-4</v>
      </c>
      <c r="F1166">
        <f t="shared" si="73"/>
        <v>19</v>
      </c>
      <c r="G1166" s="41" t="str">
        <f t="shared" si="74"/>
        <v>01</v>
      </c>
    </row>
    <row r="1167" spans="1:7" x14ac:dyDescent="0.6">
      <c r="A1167" t="str">
        <f t="shared" si="72"/>
        <v>20260123_1165</v>
      </c>
      <c r="B1167" s="12">
        <v>46045</v>
      </c>
      <c r="C1167" s="13">
        <v>1165</v>
      </c>
      <c r="D1167" s="4" t="str">
        <f t="shared" si="75"/>
        <v>01</v>
      </c>
      <c r="E1167" s="14">
        <v>5.9800000000000001E-4</v>
      </c>
      <c r="F1167">
        <f t="shared" si="73"/>
        <v>19</v>
      </c>
      <c r="G1167" s="41" t="str">
        <f t="shared" si="74"/>
        <v>01</v>
      </c>
    </row>
    <row r="1168" spans="1:7" x14ac:dyDescent="0.6">
      <c r="A1168" t="str">
        <f t="shared" si="72"/>
        <v>20260123_1166</v>
      </c>
      <c r="B1168" s="12">
        <v>46045</v>
      </c>
      <c r="C1168" s="13">
        <v>1166</v>
      </c>
      <c r="D1168" s="4" t="str">
        <f t="shared" si="75"/>
        <v>01</v>
      </c>
      <c r="E1168" s="14">
        <v>5.8500000000000002E-4</v>
      </c>
      <c r="F1168">
        <f t="shared" si="73"/>
        <v>19</v>
      </c>
      <c r="G1168" s="41" t="str">
        <f t="shared" si="74"/>
        <v>01</v>
      </c>
    </row>
    <row r="1169" spans="1:7" x14ac:dyDescent="0.6">
      <c r="A1169" t="str">
        <f t="shared" si="72"/>
        <v>20260123_1167</v>
      </c>
      <c r="B1169" s="12">
        <v>46045</v>
      </c>
      <c r="C1169" s="13">
        <v>1167</v>
      </c>
      <c r="D1169" s="4" t="str">
        <f t="shared" si="75"/>
        <v>01</v>
      </c>
      <c r="E1169" s="14">
        <v>0</v>
      </c>
      <c r="F1169">
        <f t="shared" si="73"/>
        <v>19</v>
      </c>
      <c r="G1169" s="41" t="str">
        <f t="shared" si="74"/>
        <v>01</v>
      </c>
    </row>
    <row r="1170" spans="1:7" x14ac:dyDescent="0.6">
      <c r="A1170" t="str">
        <f t="shared" si="72"/>
        <v>20260123_1168</v>
      </c>
      <c r="B1170" s="12">
        <v>46045</v>
      </c>
      <c r="C1170" s="13">
        <v>1168</v>
      </c>
      <c r="D1170" s="4" t="str">
        <f t="shared" si="75"/>
        <v>01</v>
      </c>
      <c r="E1170" s="14">
        <v>0</v>
      </c>
      <c r="F1170">
        <f t="shared" si="73"/>
        <v>19</v>
      </c>
      <c r="G1170" s="41" t="str">
        <f t="shared" si="74"/>
        <v>01</v>
      </c>
    </row>
    <row r="1171" spans="1:7" x14ac:dyDescent="0.6">
      <c r="A1171" t="str">
        <f t="shared" si="72"/>
        <v>20260123_1169</v>
      </c>
      <c r="B1171" s="12">
        <v>46045</v>
      </c>
      <c r="C1171" s="13">
        <v>1169</v>
      </c>
      <c r="D1171" s="4" t="str">
        <f t="shared" si="75"/>
        <v>01</v>
      </c>
      <c r="E1171" s="14">
        <v>0</v>
      </c>
      <c r="F1171">
        <f t="shared" si="73"/>
        <v>19</v>
      </c>
      <c r="G1171" s="41" t="str">
        <f t="shared" si="74"/>
        <v>01</v>
      </c>
    </row>
    <row r="1172" spans="1:7" x14ac:dyDescent="0.6">
      <c r="A1172" t="str">
        <f t="shared" si="72"/>
        <v>20260123_1170</v>
      </c>
      <c r="B1172" s="12">
        <v>46045</v>
      </c>
      <c r="C1172" s="13">
        <v>1170</v>
      </c>
      <c r="D1172" s="4" t="str">
        <f t="shared" si="75"/>
        <v>01</v>
      </c>
      <c r="E1172" s="14">
        <v>0</v>
      </c>
      <c r="F1172">
        <f t="shared" si="73"/>
        <v>19</v>
      </c>
      <c r="G1172" s="41" t="str">
        <f t="shared" si="74"/>
        <v>01</v>
      </c>
    </row>
    <row r="1173" spans="1:7" x14ac:dyDescent="0.6">
      <c r="A1173" t="str">
        <f t="shared" si="72"/>
        <v>20260123_1171</v>
      </c>
      <c r="B1173" s="12">
        <v>46045</v>
      </c>
      <c r="C1173" s="13">
        <v>1171</v>
      </c>
      <c r="D1173" s="4" t="str">
        <f t="shared" si="75"/>
        <v>01</v>
      </c>
      <c r="E1173" s="14">
        <v>9.5100000000000002E-4</v>
      </c>
      <c r="F1173">
        <f t="shared" si="73"/>
        <v>19</v>
      </c>
      <c r="G1173" s="41" t="str">
        <f t="shared" si="74"/>
        <v>01</v>
      </c>
    </row>
    <row r="1174" spans="1:7" x14ac:dyDescent="0.6">
      <c r="A1174" t="str">
        <f t="shared" si="72"/>
        <v>20260123_1172</v>
      </c>
      <c r="B1174" s="12">
        <v>46045</v>
      </c>
      <c r="C1174" s="13">
        <v>1172</v>
      </c>
      <c r="D1174" s="4" t="str">
        <f t="shared" si="75"/>
        <v>01</v>
      </c>
      <c r="E1174" s="14">
        <v>1.6100000000000001E-4</v>
      </c>
      <c r="F1174">
        <f t="shared" si="73"/>
        <v>19</v>
      </c>
      <c r="G1174" s="41" t="str">
        <f t="shared" si="74"/>
        <v>01</v>
      </c>
    </row>
    <row r="1175" spans="1:7" x14ac:dyDescent="0.6">
      <c r="A1175" t="str">
        <f t="shared" si="72"/>
        <v>20260123_1173</v>
      </c>
      <c r="B1175" s="12">
        <v>46045</v>
      </c>
      <c r="C1175" s="13">
        <v>1173</v>
      </c>
      <c r="D1175" s="4" t="str">
        <f t="shared" si="75"/>
        <v>0A</v>
      </c>
      <c r="E1175" s="14">
        <v>2.3599999999999999E-4</v>
      </c>
      <c r="F1175">
        <f t="shared" si="73"/>
        <v>19</v>
      </c>
      <c r="G1175" s="41" t="str">
        <f t="shared" si="74"/>
        <v>0A</v>
      </c>
    </row>
    <row r="1176" spans="1:7" x14ac:dyDescent="0.6">
      <c r="A1176" t="str">
        <f t="shared" si="72"/>
        <v>20260123_1174</v>
      </c>
      <c r="B1176" s="12">
        <v>46045</v>
      </c>
      <c r="C1176" s="13">
        <v>1174</v>
      </c>
      <c r="D1176" s="4" t="str">
        <f t="shared" si="75"/>
        <v>01</v>
      </c>
      <c r="E1176" s="14">
        <v>0</v>
      </c>
      <c r="F1176">
        <f t="shared" si="73"/>
        <v>19</v>
      </c>
      <c r="G1176" s="41" t="str">
        <f t="shared" si="74"/>
        <v>01</v>
      </c>
    </row>
    <row r="1177" spans="1:7" x14ac:dyDescent="0.6">
      <c r="A1177" t="str">
        <f t="shared" si="72"/>
        <v>20260123_1175</v>
      </c>
      <c r="B1177" s="12">
        <v>46045</v>
      </c>
      <c r="C1177" s="13">
        <v>1175</v>
      </c>
      <c r="D1177" s="4" t="str">
        <f t="shared" si="75"/>
        <v>0A</v>
      </c>
      <c r="E1177" s="14">
        <v>7.0299999999999996E-4</v>
      </c>
      <c r="F1177">
        <f t="shared" si="73"/>
        <v>19</v>
      </c>
      <c r="G1177" s="41" t="str">
        <f t="shared" si="74"/>
        <v>0A</v>
      </c>
    </row>
    <row r="1178" spans="1:7" x14ac:dyDescent="0.6">
      <c r="A1178" t="str">
        <f t="shared" si="72"/>
        <v>20260123_1176</v>
      </c>
      <c r="B1178" s="12">
        <v>46045</v>
      </c>
      <c r="C1178" s="13">
        <v>1176</v>
      </c>
      <c r="D1178" s="4" t="str">
        <f t="shared" si="75"/>
        <v>01</v>
      </c>
      <c r="E1178" s="14">
        <v>0</v>
      </c>
      <c r="F1178">
        <f t="shared" si="73"/>
        <v>19</v>
      </c>
      <c r="G1178" s="41" t="str">
        <f t="shared" si="74"/>
        <v>01</v>
      </c>
    </row>
    <row r="1179" spans="1:7" x14ac:dyDescent="0.6">
      <c r="A1179" t="str">
        <f t="shared" si="72"/>
        <v>20260123_1177</v>
      </c>
      <c r="B1179" s="12">
        <v>46045</v>
      </c>
      <c r="C1179" s="13">
        <v>1177</v>
      </c>
      <c r="D1179" s="4" t="str">
        <f t="shared" si="75"/>
        <v>01</v>
      </c>
      <c r="E1179" s="14">
        <v>5.1199999999999998E-4</v>
      </c>
      <c r="F1179">
        <f t="shared" si="73"/>
        <v>19</v>
      </c>
      <c r="G1179" s="41" t="str">
        <f t="shared" si="74"/>
        <v>01</v>
      </c>
    </row>
    <row r="1180" spans="1:7" x14ac:dyDescent="0.6">
      <c r="A1180" t="str">
        <f t="shared" si="72"/>
        <v>20260123_1178</v>
      </c>
      <c r="B1180" s="12">
        <v>46045</v>
      </c>
      <c r="C1180" s="13">
        <v>1178</v>
      </c>
      <c r="D1180" s="4" t="str">
        <f t="shared" si="75"/>
        <v>0A</v>
      </c>
      <c r="E1180" s="14">
        <v>4.1899999999999999E-4</v>
      </c>
      <c r="F1180">
        <f t="shared" si="73"/>
        <v>19</v>
      </c>
      <c r="G1180" s="41" t="str">
        <f t="shared" si="74"/>
        <v>0A</v>
      </c>
    </row>
    <row r="1181" spans="1:7" x14ac:dyDescent="0.6">
      <c r="A1181" t="str">
        <f t="shared" si="72"/>
        <v>20260123_1179</v>
      </c>
      <c r="B1181" s="12">
        <v>46045</v>
      </c>
      <c r="C1181" s="13">
        <v>1179</v>
      </c>
      <c r="D1181" s="4" t="str">
        <f t="shared" si="75"/>
        <v>01</v>
      </c>
      <c r="E1181" s="14">
        <v>0</v>
      </c>
      <c r="F1181">
        <f t="shared" si="73"/>
        <v>19</v>
      </c>
      <c r="G1181" s="41" t="str">
        <f t="shared" si="74"/>
        <v>01</v>
      </c>
    </row>
    <row r="1182" spans="1:7" x14ac:dyDescent="0.6">
      <c r="A1182" t="str">
        <f t="shared" si="72"/>
        <v>20260123_1180</v>
      </c>
      <c r="B1182" s="12">
        <v>46045</v>
      </c>
      <c r="C1182" s="13">
        <v>1180</v>
      </c>
      <c r="D1182" s="4" t="str">
        <f t="shared" si="75"/>
        <v>01</v>
      </c>
      <c r="E1182" s="14">
        <v>0</v>
      </c>
      <c r="F1182">
        <f t="shared" si="73"/>
        <v>19</v>
      </c>
      <c r="G1182" s="41" t="str">
        <f t="shared" si="74"/>
        <v>01</v>
      </c>
    </row>
    <row r="1183" spans="1:7" x14ac:dyDescent="0.6">
      <c r="A1183" t="str">
        <f t="shared" si="72"/>
        <v>20260123_1181</v>
      </c>
      <c r="B1183" s="12">
        <v>46045</v>
      </c>
      <c r="C1183" s="13">
        <v>1181</v>
      </c>
      <c r="D1183" s="4" t="str">
        <f t="shared" si="75"/>
        <v>01</v>
      </c>
      <c r="E1183" s="14">
        <v>3.4499999999999998E-4</v>
      </c>
      <c r="F1183">
        <f t="shared" si="73"/>
        <v>19</v>
      </c>
      <c r="G1183" s="41" t="str">
        <f t="shared" si="74"/>
        <v>01</v>
      </c>
    </row>
    <row r="1184" spans="1:7" x14ac:dyDescent="0.6">
      <c r="A1184" t="str">
        <f t="shared" si="72"/>
        <v>20260123_1182</v>
      </c>
      <c r="B1184" s="12">
        <v>46045</v>
      </c>
      <c r="C1184" s="13">
        <v>1182</v>
      </c>
      <c r="D1184" s="4" t="str">
        <f t="shared" si="75"/>
        <v>01</v>
      </c>
      <c r="E1184" s="14">
        <v>2.8899999999999998E-4</v>
      </c>
      <c r="F1184">
        <f t="shared" si="73"/>
        <v>19</v>
      </c>
      <c r="G1184" s="41" t="str">
        <f t="shared" si="74"/>
        <v>01</v>
      </c>
    </row>
    <row r="1185" spans="1:7" x14ac:dyDescent="0.6">
      <c r="A1185" t="str">
        <f t="shared" si="72"/>
        <v>20260123_1183</v>
      </c>
      <c r="B1185" s="12">
        <v>46045</v>
      </c>
      <c r="C1185" s="13">
        <v>1183</v>
      </c>
      <c r="D1185" s="4" t="str">
        <f t="shared" si="75"/>
        <v>0A</v>
      </c>
      <c r="E1185" s="14">
        <v>0</v>
      </c>
      <c r="F1185">
        <f t="shared" si="73"/>
        <v>19</v>
      </c>
      <c r="G1185" s="41" t="str">
        <f t="shared" si="74"/>
        <v>0A</v>
      </c>
    </row>
    <row r="1186" spans="1:7" x14ac:dyDescent="0.6">
      <c r="A1186" t="str">
        <f t="shared" si="72"/>
        <v>20260123_1184</v>
      </c>
      <c r="B1186" s="12">
        <v>46045</v>
      </c>
      <c r="C1186" s="13">
        <v>1184</v>
      </c>
      <c r="D1186" s="4" t="str">
        <f t="shared" si="75"/>
        <v>01</v>
      </c>
      <c r="E1186" s="14">
        <v>0</v>
      </c>
      <c r="F1186">
        <f t="shared" si="73"/>
        <v>19</v>
      </c>
      <c r="G1186" s="41" t="str">
        <f t="shared" si="74"/>
        <v>01</v>
      </c>
    </row>
    <row r="1187" spans="1:7" x14ac:dyDescent="0.6">
      <c r="A1187" t="str">
        <f t="shared" si="72"/>
        <v>20260123_1185</v>
      </c>
      <c r="B1187" s="12">
        <v>46045</v>
      </c>
      <c r="C1187" s="13">
        <v>1185</v>
      </c>
      <c r="D1187" s="4" t="str">
        <f t="shared" si="75"/>
        <v>01</v>
      </c>
      <c r="E1187" s="14">
        <v>0</v>
      </c>
      <c r="F1187">
        <f t="shared" si="73"/>
        <v>19</v>
      </c>
      <c r="G1187" s="41" t="str">
        <f t="shared" si="74"/>
        <v>01</v>
      </c>
    </row>
    <row r="1188" spans="1:7" x14ac:dyDescent="0.6">
      <c r="A1188" t="str">
        <f t="shared" si="72"/>
        <v>20260123_1186</v>
      </c>
      <c r="B1188" s="12">
        <v>46045</v>
      </c>
      <c r="C1188" s="13">
        <v>1186</v>
      </c>
      <c r="D1188" s="4" t="str">
        <f t="shared" si="75"/>
        <v>0A</v>
      </c>
      <c r="E1188" s="14">
        <v>0</v>
      </c>
      <c r="F1188">
        <f t="shared" si="73"/>
        <v>19</v>
      </c>
      <c r="G1188" s="41" t="str">
        <f t="shared" si="74"/>
        <v>0A</v>
      </c>
    </row>
    <row r="1189" spans="1:7" x14ac:dyDescent="0.6">
      <c r="A1189" t="str">
        <f t="shared" si="72"/>
        <v>20260123_1187</v>
      </c>
      <c r="B1189" s="12">
        <v>46045</v>
      </c>
      <c r="C1189" s="13">
        <v>1187</v>
      </c>
      <c r="D1189" s="4" t="str">
        <f t="shared" si="75"/>
        <v>0A</v>
      </c>
      <c r="E1189" s="14">
        <v>0</v>
      </c>
      <c r="F1189">
        <f t="shared" si="73"/>
        <v>19</v>
      </c>
      <c r="G1189" s="41" t="str">
        <f t="shared" si="74"/>
        <v>0A</v>
      </c>
    </row>
    <row r="1190" spans="1:7" x14ac:dyDescent="0.6">
      <c r="A1190" t="str">
        <f t="shared" si="72"/>
        <v>20260123_1188</v>
      </c>
      <c r="B1190" s="12">
        <v>46045</v>
      </c>
      <c r="C1190" s="13">
        <v>1188</v>
      </c>
      <c r="D1190" s="4" t="str">
        <f t="shared" si="75"/>
        <v>0A</v>
      </c>
      <c r="E1190" s="14">
        <v>0</v>
      </c>
      <c r="F1190">
        <f t="shared" si="73"/>
        <v>19</v>
      </c>
      <c r="G1190" s="41" t="str">
        <f t="shared" si="74"/>
        <v>0A</v>
      </c>
    </row>
    <row r="1191" spans="1:7" x14ac:dyDescent="0.6">
      <c r="A1191" t="str">
        <f t="shared" si="72"/>
        <v>20260123_1189</v>
      </c>
      <c r="B1191" s="12">
        <v>46045</v>
      </c>
      <c r="C1191" s="13">
        <v>1189</v>
      </c>
      <c r="D1191" s="4" t="str">
        <f t="shared" si="75"/>
        <v>0A</v>
      </c>
      <c r="E1191" s="14">
        <v>0</v>
      </c>
      <c r="F1191">
        <f t="shared" si="73"/>
        <v>19</v>
      </c>
      <c r="G1191" s="41" t="str">
        <f t="shared" si="74"/>
        <v>0A</v>
      </c>
    </row>
    <row r="1192" spans="1:7" x14ac:dyDescent="0.6">
      <c r="A1192" t="str">
        <f t="shared" si="72"/>
        <v>20260123_1190</v>
      </c>
      <c r="B1192" s="12">
        <v>46045</v>
      </c>
      <c r="C1192" s="13">
        <v>1190</v>
      </c>
      <c r="D1192" s="4" t="str">
        <f t="shared" si="75"/>
        <v>01</v>
      </c>
      <c r="E1192" s="14">
        <v>4.5800000000000002E-4</v>
      </c>
      <c r="F1192">
        <f t="shared" si="73"/>
        <v>19</v>
      </c>
      <c r="G1192" s="41" t="str">
        <f t="shared" si="74"/>
        <v>01</v>
      </c>
    </row>
    <row r="1193" spans="1:7" x14ac:dyDescent="0.6">
      <c r="A1193" t="str">
        <f t="shared" si="72"/>
        <v>20260123_1191</v>
      </c>
      <c r="B1193" s="12">
        <v>46045</v>
      </c>
      <c r="C1193" s="13">
        <v>1191</v>
      </c>
      <c r="D1193" s="4" t="str">
        <f t="shared" si="75"/>
        <v>01</v>
      </c>
      <c r="E1193" s="14">
        <v>0</v>
      </c>
      <c r="F1193">
        <f t="shared" si="73"/>
        <v>19</v>
      </c>
      <c r="G1193" s="41" t="str">
        <f t="shared" si="74"/>
        <v>01</v>
      </c>
    </row>
    <row r="1194" spans="1:7" x14ac:dyDescent="0.6">
      <c r="A1194" t="str">
        <f t="shared" si="72"/>
        <v>20260123_1192</v>
      </c>
      <c r="B1194" s="12">
        <v>46045</v>
      </c>
      <c r="C1194" s="13">
        <v>1192</v>
      </c>
      <c r="D1194" s="4" t="str">
        <f t="shared" si="75"/>
        <v>0A</v>
      </c>
      <c r="E1194" s="14">
        <v>0</v>
      </c>
      <c r="F1194">
        <f t="shared" si="73"/>
        <v>19</v>
      </c>
      <c r="G1194" s="41" t="str">
        <f t="shared" si="74"/>
        <v>0A</v>
      </c>
    </row>
    <row r="1195" spans="1:7" x14ac:dyDescent="0.6">
      <c r="A1195" t="str">
        <f t="shared" si="72"/>
        <v>20260123_1193</v>
      </c>
      <c r="B1195" s="12">
        <v>46045</v>
      </c>
      <c r="C1195" s="13">
        <v>1193</v>
      </c>
      <c r="D1195" s="4" t="str">
        <f t="shared" si="75"/>
        <v>0A</v>
      </c>
      <c r="E1195" s="14">
        <v>0</v>
      </c>
      <c r="F1195">
        <f t="shared" si="73"/>
        <v>19</v>
      </c>
      <c r="G1195" s="41" t="str">
        <f t="shared" si="74"/>
        <v>0A</v>
      </c>
    </row>
    <row r="1196" spans="1:7" x14ac:dyDescent="0.6">
      <c r="A1196" t="str">
        <f t="shared" si="72"/>
        <v>20260123_1194</v>
      </c>
      <c r="B1196" s="12">
        <v>46045</v>
      </c>
      <c r="C1196" s="13">
        <v>1194</v>
      </c>
      <c r="D1196" s="4" t="str">
        <f t="shared" si="75"/>
        <v>0A</v>
      </c>
      <c r="E1196" s="14">
        <v>0</v>
      </c>
      <c r="F1196">
        <f t="shared" si="73"/>
        <v>19</v>
      </c>
      <c r="G1196" s="41" t="str">
        <f t="shared" si="74"/>
        <v>0A</v>
      </c>
    </row>
    <row r="1197" spans="1:7" x14ac:dyDescent="0.6">
      <c r="A1197" t="str">
        <f t="shared" si="72"/>
        <v>20260123_1195</v>
      </c>
      <c r="B1197" s="12">
        <v>46045</v>
      </c>
      <c r="C1197" s="13">
        <v>1195</v>
      </c>
      <c r="D1197" s="4" t="str">
        <f t="shared" si="75"/>
        <v>0A</v>
      </c>
      <c r="E1197" s="14">
        <v>5.9500000000000004E-4</v>
      </c>
      <c r="F1197">
        <f t="shared" si="73"/>
        <v>19</v>
      </c>
      <c r="G1197" s="41" t="str">
        <f t="shared" si="74"/>
        <v>0A</v>
      </c>
    </row>
    <row r="1198" spans="1:7" x14ac:dyDescent="0.6">
      <c r="A1198" t="str">
        <f t="shared" si="72"/>
        <v>20260123_1196</v>
      </c>
      <c r="B1198" s="12">
        <v>46045</v>
      </c>
      <c r="C1198" s="13">
        <v>1196</v>
      </c>
      <c r="D1198" s="4" t="str">
        <f t="shared" si="75"/>
        <v>0A</v>
      </c>
      <c r="E1198" s="14">
        <v>0</v>
      </c>
      <c r="F1198">
        <f t="shared" si="73"/>
        <v>19</v>
      </c>
      <c r="G1198" s="41" t="str">
        <f t="shared" si="74"/>
        <v>0A</v>
      </c>
    </row>
    <row r="1199" spans="1:7" x14ac:dyDescent="0.6">
      <c r="A1199" t="str">
        <f t="shared" si="72"/>
        <v>20260123_1197</v>
      </c>
      <c r="B1199" s="12">
        <v>46045</v>
      </c>
      <c r="C1199" s="13">
        <v>1197</v>
      </c>
      <c r="D1199" s="4" t="str">
        <f t="shared" si="75"/>
        <v>0A</v>
      </c>
      <c r="E1199" s="14">
        <v>0</v>
      </c>
      <c r="F1199">
        <f t="shared" si="73"/>
        <v>19</v>
      </c>
      <c r="G1199" s="41" t="str">
        <f t="shared" si="74"/>
        <v>0A</v>
      </c>
    </row>
    <row r="1200" spans="1:7" x14ac:dyDescent="0.6">
      <c r="A1200" t="str">
        <f t="shared" si="72"/>
        <v>20260123_1198</v>
      </c>
      <c r="B1200" s="12">
        <v>46045</v>
      </c>
      <c r="C1200" s="13">
        <v>1198</v>
      </c>
      <c r="D1200" s="4" t="str">
        <f t="shared" si="75"/>
        <v>0A</v>
      </c>
      <c r="E1200" s="14">
        <v>0</v>
      </c>
      <c r="F1200">
        <f t="shared" si="73"/>
        <v>19</v>
      </c>
      <c r="G1200" s="41" t="str">
        <f t="shared" si="74"/>
        <v>0A</v>
      </c>
    </row>
    <row r="1201" spans="1:7" x14ac:dyDescent="0.6">
      <c r="A1201" t="str">
        <f t="shared" si="72"/>
        <v>20260123_1199</v>
      </c>
      <c r="B1201" s="12">
        <v>46045</v>
      </c>
      <c r="C1201" s="13">
        <v>1199</v>
      </c>
      <c r="D1201" s="4" t="str">
        <f t="shared" si="75"/>
        <v>0A</v>
      </c>
      <c r="E1201" s="14">
        <v>3.77E-4</v>
      </c>
      <c r="F1201">
        <f t="shared" si="73"/>
        <v>19</v>
      </c>
      <c r="G1201" s="41" t="str">
        <f t="shared" si="74"/>
        <v>0A</v>
      </c>
    </row>
    <row r="1202" spans="1:7" x14ac:dyDescent="0.6">
      <c r="A1202" t="str">
        <f t="shared" si="72"/>
        <v>20260123_1200</v>
      </c>
      <c r="B1202" s="12">
        <v>46045</v>
      </c>
      <c r="C1202" s="13">
        <v>1200</v>
      </c>
      <c r="D1202" s="4" t="str">
        <f t="shared" si="75"/>
        <v>0A</v>
      </c>
      <c r="E1202" s="14">
        <v>0</v>
      </c>
      <c r="F1202">
        <f t="shared" si="73"/>
        <v>20</v>
      </c>
      <c r="G1202" s="41" t="str">
        <f t="shared" si="74"/>
        <v>0A</v>
      </c>
    </row>
    <row r="1203" spans="1:7" x14ac:dyDescent="0.6">
      <c r="A1203" t="str">
        <f t="shared" si="72"/>
        <v>20260123_1201</v>
      </c>
      <c r="B1203" s="12">
        <v>46045</v>
      </c>
      <c r="C1203" s="13">
        <v>1201</v>
      </c>
      <c r="D1203" s="4" t="str">
        <f t="shared" si="75"/>
        <v>01</v>
      </c>
      <c r="E1203" s="14">
        <v>0</v>
      </c>
      <c r="F1203">
        <f t="shared" si="73"/>
        <v>20</v>
      </c>
      <c r="G1203" s="41" t="str">
        <f t="shared" si="74"/>
        <v>01</v>
      </c>
    </row>
    <row r="1204" spans="1:7" x14ac:dyDescent="0.6">
      <c r="A1204" t="str">
        <f t="shared" si="72"/>
        <v>20260123_1202</v>
      </c>
      <c r="B1204" s="12">
        <v>46045</v>
      </c>
      <c r="C1204" s="13">
        <v>1202</v>
      </c>
      <c r="D1204" s="4" t="str">
        <f t="shared" si="75"/>
        <v>01</v>
      </c>
      <c r="E1204" s="14">
        <v>0</v>
      </c>
      <c r="F1204">
        <f t="shared" si="73"/>
        <v>20</v>
      </c>
      <c r="G1204" s="41" t="str">
        <f t="shared" si="74"/>
        <v>01</v>
      </c>
    </row>
    <row r="1205" spans="1:7" x14ac:dyDescent="0.6">
      <c r="A1205" t="str">
        <f t="shared" si="72"/>
        <v>20260123_1203</v>
      </c>
      <c r="B1205" s="12">
        <v>46045</v>
      </c>
      <c r="C1205" s="13">
        <v>1203</v>
      </c>
      <c r="D1205" s="4" t="str">
        <f t="shared" si="75"/>
        <v>01</v>
      </c>
      <c r="E1205" s="14">
        <v>0</v>
      </c>
      <c r="F1205">
        <f t="shared" si="73"/>
        <v>20</v>
      </c>
      <c r="G1205" s="41" t="str">
        <f t="shared" si="74"/>
        <v>01</v>
      </c>
    </row>
    <row r="1206" spans="1:7" x14ac:dyDescent="0.6">
      <c r="A1206" t="str">
        <f t="shared" si="72"/>
        <v>20260123_1204</v>
      </c>
      <c r="B1206" s="12">
        <v>46045</v>
      </c>
      <c r="C1206" s="13">
        <v>1204</v>
      </c>
      <c r="D1206" s="4" t="str">
        <f t="shared" si="75"/>
        <v>01</v>
      </c>
      <c r="E1206" s="14">
        <v>3.7100000000000002E-4</v>
      </c>
      <c r="F1206">
        <f t="shared" si="73"/>
        <v>20</v>
      </c>
      <c r="G1206" s="41" t="str">
        <f t="shared" si="74"/>
        <v>01</v>
      </c>
    </row>
    <row r="1207" spans="1:7" x14ac:dyDescent="0.6">
      <c r="A1207" t="str">
        <f t="shared" si="72"/>
        <v>20260123_1205</v>
      </c>
      <c r="B1207" s="12">
        <v>46045</v>
      </c>
      <c r="C1207" s="13">
        <v>1205</v>
      </c>
      <c r="D1207" s="4" t="str">
        <f t="shared" si="75"/>
        <v>01</v>
      </c>
      <c r="E1207" s="14">
        <v>0</v>
      </c>
      <c r="F1207">
        <f t="shared" si="73"/>
        <v>20</v>
      </c>
      <c r="G1207" s="41" t="str">
        <f t="shared" si="74"/>
        <v>01</v>
      </c>
    </row>
    <row r="1208" spans="1:7" x14ac:dyDescent="0.6">
      <c r="A1208" t="str">
        <f t="shared" si="72"/>
        <v>20260123_1206</v>
      </c>
      <c r="B1208" s="12">
        <v>46045</v>
      </c>
      <c r="C1208" s="13">
        <v>1206</v>
      </c>
      <c r="D1208" s="4" t="str">
        <f t="shared" si="75"/>
        <v>01</v>
      </c>
      <c r="E1208" s="14">
        <v>1.7799999999999999E-4</v>
      </c>
      <c r="F1208">
        <f t="shared" si="73"/>
        <v>20</v>
      </c>
      <c r="G1208" s="41" t="str">
        <f t="shared" si="74"/>
        <v>01</v>
      </c>
    </row>
    <row r="1209" spans="1:7" x14ac:dyDescent="0.6">
      <c r="A1209" t="str">
        <f t="shared" si="72"/>
        <v>20260123_1207</v>
      </c>
      <c r="B1209" s="12">
        <v>46045</v>
      </c>
      <c r="C1209" s="13">
        <v>1207</v>
      </c>
      <c r="D1209" s="4" t="str">
        <f t="shared" si="75"/>
        <v>01</v>
      </c>
      <c r="E1209" s="14">
        <v>4.0099999999999999E-4</v>
      </c>
      <c r="F1209">
        <f t="shared" si="73"/>
        <v>20</v>
      </c>
      <c r="G1209" s="41" t="str">
        <f t="shared" si="74"/>
        <v>01</v>
      </c>
    </row>
    <row r="1210" spans="1:7" x14ac:dyDescent="0.6">
      <c r="A1210" t="str">
        <f t="shared" si="72"/>
        <v>20260123_1208</v>
      </c>
      <c r="B1210" s="12">
        <v>46045</v>
      </c>
      <c r="C1210" s="13">
        <v>1208</v>
      </c>
      <c r="D1210" s="4" t="str">
        <f t="shared" si="75"/>
        <v>01</v>
      </c>
      <c r="E1210" s="14">
        <v>3.7300000000000001E-4</v>
      </c>
      <c r="F1210">
        <f t="shared" si="73"/>
        <v>20</v>
      </c>
      <c r="G1210" s="41" t="str">
        <f t="shared" si="74"/>
        <v>01</v>
      </c>
    </row>
    <row r="1211" spans="1:7" x14ac:dyDescent="0.6">
      <c r="A1211" t="str">
        <f t="shared" si="72"/>
        <v>20260123_1209</v>
      </c>
      <c r="B1211" s="12">
        <v>46045</v>
      </c>
      <c r="C1211" s="13">
        <v>1209</v>
      </c>
      <c r="D1211" s="4" t="str">
        <f t="shared" si="75"/>
        <v>01</v>
      </c>
      <c r="E1211" s="14">
        <v>0</v>
      </c>
      <c r="F1211">
        <f t="shared" si="73"/>
        <v>20</v>
      </c>
      <c r="G1211" s="41" t="str">
        <f t="shared" si="74"/>
        <v>01</v>
      </c>
    </row>
    <row r="1212" spans="1:7" x14ac:dyDescent="0.6">
      <c r="A1212" t="str">
        <f t="shared" si="72"/>
        <v>20260123_1210</v>
      </c>
      <c r="B1212" s="12">
        <v>46045</v>
      </c>
      <c r="C1212" s="13">
        <v>1210</v>
      </c>
      <c r="D1212" s="4" t="str">
        <f t="shared" si="75"/>
        <v>01</v>
      </c>
      <c r="E1212" s="14">
        <v>0</v>
      </c>
      <c r="F1212">
        <f t="shared" si="73"/>
        <v>20</v>
      </c>
      <c r="G1212" s="41" t="str">
        <f t="shared" si="74"/>
        <v>01</v>
      </c>
    </row>
    <row r="1213" spans="1:7" x14ac:dyDescent="0.6">
      <c r="A1213" t="str">
        <f t="shared" si="72"/>
        <v>20260123_1211</v>
      </c>
      <c r="B1213" s="12">
        <v>46045</v>
      </c>
      <c r="C1213" s="13">
        <v>1211</v>
      </c>
      <c r="D1213" s="4" t="str">
        <f t="shared" si="75"/>
        <v>01</v>
      </c>
      <c r="E1213" s="14">
        <v>0</v>
      </c>
      <c r="F1213">
        <f t="shared" si="73"/>
        <v>20</v>
      </c>
      <c r="G1213" s="41" t="str">
        <f t="shared" si="74"/>
        <v>01</v>
      </c>
    </row>
    <row r="1214" spans="1:7" x14ac:dyDescent="0.6">
      <c r="A1214" t="str">
        <f t="shared" si="72"/>
        <v>20260123_1212</v>
      </c>
      <c r="B1214" s="12">
        <v>46045</v>
      </c>
      <c r="C1214" s="13">
        <v>1212</v>
      </c>
      <c r="D1214" s="4" t="str">
        <f t="shared" si="75"/>
        <v>01</v>
      </c>
      <c r="E1214" s="14">
        <v>3.86E-4</v>
      </c>
      <c r="F1214">
        <f t="shared" si="73"/>
        <v>20</v>
      </c>
      <c r="G1214" s="41" t="str">
        <f t="shared" si="74"/>
        <v>01</v>
      </c>
    </row>
    <row r="1215" spans="1:7" x14ac:dyDescent="0.6">
      <c r="A1215" t="str">
        <f t="shared" si="72"/>
        <v>20260123_1213</v>
      </c>
      <c r="B1215" s="12">
        <v>46045</v>
      </c>
      <c r="C1215" s="13">
        <v>1213</v>
      </c>
      <c r="D1215" s="4" t="str">
        <f t="shared" si="75"/>
        <v>0A</v>
      </c>
      <c r="E1215" s="14">
        <v>2.8499999999999999E-4</v>
      </c>
      <c r="F1215">
        <f t="shared" si="73"/>
        <v>20</v>
      </c>
      <c r="G1215" s="41" t="str">
        <f t="shared" si="74"/>
        <v>0A</v>
      </c>
    </row>
    <row r="1216" spans="1:7" x14ac:dyDescent="0.6">
      <c r="A1216" t="str">
        <f t="shared" si="72"/>
        <v>20260123_1214</v>
      </c>
      <c r="B1216" s="12">
        <v>46045</v>
      </c>
      <c r="C1216" s="13">
        <v>1214</v>
      </c>
      <c r="D1216" s="4" t="str">
        <f t="shared" si="75"/>
        <v>0A</v>
      </c>
      <c r="E1216" s="14">
        <v>2.7099999999999997E-4</v>
      </c>
      <c r="F1216">
        <f t="shared" si="73"/>
        <v>20</v>
      </c>
      <c r="G1216" s="41" t="str">
        <f t="shared" si="74"/>
        <v>0A</v>
      </c>
    </row>
    <row r="1217" spans="1:7" x14ac:dyDescent="0.6">
      <c r="A1217" t="str">
        <f t="shared" si="72"/>
        <v>20260123_1215</v>
      </c>
      <c r="B1217" s="12">
        <v>46045</v>
      </c>
      <c r="C1217" s="13">
        <v>1215</v>
      </c>
      <c r="D1217" s="4" t="str">
        <f t="shared" si="75"/>
        <v>14</v>
      </c>
      <c r="E1217" s="14">
        <v>3.9599999999999998E-4</v>
      </c>
      <c r="F1217">
        <f t="shared" si="73"/>
        <v>20</v>
      </c>
      <c r="G1217" s="41" t="str">
        <f t="shared" si="74"/>
        <v>14</v>
      </c>
    </row>
    <row r="1218" spans="1:7" x14ac:dyDescent="0.6">
      <c r="A1218" t="str">
        <f t="shared" ref="A1218:A1281" si="76">IF(B1218="","",TEXT(B1218,"yyyymmdd")&amp;"_"&amp;TEXT(C1218,"0000"))</f>
        <v>20260123_1216</v>
      </c>
      <c r="B1218" s="12">
        <v>46045</v>
      </c>
      <c r="C1218" s="13">
        <v>1216</v>
      </c>
      <c r="D1218" s="4" t="str">
        <f t="shared" si="75"/>
        <v>0A</v>
      </c>
      <c r="E1218" s="14">
        <v>3.4990550000000002E-2</v>
      </c>
      <c r="F1218">
        <f t="shared" ref="F1218:F1281" si="77">IF(C1218="","",INT(C1218/60))</f>
        <v>20</v>
      </c>
      <c r="G1218" s="41" t="str">
        <f t="shared" ref="G1218:G1281" si="78">IF(D1218="","",IF(LEN(UPPER(SUBSTITUTE(SUBSTITUTE(TRIM(D1218),CHAR(160),"")," ","")))=1,"0"&amp;UPPER(SUBSTITUTE(SUBSTITUTE(TRIM(D1218),CHAR(160),"")," ","")),UPPER(SUBSTITUTE(SUBSTITUTE(TRIM(D1218),CHAR(160),"")," ",""))))</f>
        <v>0A</v>
      </c>
    </row>
    <row r="1219" spans="1:7" x14ac:dyDescent="0.6">
      <c r="A1219" t="str">
        <f t="shared" si="76"/>
        <v>20260123_1217</v>
      </c>
      <c r="B1219" s="12">
        <v>46045</v>
      </c>
      <c r="C1219" s="13">
        <v>1217</v>
      </c>
      <c r="D1219" s="4" t="str">
        <f t="shared" ref="D1219:D1282" si="79">MID(I$1,$C1219*2+1,2)</f>
        <v>0A</v>
      </c>
      <c r="E1219" s="14">
        <v>0</v>
      </c>
      <c r="F1219">
        <f t="shared" si="77"/>
        <v>20</v>
      </c>
      <c r="G1219" s="41" t="str">
        <f t="shared" si="78"/>
        <v>0A</v>
      </c>
    </row>
    <row r="1220" spans="1:7" x14ac:dyDescent="0.6">
      <c r="A1220" t="str">
        <f t="shared" si="76"/>
        <v>20260123_1218</v>
      </c>
      <c r="B1220" s="12">
        <v>46045</v>
      </c>
      <c r="C1220" s="13">
        <v>1218</v>
      </c>
      <c r="D1220" s="4" t="str">
        <f t="shared" si="79"/>
        <v>0A</v>
      </c>
      <c r="E1220" s="14">
        <v>0</v>
      </c>
      <c r="F1220">
        <f t="shared" si="77"/>
        <v>20</v>
      </c>
      <c r="G1220" s="41" t="str">
        <f t="shared" si="78"/>
        <v>0A</v>
      </c>
    </row>
    <row r="1221" spans="1:7" x14ac:dyDescent="0.6">
      <c r="A1221" t="str">
        <f t="shared" si="76"/>
        <v>20260123_1219</v>
      </c>
      <c r="B1221" s="12">
        <v>46045</v>
      </c>
      <c r="C1221" s="13">
        <v>1219</v>
      </c>
      <c r="D1221" s="4" t="str">
        <f t="shared" si="79"/>
        <v>1E</v>
      </c>
      <c r="E1221" s="14">
        <v>0</v>
      </c>
      <c r="F1221">
        <f t="shared" si="77"/>
        <v>20</v>
      </c>
      <c r="G1221" s="41" t="str">
        <f t="shared" si="78"/>
        <v>1E</v>
      </c>
    </row>
    <row r="1222" spans="1:7" x14ac:dyDescent="0.6">
      <c r="A1222" t="str">
        <f t="shared" si="76"/>
        <v>20260123_1220</v>
      </c>
      <c r="B1222" s="12">
        <v>46045</v>
      </c>
      <c r="C1222" s="13">
        <v>1220</v>
      </c>
      <c r="D1222" s="4" t="str">
        <f t="shared" si="79"/>
        <v>01</v>
      </c>
      <c r="E1222" s="14">
        <v>6.0300000000000002E-4</v>
      </c>
      <c r="F1222">
        <f t="shared" si="77"/>
        <v>20</v>
      </c>
      <c r="G1222" s="41" t="str">
        <f t="shared" si="78"/>
        <v>01</v>
      </c>
    </row>
    <row r="1223" spans="1:7" x14ac:dyDescent="0.6">
      <c r="A1223" t="str">
        <f t="shared" si="76"/>
        <v>20260123_1221</v>
      </c>
      <c r="B1223" s="12">
        <v>46045</v>
      </c>
      <c r="C1223" s="13">
        <v>1221</v>
      </c>
      <c r="D1223" s="4" t="str">
        <f t="shared" si="79"/>
        <v>1E</v>
      </c>
      <c r="E1223" s="14">
        <v>0</v>
      </c>
      <c r="F1223">
        <f t="shared" si="77"/>
        <v>20</v>
      </c>
      <c r="G1223" s="41" t="str">
        <f t="shared" si="78"/>
        <v>1E</v>
      </c>
    </row>
    <row r="1224" spans="1:7" x14ac:dyDescent="0.6">
      <c r="A1224" t="str">
        <f t="shared" si="76"/>
        <v>20260123_1222</v>
      </c>
      <c r="B1224" s="12">
        <v>46045</v>
      </c>
      <c r="C1224" s="13">
        <v>1222</v>
      </c>
      <c r="D1224" s="4" t="str">
        <f t="shared" si="79"/>
        <v>01</v>
      </c>
      <c r="E1224" s="14">
        <v>0</v>
      </c>
      <c r="F1224">
        <f t="shared" si="77"/>
        <v>20</v>
      </c>
      <c r="G1224" s="41" t="str">
        <f t="shared" si="78"/>
        <v>01</v>
      </c>
    </row>
    <row r="1225" spans="1:7" x14ac:dyDescent="0.6">
      <c r="A1225" t="str">
        <f t="shared" si="76"/>
        <v>20260123_1223</v>
      </c>
      <c r="B1225" s="12">
        <v>46045</v>
      </c>
      <c r="C1225" s="13">
        <v>1223</v>
      </c>
      <c r="D1225" s="4" t="str">
        <f t="shared" si="79"/>
        <v>01</v>
      </c>
      <c r="E1225" s="14">
        <v>4.2700000000000002E-4</v>
      </c>
      <c r="F1225">
        <f t="shared" si="77"/>
        <v>20</v>
      </c>
      <c r="G1225" s="41" t="str">
        <f t="shared" si="78"/>
        <v>01</v>
      </c>
    </row>
    <row r="1226" spans="1:7" x14ac:dyDescent="0.6">
      <c r="A1226" t="str">
        <f t="shared" si="76"/>
        <v>20260123_1224</v>
      </c>
      <c r="B1226" s="12">
        <v>46045</v>
      </c>
      <c r="C1226" s="13">
        <v>1224</v>
      </c>
      <c r="D1226" s="4" t="str">
        <f t="shared" si="79"/>
        <v>01</v>
      </c>
      <c r="E1226" s="14">
        <v>0</v>
      </c>
      <c r="F1226">
        <f t="shared" si="77"/>
        <v>20</v>
      </c>
      <c r="G1226" s="41" t="str">
        <f t="shared" si="78"/>
        <v>01</v>
      </c>
    </row>
    <row r="1227" spans="1:7" x14ac:dyDescent="0.6">
      <c r="A1227" t="str">
        <f t="shared" si="76"/>
        <v>20260123_1225</v>
      </c>
      <c r="B1227" s="12">
        <v>46045</v>
      </c>
      <c r="C1227" s="13">
        <v>1225</v>
      </c>
      <c r="D1227" s="4" t="str">
        <f t="shared" si="79"/>
        <v>01</v>
      </c>
      <c r="E1227" s="14">
        <v>2.3000000000000001E-4</v>
      </c>
      <c r="F1227">
        <f t="shared" si="77"/>
        <v>20</v>
      </c>
      <c r="G1227" s="41" t="str">
        <f t="shared" si="78"/>
        <v>01</v>
      </c>
    </row>
    <row r="1228" spans="1:7" x14ac:dyDescent="0.6">
      <c r="A1228" t="str">
        <f t="shared" si="76"/>
        <v>20260123_1226</v>
      </c>
      <c r="B1228" s="12">
        <v>46045</v>
      </c>
      <c r="C1228" s="13">
        <v>1226</v>
      </c>
      <c r="D1228" s="4" t="str">
        <f t="shared" si="79"/>
        <v>01</v>
      </c>
      <c r="E1228" s="14">
        <v>2.5900000000000001E-4</v>
      </c>
      <c r="F1228">
        <f t="shared" si="77"/>
        <v>20</v>
      </c>
      <c r="G1228" s="41" t="str">
        <f t="shared" si="78"/>
        <v>01</v>
      </c>
    </row>
    <row r="1229" spans="1:7" x14ac:dyDescent="0.6">
      <c r="A1229" t="str">
        <f t="shared" si="76"/>
        <v>20260123_1227</v>
      </c>
      <c r="B1229" s="12">
        <v>46045</v>
      </c>
      <c r="C1229" s="13">
        <v>1227</v>
      </c>
      <c r="D1229" s="4" t="str">
        <f t="shared" si="79"/>
        <v>01</v>
      </c>
      <c r="E1229" s="14">
        <v>0</v>
      </c>
      <c r="F1229">
        <f t="shared" si="77"/>
        <v>20</v>
      </c>
      <c r="G1229" s="41" t="str">
        <f t="shared" si="78"/>
        <v>01</v>
      </c>
    </row>
    <row r="1230" spans="1:7" x14ac:dyDescent="0.6">
      <c r="A1230" t="str">
        <f t="shared" si="76"/>
        <v>20260123_1228</v>
      </c>
      <c r="B1230" s="12">
        <v>46045</v>
      </c>
      <c r="C1230" s="13">
        <v>1228</v>
      </c>
      <c r="D1230" s="4" t="str">
        <f t="shared" si="79"/>
        <v>0A</v>
      </c>
      <c r="E1230" s="14">
        <v>0</v>
      </c>
      <c r="F1230">
        <f t="shared" si="77"/>
        <v>20</v>
      </c>
      <c r="G1230" s="41" t="str">
        <f t="shared" si="78"/>
        <v>0A</v>
      </c>
    </row>
    <row r="1231" spans="1:7" x14ac:dyDescent="0.6">
      <c r="A1231" t="str">
        <f t="shared" si="76"/>
        <v>20260123_1229</v>
      </c>
      <c r="B1231" s="12">
        <v>46045</v>
      </c>
      <c r="C1231" s="13">
        <v>1229</v>
      </c>
      <c r="D1231" s="4" t="str">
        <f t="shared" si="79"/>
        <v>0A</v>
      </c>
      <c r="E1231" s="14">
        <v>0</v>
      </c>
      <c r="F1231">
        <f t="shared" si="77"/>
        <v>20</v>
      </c>
      <c r="G1231" s="41" t="str">
        <f t="shared" si="78"/>
        <v>0A</v>
      </c>
    </row>
    <row r="1232" spans="1:7" x14ac:dyDescent="0.6">
      <c r="A1232" t="str">
        <f t="shared" si="76"/>
        <v>20260123_1230</v>
      </c>
      <c r="B1232" s="12">
        <v>46045</v>
      </c>
      <c r="C1232" s="13">
        <v>1230</v>
      </c>
      <c r="D1232" s="4" t="str">
        <f t="shared" si="79"/>
        <v>0A</v>
      </c>
      <c r="E1232" s="14">
        <v>0</v>
      </c>
      <c r="F1232">
        <f t="shared" si="77"/>
        <v>20</v>
      </c>
      <c r="G1232" s="41" t="str">
        <f t="shared" si="78"/>
        <v>0A</v>
      </c>
    </row>
    <row r="1233" spans="1:7" x14ac:dyDescent="0.6">
      <c r="A1233" t="str">
        <f t="shared" si="76"/>
        <v>20260123_1231</v>
      </c>
      <c r="B1233" s="12">
        <v>46045</v>
      </c>
      <c r="C1233" s="13">
        <v>1231</v>
      </c>
      <c r="D1233" s="4" t="str">
        <f t="shared" si="79"/>
        <v>0A</v>
      </c>
      <c r="E1233" s="14">
        <v>0</v>
      </c>
      <c r="F1233">
        <f t="shared" si="77"/>
        <v>20</v>
      </c>
      <c r="G1233" s="41" t="str">
        <f t="shared" si="78"/>
        <v>0A</v>
      </c>
    </row>
    <row r="1234" spans="1:7" x14ac:dyDescent="0.6">
      <c r="A1234" t="str">
        <f t="shared" si="76"/>
        <v>20260123_1232</v>
      </c>
      <c r="B1234" s="12">
        <v>46045</v>
      </c>
      <c r="C1234" s="13">
        <v>1232</v>
      </c>
      <c r="D1234" s="4" t="str">
        <f t="shared" si="79"/>
        <v>1E</v>
      </c>
      <c r="E1234" s="14">
        <v>0</v>
      </c>
      <c r="F1234">
        <f t="shared" si="77"/>
        <v>20</v>
      </c>
      <c r="G1234" s="41" t="str">
        <f t="shared" si="78"/>
        <v>1E</v>
      </c>
    </row>
    <row r="1235" spans="1:7" x14ac:dyDescent="0.6">
      <c r="A1235" t="str">
        <f t="shared" si="76"/>
        <v>20260123_1233</v>
      </c>
      <c r="B1235" s="12">
        <v>46045</v>
      </c>
      <c r="C1235" s="13">
        <v>1233</v>
      </c>
      <c r="D1235" s="4" t="str">
        <f t="shared" si="79"/>
        <v>1E</v>
      </c>
      <c r="E1235" s="14">
        <v>2.7099999999999997E-4</v>
      </c>
      <c r="F1235">
        <f t="shared" si="77"/>
        <v>20</v>
      </c>
      <c r="G1235" s="41" t="str">
        <f t="shared" si="78"/>
        <v>1E</v>
      </c>
    </row>
    <row r="1236" spans="1:7" x14ac:dyDescent="0.6">
      <c r="A1236" t="str">
        <f t="shared" si="76"/>
        <v>20260123_1234</v>
      </c>
      <c r="B1236" s="12">
        <v>46045</v>
      </c>
      <c r="C1236" s="13">
        <v>1234</v>
      </c>
      <c r="D1236" s="4" t="str">
        <f t="shared" si="79"/>
        <v>1E</v>
      </c>
      <c r="E1236" s="14">
        <v>3.7599999999999998E-4</v>
      </c>
      <c r="F1236">
        <f t="shared" si="77"/>
        <v>20</v>
      </c>
      <c r="G1236" s="41" t="str">
        <f t="shared" si="78"/>
        <v>1E</v>
      </c>
    </row>
    <row r="1237" spans="1:7" x14ac:dyDescent="0.6">
      <c r="A1237" t="str">
        <f t="shared" si="76"/>
        <v>20260123_1235</v>
      </c>
      <c r="B1237" s="12">
        <v>46045</v>
      </c>
      <c r="C1237" s="13">
        <v>1235</v>
      </c>
      <c r="D1237" s="4" t="str">
        <f t="shared" si="79"/>
        <v>1E</v>
      </c>
      <c r="E1237" s="14">
        <v>0</v>
      </c>
      <c r="F1237">
        <f t="shared" si="77"/>
        <v>20</v>
      </c>
      <c r="G1237" s="41" t="str">
        <f t="shared" si="78"/>
        <v>1E</v>
      </c>
    </row>
    <row r="1238" spans="1:7" x14ac:dyDescent="0.6">
      <c r="A1238" t="str">
        <f t="shared" si="76"/>
        <v>20260123_1236</v>
      </c>
      <c r="B1238" s="12">
        <v>46045</v>
      </c>
      <c r="C1238" s="13">
        <v>1236</v>
      </c>
      <c r="D1238" s="4" t="str">
        <f t="shared" si="79"/>
        <v>0A</v>
      </c>
      <c r="E1238" s="14">
        <v>3.4900000000000003E-4</v>
      </c>
      <c r="F1238">
        <f t="shared" si="77"/>
        <v>20</v>
      </c>
      <c r="G1238" s="41" t="str">
        <f t="shared" si="78"/>
        <v>0A</v>
      </c>
    </row>
    <row r="1239" spans="1:7" x14ac:dyDescent="0.6">
      <c r="A1239" t="str">
        <f t="shared" si="76"/>
        <v>20260123_1237</v>
      </c>
      <c r="B1239" s="12">
        <v>46045</v>
      </c>
      <c r="C1239" s="13">
        <v>1237</v>
      </c>
      <c r="D1239" s="4" t="str">
        <f t="shared" si="79"/>
        <v>0A</v>
      </c>
      <c r="E1239" s="14">
        <v>4.44E-4</v>
      </c>
      <c r="F1239">
        <f t="shared" si="77"/>
        <v>20</v>
      </c>
      <c r="G1239" s="41" t="str">
        <f t="shared" si="78"/>
        <v>0A</v>
      </c>
    </row>
    <row r="1240" spans="1:7" x14ac:dyDescent="0.6">
      <c r="A1240" t="str">
        <f t="shared" si="76"/>
        <v>20260123_1238</v>
      </c>
      <c r="B1240" s="12">
        <v>46045</v>
      </c>
      <c r="C1240" s="13">
        <v>1238</v>
      </c>
      <c r="D1240" s="4" t="str">
        <f t="shared" si="79"/>
        <v>0A</v>
      </c>
      <c r="E1240" s="14">
        <v>0</v>
      </c>
      <c r="F1240">
        <f t="shared" si="77"/>
        <v>20</v>
      </c>
      <c r="G1240" s="41" t="str">
        <f t="shared" si="78"/>
        <v>0A</v>
      </c>
    </row>
    <row r="1241" spans="1:7" x14ac:dyDescent="0.6">
      <c r="A1241" t="str">
        <f t="shared" si="76"/>
        <v>20260123_1239</v>
      </c>
      <c r="B1241" s="12">
        <v>46045</v>
      </c>
      <c r="C1241" s="13">
        <v>1239</v>
      </c>
      <c r="D1241" s="4" t="str">
        <f t="shared" si="79"/>
        <v>0A</v>
      </c>
      <c r="E1241" s="14">
        <v>4.9299999999999995E-4</v>
      </c>
      <c r="F1241">
        <f t="shared" si="77"/>
        <v>20</v>
      </c>
      <c r="G1241" s="41" t="str">
        <f t="shared" si="78"/>
        <v>0A</v>
      </c>
    </row>
    <row r="1242" spans="1:7" x14ac:dyDescent="0.6">
      <c r="A1242" t="str">
        <f t="shared" si="76"/>
        <v>20260123_1240</v>
      </c>
      <c r="B1242" s="12">
        <v>46045</v>
      </c>
      <c r="C1242" s="13">
        <v>1240</v>
      </c>
      <c r="D1242" s="4" t="str">
        <f t="shared" si="79"/>
        <v>0A</v>
      </c>
      <c r="E1242" s="14">
        <v>0</v>
      </c>
      <c r="F1242">
        <f t="shared" si="77"/>
        <v>20</v>
      </c>
      <c r="G1242" s="41" t="str">
        <f t="shared" si="78"/>
        <v>0A</v>
      </c>
    </row>
    <row r="1243" spans="1:7" x14ac:dyDescent="0.6">
      <c r="A1243" t="str">
        <f t="shared" si="76"/>
        <v>20260123_1241</v>
      </c>
      <c r="B1243" s="12">
        <v>46045</v>
      </c>
      <c r="C1243" s="13">
        <v>1241</v>
      </c>
      <c r="D1243" s="4" t="str">
        <f t="shared" si="79"/>
        <v>0A</v>
      </c>
      <c r="E1243" s="14">
        <v>0</v>
      </c>
      <c r="F1243">
        <f t="shared" si="77"/>
        <v>20</v>
      </c>
      <c r="G1243" s="41" t="str">
        <f t="shared" si="78"/>
        <v>0A</v>
      </c>
    </row>
    <row r="1244" spans="1:7" x14ac:dyDescent="0.6">
      <c r="A1244" t="str">
        <f t="shared" si="76"/>
        <v>20260123_1242</v>
      </c>
      <c r="B1244" s="12">
        <v>46045</v>
      </c>
      <c r="C1244" s="13">
        <v>1242</v>
      </c>
      <c r="D1244" s="4" t="str">
        <f t="shared" si="79"/>
        <v>0A</v>
      </c>
      <c r="E1244" s="14">
        <v>2.04E-4</v>
      </c>
      <c r="F1244">
        <f t="shared" si="77"/>
        <v>20</v>
      </c>
      <c r="G1244" s="41" t="str">
        <f t="shared" si="78"/>
        <v>0A</v>
      </c>
    </row>
    <row r="1245" spans="1:7" x14ac:dyDescent="0.6">
      <c r="A1245" t="str">
        <f t="shared" si="76"/>
        <v>20260123_1243</v>
      </c>
      <c r="B1245" s="12">
        <v>46045</v>
      </c>
      <c r="C1245" s="13">
        <v>1243</v>
      </c>
      <c r="D1245" s="4" t="str">
        <f t="shared" si="79"/>
        <v>0A</v>
      </c>
      <c r="E1245" s="14">
        <v>9.1600000000000004E-4</v>
      </c>
      <c r="F1245">
        <f t="shared" si="77"/>
        <v>20</v>
      </c>
      <c r="G1245" s="41" t="str">
        <f t="shared" si="78"/>
        <v>0A</v>
      </c>
    </row>
    <row r="1246" spans="1:7" x14ac:dyDescent="0.6">
      <c r="A1246" t="str">
        <f t="shared" si="76"/>
        <v>20260123_1244</v>
      </c>
      <c r="B1246" s="12">
        <v>46045</v>
      </c>
      <c r="C1246" s="13">
        <v>1244</v>
      </c>
      <c r="D1246" s="4" t="str">
        <f t="shared" si="79"/>
        <v>1E</v>
      </c>
      <c r="E1246" s="14">
        <v>0</v>
      </c>
      <c r="F1246">
        <f t="shared" si="77"/>
        <v>20</v>
      </c>
      <c r="G1246" s="41" t="str">
        <f t="shared" si="78"/>
        <v>1E</v>
      </c>
    </row>
    <row r="1247" spans="1:7" x14ac:dyDescent="0.6">
      <c r="A1247" t="str">
        <f t="shared" si="76"/>
        <v>20260123_1245</v>
      </c>
      <c r="B1247" s="12">
        <v>46045</v>
      </c>
      <c r="C1247" s="13">
        <v>1245</v>
      </c>
      <c r="D1247" s="4" t="str">
        <f t="shared" si="79"/>
        <v>0A</v>
      </c>
      <c r="E1247" s="14">
        <v>0</v>
      </c>
      <c r="F1247">
        <f t="shared" si="77"/>
        <v>20</v>
      </c>
      <c r="G1247" s="41" t="str">
        <f t="shared" si="78"/>
        <v>0A</v>
      </c>
    </row>
    <row r="1248" spans="1:7" x14ac:dyDescent="0.6">
      <c r="A1248" t="str">
        <f t="shared" si="76"/>
        <v>20260123_1246</v>
      </c>
      <c r="B1248" s="12">
        <v>46045</v>
      </c>
      <c r="C1248" s="13">
        <v>1246</v>
      </c>
      <c r="D1248" s="4" t="str">
        <f t="shared" si="79"/>
        <v>0A</v>
      </c>
      <c r="E1248" s="14">
        <v>5.8299999999999997E-4</v>
      </c>
      <c r="F1248">
        <f t="shared" si="77"/>
        <v>20</v>
      </c>
      <c r="G1248" s="41" t="str">
        <f t="shared" si="78"/>
        <v>0A</v>
      </c>
    </row>
    <row r="1249" spans="1:7" x14ac:dyDescent="0.6">
      <c r="A1249" t="str">
        <f t="shared" si="76"/>
        <v>20260123_1247</v>
      </c>
      <c r="B1249" s="12">
        <v>46045</v>
      </c>
      <c r="C1249" s="13">
        <v>1247</v>
      </c>
      <c r="D1249" s="4" t="str">
        <f t="shared" si="79"/>
        <v>0A</v>
      </c>
      <c r="E1249" s="14">
        <v>0</v>
      </c>
      <c r="F1249">
        <f t="shared" si="77"/>
        <v>20</v>
      </c>
      <c r="G1249" s="41" t="str">
        <f t="shared" si="78"/>
        <v>0A</v>
      </c>
    </row>
    <row r="1250" spans="1:7" x14ac:dyDescent="0.6">
      <c r="A1250" t="str">
        <f t="shared" si="76"/>
        <v>20260123_1248</v>
      </c>
      <c r="B1250" s="12">
        <v>46045</v>
      </c>
      <c r="C1250" s="13">
        <v>1248</v>
      </c>
      <c r="D1250" s="4" t="str">
        <f t="shared" si="79"/>
        <v>0A</v>
      </c>
      <c r="E1250" s="14">
        <v>0</v>
      </c>
      <c r="F1250">
        <f t="shared" si="77"/>
        <v>20</v>
      </c>
      <c r="G1250" s="41" t="str">
        <f t="shared" si="78"/>
        <v>0A</v>
      </c>
    </row>
    <row r="1251" spans="1:7" x14ac:dyDescent="0.6">
      <c r="A1251" t="str">
        <f t="shared" si="76"/>
        <v>20260123_1249</v>
      </c>
      <c r="B1251" s="12">
        <v>46045</v>
      </c>
      <c r="C1251" s="13">
        <v>1249</v>
      </c>
      <c r="D1251" s="4" t="str">
        <f t="shared" si="79"/>
        <v>0A</v>
      </c>
      <c r="E1251" s="14">
        <v>3.5300000000000002E-4</v>
      </c>
      <c r="F1251">
        <f t="shared" si="77"/>
        <v>20</v>
      </c>
      <c r="G1251" s="41" t="str">
        <f t="shared" si="78"/>
        <v>0A</v>
      </c>
    </row>
    <row r="1252" spans="1:7" x14ac:dyDescent="0.6">
      <c r="A1252" t="str">
        <f t="shared" si="76"/>
        <v>20260123_1250</v>
      </c>
      <c r="B1252" s="12">
        <v>46045</v>
      </c>
      <c r="C1252" s="13">
        <v>1250</v>
      </c>
      <c r="D1252" s="4" t="str">
        <f t="shared" si="79"/>
        <v>0A</v>
      </c>
      <c r="E1252" s="14">
        <v>7.0299999999999996E-4</v>
      </c>
      <c r="F1252">
        <f t="shared" si="77"/>
        <v>20</v>
      </c>
      <c r="G1252" s="41" t="str">
        <f t="shared" si="78"/>
        <v>0A</v>
      </c>
    </row>
    <row r="1253" spans="1:7" x14ac:dyDescent="0.6">
      <c r="A1253" t="str">
        <f t="shared" si="76"/>
        <v>20260123_1251</v>
      </c>
      <c r="B1253" s="12">
        <v>46045</v>
      </c>
      <c r="C1253" s="13">
        <v>1251</v>
      </c>
      <c r="D1253" s="4" t="str">
        <f t="shared" si="79"/>
        <v>1E</v>
      </c>
      <c r="E1253" s="14">
        <v>0</v>
      </c>
      <c r="F1253">
        <f t="shared" si="77"/>
        <v>20</v>
      </c>
      <c r="G1253" s="41" t="str">
        <f t="shared" si="78"/>
        <v>1E</v>
      </c>
    </row>
    <row r="1254" spans="1:7" x14ac:dyDescent="0.6">
      <c r="A1254" t="str">
        <f t="shared" si="76"/>
        <v>20260123_1252</v>
      </c>
      <c r="B1254" s="12">
        <v>46045</v>
      </c>
      <c r="C1254" s="13">
        <v>1252</v>
      </c>
      <c r="D1254" s="4" t="str">
        <f t="shared" si="79"/>
        <v>0A</v>
      </c>
      <c r="E1254" s="14">
        <v>4.8500000000000003E-4</v>
      </c>
      <c r="F1254">
        <f t="shared" si="77"/>
        <v>20</v>
      </c>
      <c r="G1254" s="41" t="str">
        <f t="shared" si="78"/>
        <v>0A</v>
      </c>
    </row>
    <row r="1255" spans="1:7" x14ac:dyDescent="0.6">
      <c r="A1255" t="str">
        <f t="shared" si="76"/>
        <v>20260123_1253</v>
      </c>
      <c r="B1255" s="12">
        <v>46045</v>
      </c>
      <c r="C1255" s="13">
        <v>1253</v>
      </c>
      <c r="D1255" s="4" t="str">
        <f t="shared" si="79"/>
        <v>0A</v>
      </c>
      <c r="E1255" s="14">
        <v>3.0400000000000002E-4</v>
      </c>
      <c r="F1255">
        <f t="shared" si="77"/>
        <v>20</v>
      </c>
      <c r="G1255" s="41" t="str">
        <f t="shared" si="78"/>
        <v>0A</v>
      </c>
    </row>
    <row r="1256" spans="1:7" x14ac:dyDescent="0.6">
      <c r="A1256" t="str">
        <f t="shared" si="76"/>
        <v>20260123_1254</v>
      </c>
      <c r="B1256" s="12">
        <v>46045</v>
      </c>
      <c r="C1256" s="13">
        <v>1254</v>
      </c>
      <c r="D1256" s="4" t="str">
        <f t="shared" si="79"/>
        <v>1E</v>
      </c>
      <c r="E1256" s="14">
        <v>4.2999999999999999E-4</v>
      </c>
      <c r="F1256">
        <f t="shared" si="77"/>
        <v>20</v>
      </c>
      <c r="G1256" s="41" t="str">
        <f t="shared" si="78"/>
        <v>1E</v>
      </c>
    </row>
    <row r="1257" spans="1:7" x14ac:dyDescent="0.6">
      <c r="A1257" t="str">
        <f t="shared" si="76"/>
        <v>20260123_1255</v>
      </c>
      <c r="B1257" s="12">
        <v>46045</v>
      </c>
      <c r="C1257" s="13">
        <v>1255</v>
      </c>
      <c r="D1257" s="4" t="str">
        <f t="shared" si="79"/>
        <v>1E</v>
      </c>
      <c r="E1257" s="14">
        <v>0</v>
      </c>
      <c r="F1257">
        <f t="shared" si="77"/>
        <v>20</v>
      </c>
      <c r="G1257" s="41" t="str">
        <f t="shared" si="78"/>
        <v>1E</v>
      </c>
    </row>
    <row r="1258" spans="1:7" x14ac:dyDescent="0.6">
      <c r="A1258" t="str">
        <f t="shared" si="76"/>
        <v>20260123_1256</v>
      </c>
      <c r="B1258" s="12">
        <v>46045</v>
      </c>
      <c r="C1258" s="13">
        <v>1256</v>
      </c>
      <c r="D1258" s="4" t="str">
        <f t="shared" si="79"/>
        <v>0A</v>
      </c>
      <c r="E1258" s="14">
        <v>0</v>
      </c>
      <c r="F1258">
        <f t="shared" si="77"/>
        <v>20</v>
      </c>
      <c r="G1258" s="41" t="str">
        <f t="shared" si="78"/>
        <v>0A</v>
      </c>
    </row>
    <row r="1259" spans="1:7" x14ac:dyDescent="0.6">
      <c r="A1259" t="str">
        <f t="shared" si="76"/>
        <v>20260123_1257</v>
      </c>
      <c r="B1259" s="12">
        <v>46045</v>
      </c>
      <c r="C1259" s="13">
        <v>1257</v>
      </c>
      <c r="D1259" s="4" t="str">
        <f t="shared" si="79"/>
        <v>0A</v>
      </c>
      <c r="E1259" s="14">
        <v>0</v>
      </c>
      <c r="F1259">
        <f t="shared" si="77"/>
        <v>20</v>
      </c>
      <c r="G1259" s="41" t="str">
        <f t="shared" si="78"/>
        <v>0A</v>
      </c>
    </row>
    <row r="1260" spans="1:7" x14ac:dyDescent="0.6">
      <c r="A1260" t="str">
        <f t="shared" si="76"/>
        <v>20260123_1258</v>
      </c>
      <c r="B1260" s="12">
        <v>46045</v>
      </c>
      <c r="C1260" s="13">
        <v>1258</v>
      </c>
      <c r="D1260" s="4" t="str">
        <f t="shared" si="79"/>
        <v>1E</v>
      </c>
      <c r="E1260" s="14">
        <v>0</v>
      </c>
      <c r="F1260">
        <f t="shared" si="77"/>
        <v>20</v>
      </c>
      <c r="G1260" s="41" t="str">
        <f t="shared" si="78"/>
        <v>1E</v>
      </c>
    </row>
    <row r="1261" spans="1:7" x14ac:dyDescent="0.6">
      <c r="A1261" t="str">
        <f t="shared" si="76"/>
        <v>20260123_1259</v>
      </c>
      <c r="B1261" s="12">
        <v>46045</v>
      </c>
      <c r="C1261" s="13">
        <v>1259</v>
      </c>
      <c r="D1261" s="4" t="str">
        <f t="shared" si="79"/>
        <v>0A</v>
      </c>
      <c r="E1261" s="14">
        <v>3.7500000000000001E-4</v>
      </c>
      <c r="F1261">
        <f t="shared" si="77"/>
        <v>20</v>
      </c>
      <c r="G1261" s="41" t="str">
        <f t="shared" si="78"/>
        <v>0A</v>
      </c>
    </row>
    <row r="1262" spans="1:7" x14ac:dyDescent="0.6">
      <c r="A1262" t="str">
        <f t="shared" si="76"/>
        <v>20260123_1260</v>
      </c>
      <c r="B1262" s="12">
        <v>46045</v>
      </c>
      <c r="C1262" s="13">
        <v>1260</v>
      </c>
      <c r="D1262" s="4" t="str">
        <f t="shared" si="79"/>
        <v>1E</v>
      </c>
      <c r="E1262" s="14">
        <v>0</v>
      </c>
      <c r="F1262">
        <f t="shared" si="77"/>
        <v>21</v>
      </c>
      <c r="G1262" s="41" t="str">
        <f t="shared" si="78"/>
        <v>1E</v>
      </c>
    </row>
    <row r="1263" spans="1:7" x14ac:dyDescent="0.6">
      <c r="A1263" t="str">
        <f t="shared" si="76"/>
        <v>20260123_1261</v>
      </c>
      <c r="B1263" s="12">
        <v>46045</v>
      </c>
      <c r="C1263" s="13">
        <v>1261</v>
      </c>
      <c r="D1263" s="4" t="str">
        <f t="shared" si="79"/>
        <v>1E</v>
      </c>
      <c r="E1263" s="14">
        <v>0</v>
      </c>
      <c r="F1263">
        <f t="shared" si="77"/>
        <v>21</v>
      </c>
      <c r="G1263" s="41" t="str">
        <f t="shared" si="78"/>
        <v>1E</v>
      </c>
    </row>
    <row r="1264" spans="1:7" x14ac:dyDescent="0.6">
      <c r="A1264" t="str">
        <f t="shared" si="76"/>
        <v>20260123_1262</v>
      </c>
      <c r="B1264" s="12">
        <v>46045</v>
      </c>
      <c r="C1264" s="13">
        <v>1262</v>
      </c>
      <c r="D1264" s="4" t="str">
        <f t="shared" si="79"/>
        <v>1E</v>
      </c>
      <c r="E1264" s="14">
        <v>0</v>
      </c>
      <c r="F1264">
        <f t="shared" si="77"/>
        <v>21</v>
      </c>
      <c r="G1264" s="41" t="str">
        <f t="shared" si="78"/>
        <v>1E</v>
      </c>
    </row>
    <row r="1265" spans="1:7" x14ac:dyDescent="0.6">
      <c r="A1265" t="str">
        <f t="shared" si="76"/>
        <v>20260123_1263</v>
      </c>
      <c r="B1265" s="12">
        <v>46045</v>
      </c>
      <c r="C1265" s="13">
        <v>1263</v>
      </c>
      <c r="D1265" s="4" t="str">
        <f t="shared" si="79"/>
        <v>1E</v>
      </c>
      <c r="E1265" s="14">
        <v>8.1300000000000003E-4</v>
      </c>
      <c r="F1265">
        <f t="shared" si="77"/>
        <v>21</v>
      </c>
      <c r="G1265" s="41" t="str">
        <f t="shared" si="78"/>
        <v>1E</v>
      </c>
    </row>
    <row r="1266" spans="1:7" x14ac:dyDescent="0.6">
      <c r="A1266" t="str">
        <f t="shared" si="76"/>
        <v>20260123_1264</v>
      </c>
      <c r="B1266" s="12">
        <v>46045</v>
      </c>
      <c r="C1266" s="13">
        <v>1264</v>
      </c>
      <c r="D1266" s="4" t="str">
        <f t="shared" si="79"/>
        <v>1E</v>
      </c>
      <c r="E1266" s="14">
        <v>0</v>
      </c>
      <c r="F1266">
        <f t="shared" si="77"/>
        <v>21</v>
      </c>
      <c r="G1266" s="41" t="str">
        <f t="shared" si="78"/>
        <v>1E</v>
      </c>
    </row>
    <row r="1267" spans="1:7" x14ac:dyDescent="0.6">
      <c r="A1267" t="str">
        <f t="shared" si="76"/>
        <v>20260123_1265</v>
      </c>
      <c r="B1267" s="12">
        <v>46045</v>
      </c>
      <c r="C1267" s="13">
        <v>1265</v>
      </c>
      <c r="D1267" s="4" t="str">
        <f t="shared" si="79"/>
        <v>1E</v>
      </c>
      <c r="E1267" s="14">
        <v>0</v>
      </c>
      <c r="F1267">
        <f t="shared" si="77"/>
        <v>21</v>
      </c>
      <c r="G1267" s="41" t="str">
        <f t="shared" si="78"/>
        <v>1E</v>
      </c>
    </row>
    <row r="1268" spans="1:7" x14ac:dyDescent="0.6">
      <c r="A1268" t="str">
        <f t="shared" si="76"/>
        <v>20260123_1266</v>
      </c>
      <c r="B1268" s="12">
        <v>46045</v>
      </c>
      <c r="C1268" s="13">
        <v>1266</v>
      </c>
      <c r="D1268" s="4" t="str">
        <f t="shared" si="79"/>
        <v>1E</v>
      </c>
      <c r="E1268" s="14">
        <v>0</v>
      </c>
      <c r="F1268">
        <f t="shared" si="77"/>
        <v>21</v>
      </c>
      <c r="G1268" s="41" t="str">
        <f t="shared" si="78"/>
        <v>1E</v>
      </c>
    </row>
    <row r="1269" spans="1:7" x14ac:dyDescent="0.6">
      <c r="A1269" t="str">
        <f t="shared" si="76"/>
        <v>20260123_1267</v>
      </c>
      <c r="B1269" s="12">
        <v>46045</v>
      </c>
      <c r="C1269" s="13">
        <v>1267</v>
      </c>
      <c r="D1269" s="4" t="str">
        <f t="shared" si="79"/>
        <v>1E</v>
      </c>
      <c r="E1269" s="14">
        <v>7.0408212999999997E-2</v>
      </c>
      <c r="F1269">
        <f t="shared" si="77"/>
        <v>21</v>
      </c>
      <c r="G1269" s="41" t="str">
        <f t="shared" si="78"/>
        <v>1E</v>
      </c>
    </row>
    <row r="1270" spans="1:7" x14ac:dyDescent="0.6">
      <c r="A1270" t="str">
        <f t="shared" si="76"/>
        <v>20260123_1268</v>
      </c>
      <c r="B1270" s="12">
        <v>46045</v>
      </c>
      <c r="C1270" s="13">
        <v>1268</v>
      </c>
      <c r="D1270" s="4" t="str">
        <f t="shared" si="79"/>
        <v>1E</v>
      </c>
      <c r="E1270" s="14">
        <v>0</v>
      </c>
      <c r="F1270">
        <f t="shared" si="77"/>
        <v>21</v>
      </c>
      <c r="G1270" s="41" t="str">
        <f t="shared" si="78"/>
        <v>1E</v>
      </c>
    </row>
    <row r="1271" spans="1:7" x14ac:dyDescent="0.6">
      <c r="A1271" t="str">
        <f t="shared" si="76"/>
        <v>20260123_1269</v>
      </c>
      <c r="B1271" s="12">
        <v>46045</v>
      </c>
      <c r="C1271" s="13">
        <v>1269</v>
      </c>
      <c r="D1271" s="4" t="str">
        <f t="shared" si="79"/>
        <v>1E</v>
      </c>
      <c r="E1271" s="14">
        <v>0</v>
      </c>
      <c r="F1271">
        <f t="shared" si="77"/>
        <v>21</v>
      </c>
      <c r="G1271" s="41" t="str">
        <f t="shared" si="78"/>
        <v>1E</v>
      </c>
    </row>
    <row r="1272" spans="1:7" x14ac:dyDescent="0.6">
      <c r="A1272" t="str">
        <f t="shared" si="76"/>
        <v>20260123_1270</v>
      </c>
      <c r="B1272" s="12">
        <v>46045</v>
      </c>
      <c r="C1272" s="13">
        <v>1270</v>
      </c>
      <c r="D1272" s="4" t="str">
        <f t="shared" si="79"/>
        <v>1E</v>
      </c>
      <c r="E1272" s="14">
        <v>0</v>
      </c>
      <c r="F1272">
        <f t="shared" si="77"/>
        <v>21</v>
      </c>
      <c r="G1272" s="41" t="str">
        <f t="shared" si="78"/>
        <v>1E</v>
      </c>
    </row>
    <row r="1273" spans="1:7" x14ac:dyDescent="0.6">
      <c r="A1273" t="str">
        <f t="shared" si="76"/>
        <v>20260123_1271</v>
      </c>
      <c r="B1273" s="12">
        <v>46045</v>
      </c>
      <c r="C1273" s="13">
        <v>1271</v>
      </c>
      <c r="D1273" s="4" t="str">
        <f t="shared" si="79"/>
        <v>1E</v>
      </c>
      <c r="E1273" s="14">
        <v>0</v>
      </c>
      <c r="F1273">
        <f t="shared" si="77"/>
        <v>21</v>
      </c>
      <c r="G1273" s="41" t="str">
        <f t="shared" si="78"/>
        <v>1E</v>
      </c>
    </row>
    <row r="1274" spans="1:7" x14ac:dyDescent="0.6">
      <c r="A1274" t="str">
        <f t="shared" si="76"/>
        <v>20260123_1272</v>
      </c>
      <c r="B1274" s="12">
        <v>46045</v>
      </c>
      <c r="C1274" s="13">
        <v>1272</v>
      </c>
      <c r="D1274" s="4" t="str">
        <f t="shared" si="79"/>
        <v>1E</v>
      </c>
      <c r="E1274" s="14">
        <v>0</v>
      </c>
      <c r="F1274">
        <f t="shared" si="77"/>
        <v>21</v>
      </c>
      <c r="G1274" s="41" t="str">
        <f t="shared" si="78"/>
        <v>1E</v>
      </c>
    </row>
    <row r="1275" spans="1:7" x14ac:dyDescent="0.6">
      <c r="A1275" t="str">
        <f t="shared" si="76"/>
        <v>20260123_1273</v>
      </c>
      <c r="B1275" s="12">
        <v>46045</v>
      </c>
      <c r="C1275" s="13">
        <v>1273</v>
      </c>
      <c r="D1275" s="4" t="str">
        <f t="shared" si="79"/>
        <v>1E</v>
      </c>
      <c r="E1275" s="14">
        <v>5.1199999999999998E-4</v>
      </c>
      <c r="F1275">
        <f t="shared" si="77"/>
        <v>21</v>
      </c>
      <c r="G1275" s="41" t="str">
        <f t="shared" si="78"/>
        <v>1E</v>
      </c>
    </row>
    <row r="1276" spans="1:7" x14ac:dyDescent="0.6">
      <c r="A1276" t="str">
        <f t="shared" si="76"/>
        <v>20260123_1274</v>
      </c>
      <c r="B1276" s="12">
        <v>46045</v>
      </c>
      <c r="C1276" s="13">
        <v>1274</v>
      </c>
      <c r="D1276" s="4" t="str">
        <f t="shared" si="79"/>
        <v>01</v>
      </c>
      <c r="E1276" s="14">
        <v>2.9999999999999997E-4</v>
      </c>
      <c r="F1276">
        <f t="shared" si="77"/>
        <v>21</v>
      </c>
      <c r="G1276" s="41" t="str">
        <f t="shared" si="78"/>
        <v>01</v>
      </c>
    </row>
    <row r="1277" spans="1:7" x14ac:dyDescent="0.6">
      <c r="A1277" t="str">
        <f t="shared" si="76"/>
        <v>20260123_1275</v>
      </c>
      <c r="B1277" s="12">
        <v>46045</v>
      </c>
      <c r="C1277" s="13">
        <v>1275</v>
      </c>
      <c r="D1277" s="4" t="str">
        <f t="shared" si="79"/>
        <v>01</v>
      </c>
      <c r="E1277" s="14">
        <v>0</v>
      </c>
      <c r="F1277">
        <f t="shared" si="77"/>
        <v>21</v>
      </c>
      <c r="G1277" s="41" t="str">
        <f t="shared" si="78"/>
        <v>01</v>
      </c>
    </row>
    <row r="1278" spans="1:7" x14ac:dyDescent="0.6">
      <c r="A1278" t="str">
        <f t="shared" si="76"/>
        <v>20260123_1276</v>
      </c>
      <c r="B1278" s="12">
        <v>46045</v>
      </c>
      <c r="C1278" s="13">
        <v>1276</v>
      </c>
      <c r="D1278" s="4" t="str">
        <f t="shared" si="79"/>
        <v>01</v>
      </c>
      <c r="E1278" s="14">
        <v>2.9999999999999997E-4</v>
      </c>
      <c r="F1278">
        <f t="shared" si="77"/>
        <v>21</v>
      </c>
      <c r="G1278" s="41" t="str">
        <f t="shared" si="78"/>
        <v>01</v>
      </c>
    </row>
    <row r="1279" spans="1:7" x14ac:dyDescent="0.6">
      <c r="A1279" t="str">
        <f t="shared" si="76"/>
        <v>20260123_1277</v>
      </c>
      <c r="B1279" s="12">
        <v>46045</v>
      </c>
      <c r="C1279" s="13">
        <v>1277</v>
      </c>
      <c r="D1279" s="4" t="str">
        <f t="shared" si="79"/>
        <v>FF</v>
      </c>
      <c r="E1279" s="14">
        <v>0</v>
      </c>
      <c r="F1279">
        <f t="shared" si="77"/>
        <v>21</v>
      </c>
      <c r="G1279" s="41" t="str">
        <f t="shared" si="78"/>
        <v>FF</v>
      </c>
    </row>
    <row r="1280" spans="1:7" x14ac:dyDescent="0.6">
      <c r="A1280" t="str">
        <f t="shared" si="76"/>
        <v>20260123_1278</v>
      </c>
      <c r="B1280" s="12">
        <v>46045</v>
      </c>
      <c r="C1280" s="13">
        <v>1278</v>
      </c>
      <c r="D1280" s="4" t="str">
        <f t="shared" si="79"/>
        <v>FF</v>
      </c>
      <c r="E1280" s="14">
        <v>1.078E-3</v>
      </c>
      <c r="F1280">
        <f t="shared" si="77"/>
        <v>21</v>
      </c>
      <c r="G1280" s="41" t="str">
        <f t="shared" si="78"/>
        <v>FF</v>
      </c>
    </row>
    <row r="1281" spans="1:7" x14ac:dyDescent="0.6">
      <c r="A1281" t="str">
        <f t="shared" si="76"/>
        <v>20260123_1279</v>
      </c>
      <c r="B1281" s="12">
        <v>46045</v>
      </c>
      <c r="C1281" s="13">
        <v>1279</v>
      </c>
      <c r="D1281" s="4" t="str">
        <f t="shared" si="79"/>
        <v>01</v>
      </c>
      <c r="E1281" s="14">
        <v>0</v>
      </c>
      <c r="F1281">
        <f t="shared" si="77"/>
        <v>21</v>
      </c>
      <c r="G1281" s="41" t="str">
        <f t="shared" si="78"/>
        <v>01</v>
      </c>
    </row>
    <row r="1282" spans="1:7" x14ac:dyDescent="0.6">
      <c r="A1282" t="str">
        <f t="shared" ref="A1282:A1345" si="80">IF(B1282="","",TEXT(B1282,"yyyymmdd")&amp;"_"&amp;TEXT(C1282,"0000"))</f>
        <v>20260123_1280</v>
      </c>
      <c r="B1282" s="12">
        <v>46045</v>
      </c>
      <c r="C1282" s="13">
        <v>1280</v>
      </c>
      <c r="D1282" s="4" t="str">
        <f t="shared" si="79"/>
        <v>01</v>
      </c>
      <c r="E1282" s="14">
        <v>0</v>
      </c>
      <c r="F1282">
        <f t="shared" ref="F1282:F1345" si="81">IF(C1282="","",INT(C1282/60))</f>
        <v>21</v>
      </c>
      <c r="G1282" s="41" t="str">
        <f t="shared" ref="G1282:G1345" si="82">IF(D1282="","",IF(LEN(UPPER(SUBSTITUTE(SUBSTITUTE(TRIM(D1282),CHAR(160),"")," ","")))=1,"0"&amp;UPPER(SUBSTITUTE(SUBSTITUTE(TRIM(D1282),CHAR(160),"")," ","")),UPPER(SUBSTITUTE(SUBSTITUTE(TRIM(D1282),CHAR(160),"")," ",""))))</f>
        <v>01</v>
      </c>
    </row>
    <row r="1283" spans="1:7" x14ac:dyDescent="0.6">
      <c r="A1283" t="str">
        <f t="shared" si="80"/>
        <v>20260123_1281</v>
      </c>
      <c r="B1283" s="12">
        <v>46045</v>
      </c>
      <c r="C1283" s="13">
        <v>1281</v>
      </c>
      <c r="D1283" s="4" t="str">
        <f t="shared" ref="D1283:D1346" si="83">MID(I$1,$C1283*2+1,2)</f>
        <v>01</v>
      </c>
      <c r="E1283" s="14">
        <v>0</v>
      </c>
      <c r="F1283">
        <f t="shared" si="81"/>
        <v>21</v>
      </c>
      <c r="G1283" s="41" t="str">
        <f t="shared" si="82"/>
        <v>01</v>
      </c>
    </row>
    <row r="1284" spans="1:7" x14ac:dyDescent="0.6">
      <c r="A1284" t="str">
        <f t="shared" si="80"/>
        <v>20260123_1282</v>
      </c>
      <c r="B1284" s="12">
        <v>46045</v>
      </c>
      <c r="C1284" s="13">
        <v>1282</v>
      </c>
      <c r="D1284" s="4" t="str">
        <f t="shared" si="83"/>
        <v>01</v>
      </c>
      <c r="E1284" s="14">
        <v>0</v>
      </c>
      <c r="F1284">
        <f t="shared" si="81"/>
        <v>21</v>
      </c>
      <c r="G1284" s="41" t="str">
        <f t="shared" si="82"/>
        <v>01</v>
      </c>
    </row>
    <row r="1285" spans="1:7" x14ac:dyDescent="0.6">
      <c r="A1285" t="str">
        <f t="shared" si="80"/>
        <v>20260123_1283</v>
      </c>
      <c r="B1285" s="12">
        <v>46045</v>
      </c>
      <c r="C1285" s="13">
        <v>1283</v>
      </c>
      <c r="D1285" s="4" t="str">
        <f t="shared" si="83"/>
        <v>01</v>
      </c>
      <c r="E1285" s="14">
        <v>4.8000000000000001E-4</v>
      </c>
      <c r="F1285">
        <f t="shared" si="81"/>
        <v>21</v>
      </c>
      <c r="G1285" s="41" t="str">
        <f t="shared" si="82"/>
        <v>01</v>
      </c>
    </row>
    <row r="1286" spans="1:7" x14ac:dyDescent="0.6">
      <c r="A1286" t="str">
        <f t="shared" si="80"/>
        <v>20260123_1284</v>
      </c>
      <c r="B1286" s="12">
        <v>46045</v>
      </c>
      <c r="C1286" s="13">
        <v>1284</v>
      </c>
      <c r="D1286" s="4" t="str">
        <f t="shared" si="83"/>
        <v>01</v>
      </c>
      <c r="E1286" s="14">
        <v>0</v>
      </c>
      <c r="F1286">
        <f t="shared" si="81"/>
        <v>21</v>
      </c>
      <c r="G1286" s="41" t="str">
        <f t="shared" si="82"/>
        <v>01</v>
      </c>
    </row>
    <row r="1287" spans="1:7" x14ac:dyDescent="0.6">
      <c r="A1287" t="str">
        <f t="shared" si="80"/>
        <v>20260123_1285</v>
      </c>
      <c r="B1287" s="12">
        <v>46045</v>
      </c>
      <c r="C1287" s="13">
        <v>1285</v>
      </c>
      <c r="D1287" s="4" t="str">
        <f t="shared" si="83"/>
        <v>01</v>
      </c>
      <c r="E1287" s="14">
        <v>0</v>
      </c>
      <c r="F1287">
        <f t="shared" si="81"/>
        <v>21</v>
      </c>
      <c r="G1287" s="41" t="str">
        <f t="shared" si="82"/>
        <v>01</v>
      </c>
    </row>
    <row r="1288" spans="1:7" x14ac:dyDescent="0.6">
      <c r="A1288" t="str">
        <f t="shared" si="80"/>
        <v>20260123_1286</v>
      </c>
      <c r="B1288" s="12">
        <v>46045</v>
      </c>
      <c r="C1288" s="13">
        <v>1286</v>
      </c>
      <c r="D1288" s="4" t="str">
        <f t="shared" si="83"/>
        <v>01</v>
      </c>
      <c r="E1288" s="14">
        <v>0</v>
      </c>
      <c r="F1288">
        <f t="shared" si="81"/>
        <v>21</v>
      </c>
      <c r="G1288" s="41" t="str">
        <f t="shared" si="82"/>
        <v>01</v>
      </c>
    </row>
    <row r="1289" spans="1:7" x14ac:dyDescent="0.6">
      <c r="A1289" t="str">
        <f t="shared" si="80"/>
        <v>20260123_1287</v>
      </c>
      <c r="B1289" s="12">
        <v>46045</v>
      </c>
      <c r="C1289" s="13">
        <v>1287</v>
      </c>
      <c r="D1289" s="4" t="str">
        <f t="shared" si="83"/>
        <v>01</v>
      </c>
      <c r="E1289" s="14">
        <v>0</v>
      </c>
      <c r="F1289">
        <f t="shared" si="81"/>
        <v>21</v>
      </c>
      <c r="G1289" s="41" t="str">
        <f t="shared" si="82"/>
        <v>01</v>
      </c>
    </row>
    <row r="1290" spans="1:7" x14ac:dyDescent="0.6">
      <c r="A1290" t="str">
        <f t="shared" si="80"/>
        <v>20260123_1288</v>
      </c>
      <c r="B1290" s="12">
        <v>46045</v>
      </c>
      <c r="C1290" s="13">
        <v>1288</v>
      </c>
      <c r="D1290" s="4" t="str">
        <f t="shared" si="83"/>
        <v>01</v>
      </c>
      <c r="E1290" s="14">
        <v>0</v>
      </c>
      <c r="F1290">
        <f t="shared" si="81"/>
        <v>21</v>
      </c>
      <c r="G1290" s="41" t="str">
        <f t="shared" si="82"/>
        <v>01</v>
      </c>
    </row>
    <row r="1291" spans="1:7" x14ac:dyDescent="0.6">
      <c r="A1291" t="str">
        <f t="shared" si="80"/>
        <v>20260123_1289</v>
      </c>
      <c r="B1291" s="12">
        <v>46045</v>
      </c>
      <c r="C1291" s="13">
        <v>1289</v>
      </c>
      <c r="D1291" s="4" t="str">
        <f t="shared" si="83"/>
        <v>01</v>
      </c>
      <c r="E1291" s="14">
        <v>3.0200000000000002E-4</v>
      </c>
      <c r="F1291">
        <f t="shared" si="81"/>
        <v>21</v>
      </c>
      <c r="G1291" s="41" t="str">
        <f t="shared" si="82"/>
        <v>01</v>
      </c>
    </row>
    <row r="1292" spans="1:7" x14ac:dyDescent="0.6">
      <c r="A1292" t="str">
        <f t="shared" si="80"/>
        <v>20260123_1290</v>
      </c>
      <c r="B1292" s="12">
        <v>46045</v>
      </c>
      <c r="C1292" s="13">
        <v>1290</v>
      </c>
      <c r="D1292" s="4" t="str">
        <f t="shared" si="83"/>
        <v>01</v>
      </c>
      <c r="E1292" s="14">
        <v>0</v>
      </c>
      <c r="F1292">
        <f t="shared" si="81"/>
        <v>21</v>
      </c>
      <c r="G1292" s="41" t="str">
        <f t="shared" si="82"/>
        <v>01</v>
      </c>
    </row>
    <row r="1293" spans="1:7" x14ac:dyDescent="0.6">
      <c r="A1293" t="str">
        <f t="shared" si="80"/>
        <v>20260123_1291</v>
      </c>
      <c r="B1293" s="12">
        <v>46045</v>
      </c>
      <c r="C1293" s="13">
        <v>1291</v>
      </c>
      <c r="D1293" s="4" t="str">
        <f t="shared" si="83"/>
        <v>01</v>
      </c>
      <c r="E1293" s="14">
        <v>0</v>
      </c>
      <c r="F1293">
        <f t="shared" si="81"/>
        <v>21</v>
      </c>
      <c r="G1293" s="41" t="str">
        <f t="shared" si="82"/>
        <v>01</v>
      </c>
    </row>
    <row r="1294" spans="1:7" x14ac:dyDescent="0.6">
      <c r="A1294" t="str">
        <f t="shared" si="80"/>
        <v>20260123_1292</v>
      </c>
      <c r="B1294" s="12">
        <v>46045</v>
      </c>
      <c r="C1294" s="13">
        <v>1292</v>
      </c>
      <c r="D1294" s="4" t="str">
        <f t="shared" si="83"/>
        <v>01</v>
      </c>
      <c r="E1294" s="14">
        <v>0</v>
      </c>
      <c r="F1294">
        <f t="shared" si="81"/>
        <v>21</v>
      </c>
      <c r="G1294" s="41" t="str">
        <f t="shared" si="82"/>
        <v>01</v>
      </c>
    </row>
    <row r="1295" spans="1:7" x14ac:dyDescent="0.6">
      <c r="A1295" t="str">
        <f t="shared" si="80"/>
        <v>20260123_1293</v>
      </c>
      <c r="B1295" s="12">
        <v>46045</v>
      </c>
      <c r="C1295" s="13">
        <v>1293</v>
      </c>
      <c r="D1295" s="4" t="str">
        <f t="shared" si="83"/>
        <v>01</v>
      </c>
      <c r="E1295" s="14">
        <v>2.81E-4</v>
      </c>
      <c r="F1295">
        <f t="shared" si="81"/>
        <v>21</v>
      </c>
      <c r="G1295" s="41" t="str">
        <f t="shared" si="82"/>
        <v>01</v>
      </c>
    </row>
    <row r="1296" spans="1:7" x14ac:dyDescent="0.6">
      <c r="A1296" t="str">
        <f t="shared" si="80"/>
        <v>20260123_1294</v>
      </c>
      <c r="B1296" s="12">
        <v>46045</v>
      </c>
      <c r="C1296" s="13">
        <v>1294</v>
      </c>
      <c r="D1296" s="4" t="str">
        <f t="shared" si="83"/>
        <v>01</v>
      </c>
      <c r="E1296" s="14">
        <v>4.6999999999999999E-4</v>
      </c>
      <c r="F1296">
        <f t="shared" si="81"/>
        <v>21</v>
      </c>
      <c r="G1296" s="41" t="str">
        <f t="shared" si="82"/>
        <v>01</v>
      </c>
    </row>
    <row r="1297" spans="1:7" x14ac:dyDescent="0.6">
      <c r="A1297" t="str">
        <f t="shared" si="80"/>
        <v>20260123_1295</v>
      </c>
      <c r="B1297" s="12">
        <v>46045</v>
      </c>
      <c r="C1297" s="13">
        <v>1295</v>
      </c>
      <c r="D1297" s="4" t="str">
        <f t="shared" si="83"/>
        <v>01</v>
      </c>
      <c r="E1297" s="14">
        <v>0</v>
      </c>
      <c r="F1297">
        <f t="shared" si="81"/>
        <v>21</v>
      </c>
      <c r="G1297" s="41" t="str">
        <f t="shared" si="82"/>
        <v>01</v>
      </c>
    </row>
    <row r="1298" spans="1:7" x14ac:dyDescent="0.6">
      <c r="A1298" t="str">
        <f t="shared" si="80"/>
        <v>20260123_1296</v>
      </c>
      <c r="B1298" s="12">
        <v>46045</v>
      </c>
      <c r="C1298" s="13">
        <v>1296</v>
      </c>
      <c r="D1298" s="4" t="str">
        <f t="shared" si="83"/>
        <v>01</v>
      </c>
      <c r="E1298" s="14">
        <v>0</v>
      </c>
      <c r="F1298">
        <f t="shared" si="81"/>
        <v>21</v>
      </c>
      <c r="G1298" s="41" t="str">
        <f t="shared" si="82"/>
        <v>01</v>
      </c>
    </row>
    <row r="1299" spans="1:7" x14ac:dyDescent="0.6">
      <c r="A1299" t="str">
        <f t="shared" si="80"/>
        <v>20260123_1297</v>
      </c>
      <c r="B1299" s="12">
        <v>46045</v>
      </c>
      <c r="C1299" s="13">
        <v>1297</v>
      </c>
      <c r="D1299" s="4" t="str">
        <f t="shared" si="83"/>
        <v>01</v>
      </c>
      <c r="E1299" s="14">
        <v>0</v>
      </c>
      <c r="F1299">
        <f t="shared" si="81"/>
        <v>21</v>
      </c>
      <c r="G1299" s="41" t="str">
        <f t="shared" si="82"/>
        <v>01</v>
      </c>
    </row>
    <row r="1300" spans="1:7" x14ac:dyDescent="0.6">
      <c r="A1300" t="str">
        <f t="shared" si="80"/>
        <v>20260123_1298</v>
      </c>
      <c r="B1300" s="12">
        <v>46045</v>
      </c>
      <c r="C1300" s="13">
        <v>1298</v>
      </c>
      <c r="D1300" s="4" t="str">
        <f t="shared" si="83"/>
        <v>01</v>
      </c>
      <c r="E1300" s="14">
        <v>0</v>
      </c>
      <c r="F1300">
        <f t="shared" si="81"/>
        <v>21</v>
      </c>
      <c r="G1300" s="41" t="str">
        <f t="shared" si="82"/>
        <v>01</v>
      </c>
    </row>
    <row r="1301" spans="1:7" x14ac:dyDescent="0.6">
      <c r="A1301" t="str">
        <f t="shared" si="80"/>
        <v>20260123_1299</v>
      </c>
      <c r="B1301" s="12">
        <v>46045</v>
      </c>
      <c r="C1301" s="13">
        <v>1299</v>
      </c>
      <c r="D1301" s="4" t="str">
        <f t="shared" si="83"/>
        <v>01</v>
      </c>
      <c r="E1301" s="14">
        <v>0</v>
      </c>
      <c r="F1301">
        <f t="shared" si="81"/>
        <v>21</v>
      </c>
      <c r="G1301" s="41" t="str">
        <f t="shared" si="82"/>
        <v>01</v>
      </c>
    </row>
    <row r="1302" spans="1:7" x14ac:dyDescent="0.6">
      <c r="A1302" t="str">
        <f t="shared" si="80"/>
        <v>20260123_1300</v>
      </c>
      <c r="B1302" s="12">
        <v>46045</v>
      </c>
      <c r="C1302" s="13">
        <v>1300</v>
      </c>
      <c r="D1302" s="4" t="str">
        <f t="shared" si="83"/>
        <v>01</v>
      </c>
      <c r="E1302" s="14">
        <v>0</v>
      </c>
      <c r="F1302">
        <f t="shared" si="81"/>
        <v>21</v>
      </c>
      <c r="G1302" s="41" t="str">
        <f t="shared" si="82"/>
        <v>01</v>
      </c>
    </row>
    <row r="1303" spans="1:7" x14ac:dyDescent="0.6">
      <c r="A1303" t="str">
        <f t="shared" si="80"/>
        <v>20260123_1301</v>
      </c>
      <c r="B1303" s="12">
        <v>46045</v>
      </c>
      <c r="C1303" s="13">
        <v>1301</v>
      </c>
      <c r="D1303" s="4" t="str">
        <f t="shared" si="83"/>
        <v>01</v>
      </c>
      <c r="E1303" s="14">
        <v>0</v>
      </c>
      <c r="F1303">
        <f t="shared" si="81"/>
        <v>21</v>
      </c>
      <c r="G1303" s="41" t="str">
        <f t="shared" si="82"/>
        <v>01</v>
      </c>
    </row>
    <row r="1304" spans="1:7" x14ac:dyDescent="0.6">
      <c r="A1304" t="str">
        <f t="shared" si="80"/>
        <v>20260123_1302</v>
      </c>
      <c r="B1304" s="12">
        <v>46045</v>
      </c>
      <c r="C1304" s="13">
        <v>1302</v>
      </c>
      <c r="D1304" s="4" t="str">
        <f t="shared" si="83"/>
        <v>01</v>
      </c>
      <c r="E1304" s="14">
        <v>0</v>
      </c>
      <c r="F1304">
        <f t="shared" si="81"/>
        <v>21</v>
      </c>
      <c r="G1304" s="41" t="str">
        <f t="shared" si="82"/>
        <v>01</v>
      </c>
    </row>
    <row r="1305" spans="1:7" x14ac:dyDescent="0.6">
      <c r="A1305" t="str">
        <f t="shared" si="80"/>
        <v>20260123_1303</v>
      </c>
      <c r="B1305" s="12">
        <v>46045</v>
      </c>
      <c r="C1305" s="13">
        <v>1303</v>
      </c>
      <c r="D1305" s="4" t="str">
        <f t="shared" si="83"/>
        <v>01</v>
      </c>
      <c r="E1305" s="14">
        <v>5.2999999999999998E-4</v>
      </c>
      <c r="F1305">
        <f t="shared" si="81"/>
        <v>21</v>
      </c>
      <c r="G1305" s="41" t="str">
        <f t="shared" si="82"/>
        <v>01</v>
      </c>
    </row>
    <row r="1306" spans="1:7" x14ac:dyDescent="0.6">
      <c r="A1306" t="str">
        <f t="shared" si="80"/>
        <v>20260123_1304</v>
      </c>
      <c r="B1306" s="12">
        <v>46045</v>
      </c>
      <c r="C1306" s="13">
        <v>1304</v>
      </c>
      <c r="D1306" s="4" t="str">
        <f t="shared" si="83"/>
        <v>01</v>
      </c>
      <c r="E1306" s="14">
        <v>5.0299999999999997E-4</v>
      </c>
      <c r="F1306">
        <f t="shared" si="81"/>
        <v>21</v>
      </c>
      <c r="G1306" s="41" t="str">
        <f t="shared" si="82"/>
        <v>01</v>
      </c>
    </row>
    <row r="1307" spans="1:7" x14ac:dyDescent="0.6">
      <c r="A1307" t="str">
        <f t="shared" si="80"/>
        <v>20260123_1305</v>
      </c>
      <c r="B1307" s="12">
        <v>46045</v>
      </c>
      <c r="C1307" s="13">
        <v>1305</v>
      </c>
      <c r="D1307" s="4" t="str">
        <f t="shared" si="83"/>
        <v>01</v>
      </c>
      <c r="E1307" s="14">
        <v>0</v>
      </c>
      <c r="F1307">
        <f t="shared" si="81"/>
        <v>21</v>
      </c>
      <c r="G1307" s="41" t="str">
        <f t="shared" si="82"/>
        <v>01</v>
      </c>
    </row>
    <row r="1308" spans="1:7" x14ac:dyDescent="0.6">
      <c r="A1308" t="str">
        <f t="shared" si="80"/>
        <v>20260123_1306</v>
      </c>
      <c r="B1308" s="12">
        <v>46045</v>
      </c>
      <c r="C1308" s="13">
        <v>1306</v>
      </c>
      <c r="D1308" s="4" t="str">
        <f t="shared" si="83"/>
        <v>01</v>
      </c>
      <c r="E1308" s="14">
        <v>3.5E-4</v>
      </c>
      <c r="F1308">
        <f t="shared" si="81"/>
        <v>21</v>
      </c>
      <c r="G1308" s="41" t="str">
        <f t="shared" si="82"/>
        <v>01</v>
      </c>
    </row>
    <row r="1309" spans="1:7" x14ac:dyDescent="0.6">
      <c r="A1309" t="str">
        <f t="shared" si="80"/>
        <v>20260123_1307</v>
      </c>
      <c r="B1309" s="12">
        <v>46045</v>
      </c>
      <c r="C1309" s="13">
        <v>1307</v>
      </c>
      <c r="D1309" s="4" t="str">
        <f t="shared" si="83"/>
        <v>01</v>
      </c>
      <c r="E1309" s="14">
        <v>0</v>
      </c>
      <c r="F1309">
        <f t="shared" si="81"/>
        <v>21</v>
      </c>
      <c r="G1309" s="41" t="str">
        <f t="shared" si="82"/>
        <v>01</v>
      </c>
    </row>
    <row r="1310" spans="1:7" x14ac:dyDescent="0.6">
      <c r="A1310" t="str">
        <f t="shared" si="80"/>
        <v>20260123_1308</v>
      </c>
      <c r="B1310" s="12">
        <v>46045</v>
      </c>
      <c r="C1310" s="13">
        <v>1308</v>
      </c>
      <c r="D1310" s="4" t="str">
        <f t="shared" si="83"/>
        <v>01</v>
      </c>
      <c r="E1310" s="14">
        <v>2.8699999999999998E-4</v>
      </c>
      <c r="F1310">
        <f t="shared" si="81"/>
        <v>21</v>
      </c>
      <c r="G1310" s="41" t="str">
        <f t="shared" si="82"/>
        <v>01</v>
      </c>
    </row>
    <row r="1311" spans="1:7" x14ac:dyDescent="0.6">
      <c r="A1311" t="str">
        <f t="shared" si="80"/>
        <v>20260123_1309</v>
      </c>
      <c r="B1311" s="12">
        <v>46045</v>
      </c>
      <c r="C1311" s="13">
        <v>1309</v>
      </c>
      <c r="D1311" s="4" t="str">
        <f t="shared" si="83"/>
        <v>01</v>
      </c>
      <c r="E1311" s="14">
        <v>2.8699999999999998E-4</v>
      </c>
      <c r="F1311">
        <f t="shared" si="81"/>
        <v>21</v>
      </c>
      <c r="G1311" s="41" t="str">
        <f t="shared" si="82"/>
        <v>01</v>
      </c>
    </row>
    <row r="1312" spans="1:7" x14ac:dyDescent="0.6">
      <c r="A1312" t="str">
        <f t="shared" si="80"/>
        <v>20260123_1310</v>
      </c>
      <c r="B1312" s="12">
        <v>46045</v>
      </c>
      <c r="C1312" s="13">
        <v>1310</v>
      </c>
      <c r="D1312" s="4" t="str">
        <f t="shared" si="83"/>
        <v>01</v>
      </c>
      <c r="E1312" s="14">
        <v>0</v>
      </c>
      <c r="F1312">
        <f t="shared" si="81"/>
        <v>21</v>
      </c>
      <c r="G1312" s="41" t="str">
        <f t="shared" si="82"/>
        <v>01</v>
      </c>
    </row>
    <row r="1313" spans="1:7" x14ac:dyDescent="0.6">
      <c r="A1313" t="str">
        <f t="shared" si="80"/>
        <v>20260123_1311</v>
      </c>
      <c r="B1313" s="12">
        <v>46045</v>
      </c>
      <c r="C1313" s="13">
        <v>1311</v>
      </c>
      <c r="D1313" s="4" t="str">
        <f t="shared" si="83"/>
        <v>01</v>
      </c>
      <c r="E1313" s="14">
        <v>0</v>
      </c>
      <c r="F1313">
        <f t="shared" si="81"/>
        <v>21</v>
      </c>
      <c r="G1313" s="41" t="str">
        <f t="shared" si="82"/>
        <v>01</v>
      </c>
    </row>
    <row r="1314" spans="1:7" x14ac:dyDescent="0.6">
      <c r="A1314" t="str">
        <f t="shared" si="80"/>
        <v>20260123_1312</v>
      </c>
      <c r="B1314" s="12">
        <v>46045</v>
      </c>
      <c r="C1314" s="13">
        <v>1312</v>
      </c>
      <c r="D1314" s="4" t="str">
        <f t="shared" si="83"/>
        <v>01</v>
      </c>
      <c r="E1314" s="14">
        <v>0</v>
      </c>
      <c r="F1314">
        <f t="shared" si="81"/>
        <v>21</v>
      </c>
      <c r="G1314" s="41" t="str">
        <f t="shared" si="82"/>
        <v>01</v>
      </c>
    </row>
    <row r="1315" spans="1:7" x14ac:dyDescent="0.6">
      <c r="A1315" t="str">
        <f t="shared" si="80"/>
        <v>20260123_1313</v>
      </c>
      <c r="B1315" s="12">
        <v>46045</v>
      </c>
      <c r="C1315" s="13">
        <v>1313</v>
      </c>
      <c r="D1315" s="4" t="str">
        <f t="shared" si="83"/>
        <v>01</v>
      </c>
      <c r="E1315" s="14">
        <v>6.8199999999999999E-4</v>
      </c>
      <c r="F1315">
        <f t="shared" si="81"/>
        <v>21</v>
      </c>
      <c r="G1315" s="41" t="str">
        <f t="shared" si="82"/>
        <v>01</v>
      </c>
    </row>
    <row r="1316" spans="1:7" x14ac:dyDescent="0.6">
      <c r="A1316" t="str">
        <f t="shared" si="80"/>
        <v>20260123_1314</v>
      </c>
      <c r="B1316" s="12">
        <v>46045</v>
      </c>
      <c r="C1316" s="13">
        <v>1314</v>
      </c>
      <c r="D1316" s="4" t="str">
        <f t="shared" si="83"/>
        <v>01</v>
      </c>
      <c r="E1316" s="14">
        <v>0</v>
      </c>
      <c r="F1316">
        <f t="shared" si="81"/>
        <v>21</v>
      </c>
      <c r="G1316" s="41" t="str">
        <f t="shared" si="82"/>
        <v>01</v>
      </c>
    </row>
    <row r="1317" spans="1:7" x14ac:dyDescent="0.6">
      <c r="A1317" t="str">
        <f t="shared" si="80"/>
        <v>20260123_1315</v>
      </c>
      <c r="B1317" s="12">
        <v>46045</v>
      </c>
      <c r="C1317" s="13">
        <v>1315</v>
      </c>
      <c r="D1317" s="4" t="str">
        <f t="shared" si="83"/>
        <v>01</v>
      </c>
      <c r="E1317" s="14">
        <v>0</v>
      </c>
      <c r="F1317">
        <f t="shared" si="81"/>
        <v>21</v>
      </c>
      <c r="G1317" s="41" t="str">
        <f t="shared" si="82"/>
        <v>01</v>
      </c>
    </row>
    <row r="1318" spans="1:7" x14ac:dyDescent="0.6">
      <c r="A1318" t="str">
        <f t="shared" si="80"/>
        <v>20260123_1316</v>
      </c>
      <c r="B1318" s="12">
        <v>46045</v>
      </c>
      <c r="C1318" s="13">
        <v>1316</v>
      </c>
      <c r="D1318" s="4" t="str">
        <f t="shared" si="83"/>
        <v>01</v>
      </c>
      <c r="E1318" s="14">
        <v>0</v>
      </c>
      <c r="F1318">
        <f t="shared" si="81"/>
        <v>21</v>
      </c>
      <c r="G1318" s="41" t="str">
        <f t="shared" si="82"/>
        <v>01</v>
      </c>
    </row>
    <row r="1319" spans="1:7" x14ac:dyDescent="0.6">
      <c r="A1319" t="str">
        <f t="shared" si="80"/>
        <v>20260123_1317</v>
      </c>
      <c r="B1319" s="12">
        <v>46045</v>
      </c>
      <c r="C1319" s="13">
        <v>1317</v>
      </c>
      <c r="D1319" s="4" t="str">
        <f t="shared" si="83"/>
        <v>01</v>
      </c>
      <c r="E1319" s="14">
        <v>0</v>
      </c>
      <c r="F1319">
        <f t="shared" si="81"/>
        <v>21</v>
      </c>
      <c r="G1319" s="41" t="str">
        <f t="shared" si="82"/>
        <v>01</v>
      </c>
    </row>
    <row r="1320" spans="1:7" x14ac:dyDescent="0.6">
      <c r="A1320" t="str">
        <f t="shared" si="80"/>
        <v>20260123_1318</v>
      </c>
      <c r="B1320" s="12">
        <v>46045</v>
      </c>
      <c r="C1320" s="13">
        <v>1318</v>
      </c>
      <c r="D1320" s="4" t="str">
        <f t="shared" si="83"/>
        <v>01</v>
      </c>
      <c r="E1320" s="14">
        <v>0</v>
      </c>
      <c r="F1320">
        <f t="shared" si="81"/>
        <v>21</v>
      </c>
      <c r="G1320" s="41" t="str">
        <f t="shared" si="82"/>
        <v>01</v>
      </c>
    </row>
    <row r="1321" spans="1:7" x14ac:dyDescent="0.6">
      <c r="A1321" t="str">
        <f t="shared" si="80"/>
        <v>20260123_1319</v>
      </c>
      <c r="B1321" s="12">
        <v>46045</v>
      </c>
      <c r="C1321" s="13">
        <v>1319</v>
      </c>
      <c r="D1321" s="4" t="str">
        <f t="shared" si="83"/>
        <v>01</v>
      </c>
      <c r="E1321" s="14">
        <v>0</v>
      </c>
      <c r="F1321">
        <f t="shared" si="81"/>
        <v>21</v>
      </c>
      <c r="G1321" s="41" t="str">
        <f t="shared" si="82"/>
        <v>01</v>
      </c>
    </row>
    <row r="1322" spans="1:7" x14ac:dyDescent="0.6">
      <c r="A1322" t="str">
        <f t="shared" si="80"/>
        <v>20260123_1320</v>
      </c>
      <c r="B1322" s="12">
        <v>46045</v>
      </c>
      <c r="C1322" s="13">
        <v>1320</v>
      </c>
      <c r="D1322" s="4" t="str">
        <f t="shared" si="83"/>
        <v>01</v>
      </c>
      <c r="E1322" s="14">
        <v>4.9700000000000005E-4</v>
      </c>
      <c r="F1322">
        <f t="shared" si="81"/>
        <v>22</v>
      </c>
      <c r="G1322" s="41" t="str">
        <f t="shared" si="82"/>
        <v>01</v>
      </c>
    </row>
    <row r="1323" spans="1:7" x14ac:dyDescent="0.6">
      <c r="A1323" t="str">
        <f t="shared" si="80"/>
        <v>20260123_1321</v>
      </c>
      <c r="B1323" s="12">
        <v>46045</v>
      </c>
      <c r="C1323" s="13">
        <v>1321</v>
      </c>
      <c r="D1323" s="4" t="str">
        <f t="shared" si="83"/>
        <v>01</v>
      </c>
      <c r="E1323" s="14">
        <v>2.5700000000000001E-4</v>
      </c>
      <c r="F1323">
        <f t="shared" si="81"/>
        <v>22</v>
      </c>
      <c r="G1323" s="41" t="str">
        <f t="shared" si="82"/>
        <v>01</v>
      </c>
    </row>
    <row r="1324" spans="1:7" x14ac:dyDescent="0.6">
      <c r="A1324" t="str">
        <f t="shared" si="80"/>
        <v>20260123_1322</v>
      </c>
      <c r="B1324" s="12">
        <v>46045</v>
      </c>
      <c r="C1324" s="13">
        <v>1322</v>
      </c>
      <c r="D1324" s="4" t="str">
        <f t="shared" si="83"/>
        <v>01</v>
      </c>
      <c r="E1324" s="14">
        <v>0</v>
      </c>
      <c r="F1324">
        <f t="shared" si="81"/>
        <v>22</v>
      </c>
      <c r="G1324" s="41" t="str">
        <f t="shared" si="82"/>
        <v>01</v>
      </c>
    </row>
    <row r="1325" spans="1:7" x14ac:dyDescent="0.6">
      <c r="A1325" t="str">
        <f t="shared" si="80"/>
        <v>20260123_1323</v>
      </c>
      <c r="B1325" s="12">
        <v>46045</v>
      </c>
      <c r="C1325" s="13">
        <v>1323</v>
      </c>
      <c r="D1325" s="4" t="str">
        <f t="shared" si="83"/>
        <v>01</v>
      </c>
      <c r="E1325" s="14">
        <v>0</v>
      </c>
      <c r="F1325">
        <f t="shared" si="81"/>
        <v>22</v>
      </c>
      <c r="G1325" s="41" t="str">
        <f t="shared" si="82"/>
        <v>01</v>
      </c>
    </row>
    <row r="1326" spans="1:7" x14ac:dyDescent="0.6">
      <c r="A1326" t="str">
        <f t="shared" si="80"/>
        <v>20260123_1324</v>
      </c>
      <c r="B1326" s="12">
        <v>46045</v>
      </c>
      <c r="C1326" s="13">
        <v>1324</v>
      </c>
      <c r="D1326" s="4" t="str">
        <f t="shared" si="83"/>
        <v>01</v>
      </c>
      <c r="E1326" s="14">
        <v>0</v>
      </c>
      <c r="F1326">
        <f t="shared" si="81"/>
        <v>22</v>
      </c>
      <c r="G1326" s="41" t="str">
        <f t="shared" si="82"/>
        <v>01</v>
      </c>
    </row>
    <row r="1327" spans="1:7" x14ac:dyDescent="0.6">
      <c r="A1327" t="str">
        <f t="shared" si="80"/>
        <v>20260123_1325</v>
      </c>
      <c r="B1327" s="12">
        <v>46045</v>
      </c>
      <c r="C1327" s="13">
        <v>1325</v>
      </c>
      <c r="D1327" s="4" t="str">
        <f t="shared" si="83"/>
        <v>01</v>
      </c>
      <c r="E1327" s="14">
        <v>0</v>
      </c>
      <c r="F1327">
        <f t="shared" si="81"/>
        <v>22</v>
      </c>
      <c r="G1327" s="41" t="str">
        <f t="shared" si="82"/>
        <v>01</v>
      </c>
    </row>
    <row r="1328" spans="1:7" x14ac:dyDescent="0.6">
      <c r="A1328" t="str">
        <f t="shared" si="80"/>
        <v>20260123_1326</v>
      </c>
      <c r="B1328" s="12">
        <v>46045</v>
      </c>
      <c r="C1328" s="13">
        <v>1326</v>
      </c>
      <c r="D1328" s="4" t="str">
        <f t="shared" si="83"/>
        <v>01</v>
      </c>
      <c r="E1328" s="14">
        <v>5.8799999999999998E-4</v>
      </c>
      <c r="F1328">
        <f t="shared" si="81"/>
        <v>22</v>
      </c>
      <c r="G1328" s="41" t="str">
        <f t="shared" si="82"/>
        <v>01</v>
      </c>
    </row>
    <row r="1329" spans="1:7" x14ac:dyDescent="0.6">
      <c r="A1329" t="str">
        <f t="shared" si="80"/>
        <v>20260123_1327</v>
      </c>
      <c r="B1329" s="12">
        <v>46045</v>
      </c>
      <c r="C1329" s="13">
        <v>1327</v>
      </c>
      <c r="D1329" s="4" t="str">
        <f t="shared" si="83"/>
        <v>01</v>
      </c>
      <c r="E1329" s="14">
        <v>0</v>
      </c>
      <c r="F1329">
        <f t="shared" si="81"/>
        <v>22</v>
      </c>
      <c r="G1329" s="41" t="str">
        <f t="shared" si="82"/>
        <v>01</v>
      </c>
    </row>
    <row r="1330" spans="1:7" x14ac:dyDescent="0.6">
      <c r="A1330" t="str">
        <f t="shared" si="80"/>
        <v>20260123_1328</v>
      </c>
      <c r="B1330" s="12">
        <v>46045</v>
      </c>
      <c r="C1330" s="13">
        <v>1328</v>
      </c>
      <c r="D1330" s="4" t="str">
        <f t="shared" si="83"/>
        <v>01</v>
      </c>
      <c r="E1330" s="14">
        <v>4.9200000000000003E-4</v>
      </c>
      <c r="F1330">
        <f t="shared" si="81"/>
        <v>22</v>
      </c>
      <c r="G1330" s="41" t="str">
        <f t="shared" si="82"/>
        <v>01</v>
      </c>
    </row>
    <row r="1331" spans="1:7" x14ac:dyDescent="0.6">
      <c r="A1331" t="str">
        <f t="shared" si="80"/>
        <v>20260123_1329</v>
      </c>
      <c r="B1331" s="12">
        <v>46045</v>
      </c>
      <c r="C1331" s="13">
        <v>1329</v>
      </c>
      <c r="D1331" s="4" t="str">
        <f t="shared" si="83"/>
        <v>01</v>
      </c>
      <c r="E1331" s="14">
        <v>0</v>
      </c>
      <c r="F1331">
        <f t="shared" si="81"/>
        <v>22</v>
      </c>
      <c r="G1331" s="41" t="str">
        <f t="shared" si="82"/>
        <v>01</v>
      </c>
    </row>
    <row r="1332" spans="1:7" x14ac:dyDescent="0.6">
      <c r="A1332" t="str">
        <f t="shared" si="80"/>
        <v>20260123_1330</v>
      </c>
      <c r="B1332" s="12">
        <v>46045</v>
      </c>
      <c r="C1332" s="13">
        <v>1330</v>
      </c>
      <c r="D1332" s="4" t="str">
        <f t="shared" si="83"/>
        <v>01</v>
      </c>
      <c r="E1332" s="14">
        <v>2.3499999999999999E-4</v>
      </c>
      <c r="F1332">
        <f t="shared" si="81"/>
        <v>22</v>
      </c>
      <c r="G1332" s="41" t="str">
        <f t="shared" si="82"/>
        <v>01</v>
      </c>
    </row>
    <row r="1333" spans="1:7" x14ac:dyDescent="0.6">
      <c r="A1333" t="str">
        <f t="shared" si="80"/>
        <v>20260123_1331</v>
      </c>
      <c r="B1333" s="12">
        <v>46045</v>
      </c>
      <c r="C1333" s="13">
        <v>1331</v>
      </c>
      <c r="D1333" s="4" t="str">
        <f t="shared" si="83"/>
        <v>01</v>
      </c>
      <c r="E1333" s="14">
        <v>0</v>
      </c>
      <c r="F1333">
        <f t="shared" si="81"/>
        <v>22</v>
      </c>
      <c r="G1333" s="41" t="str">
        <f t="shared" si="82"/>
        <v>01</v>
      </c>
    </row>
    <row r="1334" spans="1:7" x14ac:dyDescent="0.6">
      <c r="A1334" t="str">
        <f t="shared" si="80"/>
        <v>20260123_1332</v>
      </c>
      <c r="B1334" s="12">
        <v>46045</v>
      </c>
      <c r="C1334" s="13">
        <v>1332</v>
      </c>
      <c r="D1334" s="4" t="str">
        <f t="shared" si="83"/>
        <v>01</v>
      </c>
      <c r="E1334" s="14">
        <v>0</v>
      </c>
      <c r="F1334">
        <f t="shared" si="81"/>
        <v>22</v>
      </c>
      <c r="G1334" s="41" t="str">
        <f t="shared" si="82"/>
        <v>01</v>
      </c>
    </row>
    <row r="1335" spans="1:7" x14ac:dyDescent="0.6">
      <c r="A1335" t="str">
        <f t="shared" si="80"/>
        <v>20260123_1333</v>
      </c>
      <c r="B1335" s="12">
        <v>46045</v>
      </c>
      <c r="C1335" s="13">
        <v>1333</v>
      </c>
      <c r="D1335" s="4" t="str">
        <f t="shared" si="83"/>
        <v>01</v>
      </c>
      <c r="E1335" s="14">
        <v>6.3699999999999998E-4</v>
      </c>
      <c r="F1335">
        <f t="shared" si="81"/>
        <v>22</v>
      </c>
      <c r="G1335" s="41" t="str">
        <f t="shared" si="82"/>
        <v>01</v>
      </c>
    </row>
    <row r="1336" spans="1:7" x14ac:dyDescent="0.6">
      <c r="A1336" t="str">
        <f t="shared" si="80"/>
        <v>20260123_1334</v>
      </c>
      <c r="B1336" s="12">
        <v>46045</v>
      </c>
      <c r="C1336" s="13">
        <v>1334</v>
      </c>
      <c r="D1336" s="4" t="str">
        <f t="shared" si="83"/>
        <v>01</v>
      </c>
      <c r="E1336" s="14">
        <v>0</v>
      </c>
      <c r="F1336">
        <f t="shared" si="81"/>
        <v>22</v>
      </c>
      <c r="G1336" s="41" t="str">
        <f t="shared" si="82"/>
        <v>01</v>
      </c>
    </row>
    <row r="1337" spans="1:7" x14ac:dyDescent="0.6">
      <c r="A1337" t="str">
        <f t="shared" si="80"/>
        <v>20260123_1335</v>
      </c>
      <c r="B1337" s="12">
        <v>46045</v>
      </c>
      <c r="C1337" s="13">
        <v>1335</v>
      </c>
      <c r="D1337" s="4" t="str">
        <f t="shared" si="83"/>
        <v>01</v>
      </c>
      <c r="E1337" s="14">
        <v>0</v>
      </c>
      <c r="F1337">
        <f t="shared" si="81"/>
        <v>22</v>
      </c>
      <c r="G1337" s="41" t="str">
        <f t="shared" si="82"/>
        <v>01</v>
      </c>
    </row>
    <row r="1338" spans="1:7" x14ac:dyDescent="0.6">
      <c r="A1338" t="str">
        <f t="shared" si="80"/>
        <v>20260123_1336</v>
      </c>
      <c r="B1338" s="12">
        <v>46045</v>
      </c>
      <c r="C1338" s="13">
        <v>1336</v>
      </c>
      <c r="D1338" s="4" t="str">
        <f t="shared" si="83"/>
        <v>01</v>
      </c>
      <c r="E1338" s="14">
        <v>0</v>
      </c>
      <c r="F1338">
        <f t="shared" si="81"/>
        <v>22</v>
      </c>
      <c r="G1338" s="41" t="str">
        <f t="shared" si="82"/>
        <v>01</v>
      </c>
    </row>
    <row r="1339" spans="1:7" x14ac:dyDescent="0.6">
      <c r="A1339" t="str">
        <f t="shared" si="80"/>
        <v>20260123_1337</v>
      </c>
      <c r="B1339" s="12">
        <v>46045</v>
      </c>
      <c r="C1339" s="13">
        <v>1337</v>
      </c>
      <c r="D1339" s="4" t="str">
        <f t="shared" si="83"/>
        <v>01</v>
      </c>
      <c r="E1339" s="14">
        <v>0</v>
      </c>
      <c r="F1339">
        <f t="shared" si="81"/>
        <v>22</v>
      </c>
      <c r="G1339" s="41" t="str">
        <f t="shared" si="82"/>
        <v>01</v>
      </c>
    </row>
    <row r="1340" spans="1:7" x14ac:dyDescent="0.6">
      <c r="A1340" t="str">
        <f t="shared" si="80"/>
        <v>20260123_1338</v>
      </c>
      <c r="B1340" s="12">
        <v>46045</v>
      </c>
      <c r="C1340" s="13">
        <v>1338</v>
      </c>
      <c r="D1340" s="4" t="str">
        <f t="shared" si="83"/>
        <v>01</v>
      </c>
      <c r="E1340" s="14">
        <v>4.0900000000000002E-4</v>
      </c>
      <c r="F1340">
        <f t="shared" si="81"/>
        <v>22</v>
      </c>
      <c r="G1340" s="41" t="str">
        <f t="shared" si="82"/>
        <v>01</v>
      </c>
    </row>
    <row r="1341" spans="1:7" x14ac:dyDescent="0.6">
      <c r="A1341" t="str">
        <f t="shared" si="80"/>
        <v>20260123_1339</v>
      </c>
      <c r="B1341" s="12">
        <v>46045</v>
      </c>
      <c r="C1341" s="13">
        <v>1339</v>
      </c>
      <c r="D1341" s="4" t="str">
        <f t="shared" si="83"/>
        <v>01</v>
      </c>
      <c r="E1341" s="14">
        <v>0</v>
      </c>
      <c r="F1341">
        <f t="shared" si="81"/>
        <v>22</v>
      </c>
      <c r="G1341" s="41" t="str">
        <f t="shared" si="82"/>
        <v>01</v>
      </c>
    </row>
    <row r="1342" spans="1:7" x14ac:dyDescent="0.6">
      <c r="A1342" t="str">
        <f t="shared" si="80"/>
        <v>20260123_1340</v>
      </c>
      <c r="B1342" s="12">
        <v>46045</v>
      </c>
      <c r="C1342" s="13">
        <v>1340</v>
      </c>
      <c r="D1342" s="4" t="str">
        <f t="shared" si="83"/>
        <v>01</v>
      </c>
      <c r="E1342" s="14">
        <v>0</v>
      </c>
      <c r="F1342">
        <f t="shared" si="81"/>
        <v>22</v>
      </c>
      <c r="G1342" s="41" t="str">
        <f t="shared" si="82"/>
        <v>01</v>
      </c>
    </row>
    <row r="1343" spans="1:7" x14ac:dyDescent="0.6">
      <c r="A1343" t="str">
        <f t="shared" si="80"/>
        <v>20260123_1341</v>
      </c>
      <c r="B1343" s="12">
        <v>46045</v>
      </c>
      <c r="C1343" s="13">
        <v>1341</v>
      </c>
      <c r="D1343" s="4" t="str">
        <f t="shared" si="83"/>
        <v>01</v>
      </c>
      <c r="E1343" s="14">
        <v>0</v>
      </c>
      <c r="F1343">
        <f t="shared" si="81"/>
        <v>22</v>
      </c>
      <c r="G1343" s="41" t="str">
        <f t="shared" si="82"/>
        <v>01</v>
      </c>
    </row>
    <row r="1344" spans="1:7" x14ac:dyDescent="0.6">
      <c r="A1344" t="str">
        <f t="shared" si="80"/>
        <v>20260123_1342</v>
      </c>
      <c r="B1344" s="12">
        <v>46045</v>
      </c>
      <c r="C1344" s="13">
        <v>1342</v>
      </c>
      <c r="D1344" s="4" t="str">
        <f t="shared" si="83"/>
        <v>01</v>
      </c>
      <c r="E1344" s="14">
        <v>0</v>
      </c>
      <c r="F1344">
        <f t="shared" si="81"/>
        <v>22</v>
      </c>
      <c r="G1344" s="41" t="str">
        <f t="shared" si="82"/>
        <v>01</v>
      </c>
    </row>
    <row r="1345" spans="1:7" x14ac:dyDescent="0.6">
      <c r="A1345" t="str">
        <f t="shared" si="80"/>
        <v>20260123_1343</v>
      </c>
      <c r="B1345" s="12">
        <v>46045</v>
      </c>
      <c r="C1345" s="13">
        <v>1343</v>
      </c>
      <c r="D1345" s="4" t="str">
        <f t="shared" si="83"/>
        <v>01</v>
      </c>
      <c r="E1345" s="14">
        <v>0</v>
      </c>
      <c r="F1345">
        <f t="shared" si="81"/>
        <v>22</v>
      </c>
      <c r="G1345" s="41" t="str">
        <f t="shared" si="82"/>
        <v>01</v>
      </c>
    </row>
    <row r="1346" spans="1:7" x14ac:dyDescent="0.6">
      <c r="A1346" t="str">
        <f t="shared" ref="A1346:A1409" si="84">IF(B1346="","",TEXT(B1346,"yyyymmdd")&amp;"_"&amp;TEXT(C1346,"0000"))</f>
        <v>20260123_1344</v>
      </c>
      <c r="B1346" s="12">
        <v>46045</v>
      </c>
      <c r="C1346" s="13">
        <v>1344</v>
      </c>
      <c r="D1346" s="4" t="str">
        <f t="shared" si="83"/>
        <v>01</v>
      </c>
      <c r="E1346" s="14">
        <v>0</v>
      </c>
      <c r="F1346">
        <f t="shared" ref="F1346:F1409" si="85">IF(C1346="","",INT(C1346/60))</f>
        <v>22</v>
      </c>
      <c r="G1346" s="41" t="str">
        <f t="shared" ref="G1346:G1409" si="86">IF(D1346="","",IF(LEN(UPPER(SUBSTITUTE(SUBSTITUTE(TRIM(D1346),CHAR(160),"")," ","")))=1,"0"&amp;UPPER(SUBSTITUTE(SUBSTITUTE(TRIM(D1346),CHAR(160),"")," ","")),UPPER(SUBSTITUTE(SUBSTITUTE(TRIM(D1346),CHAR(160),"")," ",""))))</f>
        <v>01</v>
      </c>
    </row>
    <row r="1347" spans="1:7" x14ac:dyDescent="0.6">
      <c r="A1347" t="str">
        <f t="shared" si="84"/>
        <v>20260123_1345</v>
      </c>
      <c r="B1347" s="12">
        <v>46045</v>
      </c>
      <c r="C1347" s="13">
        <v>1345</v>
      </c>
      <c r="D1347" s="4" t="str">
        <f t="shared" ref="D1347:D1410" si="87">MID(I$1,$C1347*2+1,2)</f>
        <v>01</v>
      </c>
      <c r="E1347" s="14">
        <v>3.5199999999999999E-4</v>
      </c>
      <c r="F1347">
        <f t="shared" si="85"/>
        <v>22</v>
      </c>
      <c r="G1347" s="41" t="str">
        <f t="shared" si="86"/>
        <v>01</v>
      </c>
    </row>
    <row r="1348" spans="1:7" x14ac:dyDescent="0.6">
      <c r="A1348" t="str">
        <f t="shared" si="84"/>
        <v>20260123_1346</v>
      </c>
      <c r="B1348" s="12">
        <v>46045</v>
      </c>
      <c r="C1348" s="13">
        <v>1346</v>
      </c>
      <c r="D1348" s="4" t="str">
        <f t="shared" si="87"/>
        <v>01</v>
      </c>
      <c r="E1348" s="14">
        <v>0</v>
      </c>
      <c r="F1348">
        <f t="shared" si="85"/>
        <v>22</v>
      </c>
      <c r="G1348" s="41" t="str">
        <f t="shared" si="86"/>
        <v>01</v>
      </c>
    </row>
    <row r="1349" spans="1:7" x14ac:dyDescent="0.6">
      <c r="A1349" t="str">
        <f t="shared" si="84"/>
        <v>20260123_1347</v>
      </c>
      <c r="B1349" s="12">
        <v>46045</v>
      </c>
      <c r="C1349" s="13">
        <v>1347</v>
      </c>
      <c r="D1349" s="4" t="str">
        <f t="shared" si="87"/>
        <v>01</v>
      </c>
      <c r="E1349" s="14">
        <v>0</v>
      </c>
      <c r="F1349">
        <f t="shared" si="85"/>
        <v>22</v>
      </c>
      <c r="G1349" s="41" t="str">
        <f t="shared" si="86"/>
        <v>01</v>
      </c>
    </row>
    <row r="1350" spans="1:7" x14ac:dyDescent="0.6">
      <c r="A1350" t="str">
        <f t="shared" si="84"/>
        <v>20260123_1348</v>
      </c>
      <c r="B1350" s="12">
        <v>46045</v>
      </c>
      <c r="C1350" s="13">
        <v>1348</v>
      </c>
      <c r="D1350" s="4" t="str">
        <f t="shared" si="87"/>
        <v>01</v>
      </c>
      <c r="E1350" s="14">
        <v>4.1599999999999997E-4</v>
      </c>
      <c r="F1350">
        <f t="shared" si="85"/>
        <v>22</v>
      </c>
      <c r="G1350" s="41" t="str">
        <f t="shared" si="86"/>
        <v>01</v>
      </c>
    </row>
    <row r="1351" spans="1:7" x14ac:dyDescent="0.6">
      <c r="A1351" t="str">
        <f t="shared" si="84"/>
        <v>20260123_1349</v>
      </c>
      <c r="B1351" s="12">
        <v>46045</v>
      </c>
      <c r="C1351" s="13">
        <v>1349</v>
      </c>
      <c r="D1351" s="4" t="str">
        <f t="shared" si="87"/>
        <v>01</v>
      </c>
      <c r="E1351" s="14">
        <v>4.2900000000000002E-4</v>
      </c>
      <c r="F1351">
        <f t="shared" si="85"/>
        <v>22</v>
      </c>
      <c r="G1351" s="41" t="str">
        <f t="shared" si="86"/>
        <v>01</v>
      </c>
    </row>
    <row r="1352" spans="1:7" x14ac:dyDescent="0.6">
      <c r="A1352" t="str">
        <f t="shared" si="84"/>
        <v>20260123_1350</v>
      </c>
      <c r="B1352" s="12">
        <v>46045</v>
      </c>
      <c r="C1352" s="13">
        <v>1350</v>
      </c>
      <c r="D1352" s="4" t="str">
        <f t="shared" si="87"/>
        <v>01</v>
      </c>
      <c r="E1352" s="14">
        <v>0</v>
      </c>
      <c r="F1352">
        <f t="shared" si="85"/>
        <v>22</v>
      </c>
      <c r="G1352" s="41" t="str">
        <f t="shared" si="86"/>
        <v>01</v>
      </c>
    </row>
    <row r="1353" spans="1:7" x14ac:dyDescent="0.6">
      <c r="A1353" t="str">
        <f t="shared" si="84"/>
        <v>20260123_1351</v>
      </c>
      <c r="B1353" s="12">
        <v>46045</v>
      </c>
      <c r="C1353" s="13">
        <v>1351</v>
      </c>
      <c r="D1353" s="4" t="str">
        <f t="shared" si="87"/>
        <v>01</v>
      </c>
      <c r="E1353" s="14">
        <v>3.57E-4</v>
      </c>
      <c r="F1353">
        <f t="shared" si="85"/>
        <v>22</v>
      </c>
      <c r="G1353" s="41" t="str">
        <f t="shared" si="86"/>
        <v>01</v>
      </c>
    </row>
    <row r="1354" spans="1:7" x14ac:dyDescent="0.6">
      <c r="A1354" t="str">
        <f t="shared" si="84"/>
        <v>20260123_1352</v>
      </c>
      <c r="B1354" s="12">
        <v>46045</v>
      </c>
      <c r="C1354" s="13">
        <v>1352</v>
      </c>
      <c r="D1354" s="4" t="str">
        <f t="shared" si="87"/>
        <v>01</v>
      </c>
      <c r="E1354" s="14">
        <v>3.6200000000000002E-4</v>
      </c>
      <c r="F1354">
        <f t="shared" si="85"/>
        <v>22</v>
      </c>
      <c r="G1354" s="41" t="str">
        <f t="shared" si="86"/>
        <v>01</v>
      </c>
    </row>
    <row r="1355" spans="1:7" x14ac:dyDescent="0.6">
      <c r="A1355" t="str">
        <f t="shared" si="84"/>
        <v>20260123_1353</v>
      </c>
      <c r="B1355" s="12">
        <v>46045</v>
      </c>
      <c r="C1355" s="13">
        <v>1353</v>
      </c>
      <c r="D1355" s="4" t="str">
        <f t="shared" si="87"/>
        <v>01</v>
      </c>
      <c r="E1355" s="14">
        <v>3.5100000000000002E-4</v>
      </c>
      <c r="F1355">
        <f t="shared" si="85"/>
        <v>22</v>
      </c>
      <c r="G1355" s="41" t="str">
        <f t="shared" si="86"/>
        <v>01</v>
      </c>
    </row>
    <row r="1356" spans="1:7" x14ac:dyDescent="0.6">
      <c r="A1356" t="str">
        <f t="shared" si="84"/>
        <v>20260123_1354</v>
      </c>
      <c r="B1356" s="12">
        <v>46045</v>
      </c>
      <c r="C1356" s="13">
        <v>1354</v>
      </c>
      <c r="D1356" s="4" t="str">
        <f t="shared" si="87"/>
        <v>01</v>
      </c>
      <c r="E1356" s="14">
        <v>3.68E-4</v>
      </c>
      <c r="F1356">
        <f t="shared" si="85"/>
        <v>22</v>
      </c>
      <c r="G1356" s="41" t="str">
        <f t="shared" si="86"/>
        <v>01</v>
      </c>
    </row>
    <row r="1357" spans="1:7" x14ac:dyDescent="0.6">
      <c r="A1357" t="str">
        <f t="shared" si="84"/>
        <v>20260123_1355</v>
      </c>
      <c r="B1357" s="12">
        <v>46045</v>
      </c>
      <c r="C1357" s="13">
        <v>1355</v>
      </c>
      <c r="D1357" s="4" t="str">
        <f t="shared" si="87"/>
        <v>01</v>
      </c>
      <c r="E1357" s="14">
        <v>0</v>
      </c>
      <c r="F1357">
        <f t="shared" si="85"/>
        <v>22</v>
      </c>
      <c r="G1357" s="41" t="str">
        <f t="shared" si="86"/>
        <v>01</v>
      </c>
    </row>
    <row r="1358" spans="1:7" x14ac:dyDescent="0.6">
      <c r="A1358" t="str">
        <f t="shared" si="84"/>
        <v>20260123_1356</v>
      </c>
      <c r="B1358" s="12">
        <v>46045</v>
      </c>
      <c r="C1358" s="13">
        <v>1356</v>
      </c>
      <c r="D1358" s="4" t="str">
        <f t="shared" si="87"/>
        <v>01</v>
      </c>
      <c r="E1358" s="14">
        <v>3.5300000000000002E-4</v>
      </c>
      <c r="F1358">
        <f t="shared" si="85"/>
        <v>22</v>
      </c>
      <c r="G1358" s="41" t="str">
        <f t="shared" si="86"/>
        <v>01</v>
      </c>
    </row>
    <row r="1359" spans="1:7" x14ac:dyDescent="0.6">
      <c r="A1359" t="str">
        <f t="shared" si="84"/>
        <v>20260123_1357</v>
      </c>
      <c r="B1359" s="12">
        <v>46045</v>
      </c>
      <c r="C1359" s="13">
        <v>1357</v>
      </c>
      <c r="D1359" s="4" t="str">
        <f t="shared" si="87"/>
        <v>01</v>
      </c>
      <c r="E1359" s="14">
        <v>0</v>
      </c>
      <c r="F1359">
        <f t="shared" si="85"/>
        <v>22</v>
      </c>
      <c r="G1359" s="41" t="str">
        <f t="shared" si="86"/>
        <v>01</v>
      </c>
    </row>
    <row r="1360" spans="1:7" x14ac:dyDescent="0.6">
      <c r="A1360" t="str">
        <f t="shared" si="84"/>
        <v>20260123_1358</v>
      </c>
      <c r="B1360" s="12">
        <v>46045</v>
      </c>
      <c r="C1360" s="13">
        <v>1358</v>
      </c>
      <c r="D1360" s="4" t="str">
        <f t="shared" si="87"/>
        <v>01</v>
      </c>
      <c r="E1360" s="14">
        <v>0</v>
      </c>
      <c r="F1360">
        <f t="shared" si="85"/>
        <v>22</v>
      </c>
      <c r="G1360" s="41" t="str">
        <f t="shared" si="86"/>
        <v>01</v>
      </c>
    </row>
    <row r="1361" spans="1:7" x14ac:dyDescent="0.6">
      <c r="A1361" t="str">
        <f t="shared" si="84"/>
        <v>20260123_1359</v>
      </c>
      <c r="B1361" s="12">
        <v>46045</v>
      </c>
      <c r="C1361" s="13">
        <v>1359</v>
      </c>
      <c r="D1361" s="4" t="str">
        <f t="shared" si="87"/>
        <v>01</v>
      </c>
      <c r="E1361" s="14">
        <v>0</v>
      </c>
      <c r="F1361">
        <f t="shared" si="85"/>
        <v>22</v>
      </c>
      <c r="G1361" s="41" t="str">
        <f t="shared" si="86"/>
        <v>01</v>
      </c>
    </row>
    <row r="1362" spans="1:7" x14ac:dyDescent="0.6">
      <c r="A1362" t="str">
        <f t="shared" si="84"/>
        <v>20260123_1360</v>
      </c>
      <c r="B1362" s="12">
        <v>46045</v>
      </c>
      <c r="C1362" s="13">
        <v>1360</v>
      </c>
      <c r="D1362" s="4" t="str">
        <f t="shared" si="87"/>
        <v>01</v>
      </c>
      <c r="E1362" s="14">
        <v>0</v>
      </c>
      <c r="F1362">
        <f t="shared" si="85"/>
        <v>22</v>
      </c>
      <c r="G1362" s="41" t="str">
        <f t="shared" si="86"/>
        <v>01</v>
      </c>
    </row>
    <row r="1363" spans="1:7" x14ac:dyDescent="0.6">
      <c r="A1363" t="str">
        <f t="shared" si="84"/>
        <v>20260123_1361</v>
      </c>
      <c r="B1363" s="12">
        <v>46045</v>
      </c>
      <c r="C1363" s="13">
        <v>1361</v>
      </c>
      <c r="D1363" s="4" t="str">
        <f t="shared" si="87"/>
        <v>01</v>
      </c>
      <c r="E1363" s="14">
        <v>0</v>
      </c>
      <c r="F1363">
        <f t="shared" si="85"/>
        <v>22</v>
      </c>
      <c r="G1363" s="41" t="str">
        <f t="shared" si="86"/>
        <v>01</v>
      </c>
    </row>
    <row r="1364" spans="1:7" x14ac:dyDescent="0.6">
      <c r="A1364" t="str">
        <f t="shared" si="84"/>
        <v>20260123_1362</v>
      </c>
      <c r="B1364" s="12">
        <v>46045</v>
      </c>
      <c r="C1364" s="13">
        <v>1362</v>
      </c>
      <c r="D1364" s="4" t="str">
        <f t="shared" si="87"/>
        <v>01</v>
      </c>
      <c r="E1364" s="14">
        <v>0</v>
      </c>
      <c r="F1364">
        <f t="shared" si="85"/>
        <v>22</v>
      </c>
      <c r="G1364" s="41" t="str">
        <f t="shared" si="86"/>
        <v>01</v>
      </c>
    </row>
    <row r="1365" spans="1:7" x14ac:dyDescent="0.6">
      <c r="A1365" t="str">
        <f t="shared" si="84"/>
        <v>20260123_1363</v>
      </c>
      <c r="B1365" s="12">
        <v>46045</v>
      </c>
      <c r="C1365" s="13">
        <v>1363</v>
      </c>
      <c r="D1365" s="4" t="str">
        <f t="shared" si="87"/>
        <v>01</v>
      </c>
      <c r="E1365" s="14">
        <v>0</v>
      </c>
      <c r="F1365">
        <f t="shared" si="85"/>
        <v>22</v>
      </c>
      <c r="G1365" s="41" t="str">
        <f t="shared" si="86"/>
        <v>01</v>
      </c>
    </row>
    <row r="1366" spans="1:7" x14ac:dyDescent="0.6">
      <c r="A1366" t="str">
        <f t="shared" si="84"/>
        <v>20260123_1364</v>
      </c>
      <c r="B1366" s="12">
        <v>46045</v>
      </c>
      <c r="C1366" s="13">
        <v>1364</v>
      </c>
      <c r="D1366" s="4" t="str">
        <f t="shared" si="87"/>
        <v>01</v>
      </c>
      <c r="E1366" s="14">
        <v>0</v>
      </c>
      <c r="F1366">
        <f t="shared" si="85"/>
        <v>22</v>
      </c>
      <c r="G1366" s="41" t="str">
        <f t="shared" si="86"/>
        <v>01</v>
      </c>
    </row>
    <row r="1367" spans="1:7" x14ac:dyDescent="0.6">
      <c r="A1367" t="str">
        <f t="shared" si="84"/>
        <v>20260123_1365</v>
      </c>
      <c r="B1367" s="12">
        <v>46045</v>
      </c>
      <c r="C1367" s="13">
        <v>1365</v>
      </c>
      <c r="D1367" s="4" t="str">
        <f t="shared" si="87"/>
        <v>01</v>
      </c>
      <c r="E1367" s="14">
        <v>0</v>
      </c>
      <c r="F1367">
        <f t="shared" si="85"/>
        <v>22</v>
      </c>
      <c r="G1367" s="41" t="str">
        <f t="shared" si="86"/>
        <v>01</v>
      </c>
    </row>
    <row r="1368" spans="1:7" x14ac:dyDescent="0.6">
      <c r="A1368" t="str">
        <f t="shared" si="84"/>
        <v>20260123_1366</v>
      </c>
      <c r="B1368" s="12">
        <v>46045</v>
      </c>
      <c r="C1368" s="13">
        <v>1366</v>
      </c>
      <c r="D1368" s="4" t="str">
        <f t="shared" si="87"/>
        <v>01</v>
      </c>
      <c r="E1368" s="14">
        <v>0</v>
      </c>
      <c r="F1368">
        <f t="shared" si="85"/>
        <v>22</v>
      </c>
      <c r="G1368" s="41" t="str">
        <f t="shared" si="86"/>
        <v>01</v>
      </c>
    </row>
    <row r="1369" spans="1:7" x14ac:dyDescent="0.6">
      <c r="A1369" t="str">
        <f t="shared" si="84"/>
        <v>20260123_1367</v>
      </c>
      <c r="B1369" s="12">
        <v>46045</v>
      </c>
      <c r="C1369" s="13">
        <v>1367</v>
      </c>
      <c r="D1369" s="4" t="str">
        <f t="shared" si="87"/>
        <v>01</v>
      </c>
      <c r="E1369" s="14">
        <v>0</v>
      </c>
      <c r="F1369">
        <f t="shared" si="85"/>
        <v>22</v>
      </c>
      <c r="G1369" s="41" t="str">
        <f t="shared" si="86"/>
        <v>01</v>
      </c>
    </row>
    <row r="1370" spans="1:7" x14ac:dyDescent="0.6">
      <c r="A1370" t="str">
        <f t="shared" si="84"/>
        <v>20260123_1368</v>
      </c>
      <c r="B1370" s="12">
        <v>46045</v>
      </c>
      <c r="C1370" s="13">
        <v>1368</v>
      </c>
      <c r="D1370" s="4" t="str">
        <f t="shared" si="87"/>
        <v>01</v>
      </c>
      <c r="E1370" s="14">
        <v>0</v>
      </c>
      <c r="F1370">
        <f t="shared" si="85"/>
        <v>22</v>
      </c>
      <c r="G1370" s="41" t="str">
        <f t="shared" si="86"/>
        <v>01</v>
      </c>
    </row>
    <row r="1371" spans="1:7" x14ac:dyDescent="0.6">
      <c r="A1371" t="str">
        <f t="shared" si="84"/>
        <v>20260123_1369</v>
      </c>
      <c r="B1371" s="12">
        <v>46045</v>
      </c>
      <c r="C1371" s="13">
        <v>1369</v>
      </c>
      <c r="D1371" s="4" t="str">
        <f t="shared" si="87"/>
        <v>01</v>
      </c>
      <c r="E1371" s="14">
        <v>0</v>
      </c>
      <c r="F1371">
        <f t="shared" si="85"/>
        <v>22</v>
      </c>
      <c r="G1371" s="41" t="str">
        <f t="shared" si="86"/>
        <v>01</v>
      </c>
    </row>
    <row r="1372" spans="1:7" x14ac:dyDescent="0.6">
      <c r="A1372" t="str">
        <f t="shared" si="84"/>
        <v>20260123_1370</v>
      </c>
      <c r="B1372" s="12">
        <v>46045</v>
      </c>
      <c r="C1372" s="13">
        <v>1370</v>
      </c>
      <c r="D1372" s="4" t="str">
        <f t="shared" si="87"/>
        <v>01</v>
      </c>
      <c r="E1372" s="14">
        <v>0</v>
      </c>
      <c r="F1372">
        <f t="shared" si="85"/>
        <v>22</v>
      </c>
      <c r="G1372" s="41" t="str">
        <f t="shared" si="86"/>
        <v>01</v>
      </c>
    </row>
    <row r="1373" spans="1:7" x14ac:dyDescent="0.6">
      <c r="A1373" t="str">
        <f t="shared" si="84"/>
        <v>20260123_1371</v>
      </c>
      <c r="B1373" s="12">
        <v>46045</v>
      </c>
      <c r="C1373" s="13">
        <v>1371</v>
      </c>
      <c r="D1373" s="4" t="str">
        <f t="shared" si="87"/>
        <v>01</v>
      </c>
      <c r="E1373" s="14">
        <v>0</v>
      </c>
      <c r="F1373">
        <f t="shared" si="85"/>
        <v>22</v>
      </c>
      <c r="G1373" s="41" t="str">
        <f t="shared" si="86"/>
        <v>01</v>
      </c>
    </row>
    <row r="1374" spans="1:7" x14ac:dyDescent="0.6">
      <c r="A1374" t="str">
        <f t="shared" si="84"/>
        <v>20260123_1372</v>
      </c>
      <c r="B1374" s="12">
        <v>46045</v>
      </c>
      <c r="C1374" s="13">
        <v>1372</v>
      </c>
      <c r="D1374" s="4" t="str">
        <f t="shared" si="87"/>
        <v>01</v>
      </c>
      <c r="E1374" s="14">
        <v>0</v>
      </c>
      <c r="F1374">
        <f t="shared" si="85"/>
        <v>22</v>
      </c>
      <c r="G1374" s="41" t="str">
        <f t="shared" si="86"/>
        <v>01</v>
      </c>
    </row>
    <row r="1375" spans="1:7" x14ac:dyDescent="0.6">
      <c r="A1375" t="str">
        <f t="shared" si="84"/>
        <v>20260123_1373</v>
      </c>
      <c r="B1375" s="12">
        <v>46045</v>
      </c>
      <c r="C1375" s="13">
        <v>1373</v>
      </c>
      <c r="D1375" s="4" t="str">
        <f t="shared" si="87"/>
        <v>01</v>
      </c>
      <c r="E1375" s="14">
        <v>0</v>
      </c>
      <c r="F1375">
        <f t="shared" si="85"/>
        <v>22</v>
      </c>
      <c r="G1375" s="41" t="str">
        <f t="shared" si="86"/>
        <v>01</v>
      </c>
    </row>
    <row r="1376" spans="1:7" x14ac:dyDescent="0.6">
      <c r="A1376" t="str">
        <f t="shared" si="84"/>
        <v>20260123_1374</v>
      </c>
      <c r="B1376" s="12">
        <v>46045</v>
      </c>
      <c r="C1376" s="13">
        <v>1374</v>
      </c>
      <c r="D1376" s="4" t="str">
        <f t="shared" si="87"/>
        <v>01</v>
      </c>
      <c r="E1376" s="14">
        <v>0</v>
      </c>
      <c r="F1376">
        <f t="shared" si="85"/>
        <v>22</v>
      </c>
      <c r="G1376" s="41" t="str">
        <f t="shared" si="86"/>
        <v>01</v>
      </c>
    </row>
    <row r="1377" spans="1:7" x14ac:dyDescent="0.6">
      <c r="A1377" t="str">
        <f t="shared" si="84"/>
        <v>20260123_1375</v>
      </c>
      <c r="B1377" s="12">
        <v>46045</v>
      </c>
      <c r="C1377" s="13">
        <v>1375</v>
      </c>
      <c r="D1377" s="4" t="str">
        <f t="shared" si="87"/>
        <v>01</v>
      </c>
      <c r="E1377" s="14">
        <v>0</v>
      </c>
      <c r="F1377">
        <f t="shared" si="85"/>
        <v>22</v>
      </c>
      <c r="G1377" s="41" t="str">
        <f t="shared" si="86"/>
        <v>01</v>
      </c>
    </row>
    <row r="1378" spans="1:7" x14ac:dyDescent="0.6">
      <c r="A1378" t="str">
        <f t="shared" si="84"/>
        <v>20260123_1376</v>
      </c>
      <c r="B1378" s="12">
        <v>46045</v>
      </c>
      <c r="C1378" s="13">
        <v>1376</v>
      </c>
      <c r="D1378" s="4" t="str">
        <f t="shared" si="87"/>
        <v>01</v>
      </c>
      <c r="E1378" s="14">
        <v>0</v>
      </c>
      <c r="F1378">
        <f t="shared" si="85"/>
        <v>22</v>
      </c>
      <c r="G1378" s="41" t="str">
        <f t="shared" si="86"/>
        <v>01</v>
      </c>
    </row>
    <row r="1379" spans="1:7" x14ac:dyDescent="0.6">
      <c r="A1379" t="str">
        <f t="shared" si="84"/>
        <v>20260123_1377</v>
      </c>
      <c r="B1379" s="12">
        <v>46045</v>
      </c>
      <c r="C1379" s="13">
        <v>1377</v>
      </c>
      <c r="D1379" s="4" t="str">
        <f t="shared" si="87"/>
        <v>01</v>
      </c>
      <c r="E1379" s="14">
        <v>0</v>
      </c>
      <c r="F1379">
        <f t="shared" si="85"/>
        <v>22</v>
      </c>
      <c r="G1379" s="41" t="str">
        <f t="shared" si="86"/>
        <v>01</v>
      </c>
    </row>
    <row r="1380" spans="1:7" x14ac:dyDescent="0.6">
      <c r="A1380" t="str">
        <f t="shared" si="84"/>
        <v>20260123_1378</v>
      </c>
      <c r="B1380" s="12">
        <v>46045</v>
      </c>
      <c r="C1380" s="13">
        <v>1378</v>
      </c>
      <c r="D1380" s="4" t="str">
        <f t="shared" si="87"/>
        <v>01</v>
      </c>
      <c r="E1380" s="14">
        <v>0</v>
      </c>
      <c r="F1380">
        <f t="shared" si="85"/>
        <v>22</v>
      </c>
      <c r="G1380" s="41" t="str">
        <f t="shared" si="86"/>
        <v>01</v>
      </c>
    </row>
    <row r="1381" spans="1:7" x14ac:dyDescent="0.6">
      <c r="A1381" t="str">
        <f t="shared" si="84"/>
        <v>20260123_1379</v>
      </c>
      <c r="B1381" s="12">
        <v>46045</v>
      </c>
      <c r="C1381" s="13">
        <v>1379</v>
      </c>
      <c r="D1381" s="4" t="str">
        <f t="shared" si="87"/>
        <v>01</v>
      </c>
      <c r="E1381" s="14">
        <v>5.5000000000000003E-4</v>
      </c>
      <c r="F1381">
        <f t="shared" si="85"/>
        <v>22</v>
      </c>
      <c r="G1381" s="41" t="str">
        <f t="shared" si="86"/>
        <v>01</v>
      </c>
    </row>
    <row r="1382" spans="1:7" x14ac:dyDescent="0.6">
      <c r="A1382" t="str">
        <f t="shared" si="84"/>
        <v>20260123_1380</v>
      </c>
      <c r="B1382" s="12">
        <v>46045</v>
      </c>
      <c r="C1382" s="13">
        <v>1380</v>
      </c>
      <c r="D1382" s="4" t="str">
        <f t="shared" si="87"/>
        <v>01</v>
      </c>
      <c r="E1382" s="14">
        <v>0</v>
      </c>
      <c r="F1382">
        <f t="shared" si="85"/>
        <v>23</v>
      </c>
      <c r="G1382" s="41" t="str">
        <f t="shared" si="86"/>
        <v>01</v>
      </c>
    </row>
    <row r="1383" spans="1:7" x14ac:dyDescent="0.6">
      <c r="A1383" t="str">
        <f t="shared" si="84"/>
        <v>20260123_1381</v>
      </c>
      <c r="B1383" s="12">
        <v>46045</v>
      </c>
      <c r="C1383" s="13">
        <v>1381</v>
      </c>
      <c r="D1383" s="4" t="str">
        <f t="shared" si="87"/>
        <v>01</v>
      </c>
      <c r="E1383" s="14">
        <v>0</v>
      </c>
      <c r="F1383">
        <f t="shared" si="85"/>
        <v>23</v>
      </c>
      <c r="G1383" s="41" t="str">
        <f t="shared" si="86"/>
        <v>01</v>
      </c>
    </row>
    <row r="1384" spans="1:7" x14ac:dyDescent="0.6">
      <c r="A1384" t="str">
        <f t="shared" si="84"/>
        <v>20260123_1382</v>
      </c>
      <c r="B1384" s="12">
        <v>46045</v>
      </c>
      <c r="C1384" s="13">
        <v>1382</v>
      </c>
      <c r="D1384" s="4" t="str">
        <f t="shared" si="87"/>
        <v>01</v>
      </c>
      <c r="E1384" s="14">
        <v>0</v>
      </c>
      <c r="F1384">
        <f t="shared" si="85"/>
        <v>23</v>
      </c>
      <c r="G1384" s="41" t="str">
        <f t="shared" si="86"/>
        <v>01</v>
      </c>
    </row>
    <row r="1385" spans="1:7" x14ac:dyDescent="0.6">
      <c r="A1385" t="str">
        <f t="shared" si="84"/>
        <v>20260123_1383</v>
      </c>
      <c r="B1385" s="12">
        <v>46045</v>
      </c>
      <c r="C1385" s="13">
        <v>1383</v>
      </c>
      <c r="D1385" s="4" t="str">
        <f t="shared" si="87"/>
        <v>01</v>
      </c>
      <c r="E1385" s="14">
        <v>0</v>
      </c>
      <c r="F1385">
        <f t="shared" si="85"/>
        <v>23</v>
      </c>
      <c r="G1385" s="41" t="str">
        <f t="shared" si="86"/>
        <v>01</v>
      </c>
    </row>
    <row r="1386" spans="1:7" x14ac:dyDescent="0.6">
      <c r="A1386" t="str">
        <f t="shared" si="84"/>
        <v>20260123_1384</v>
      </c>
      <c r="B1386" s="12">
        <v>46045</v>
      </c>
      <c r="C1386" s="13">
        <v>1384</v>
      </c>
      <c r="D1386" s="4" t="str">
        <f t="shared" si="87"/>
        <v>01</v>
      </c>
      <c r="E1386" s="14">
        <v>0</v>
      </c>
      <c r="F1386">
        <f t="shared" si="85"/>
        <v>23</v>
      </c>
      <c r="G1386" s="41" t="str">
        <f t="shared" si="86"/>
        <v>01</v>
      </c>
    </row>
    <row r="1387" spans="1:7" x14ac:dyDescent="0.6">
      <c r="A1387" t="str">
        <f t="shared" si="84"/>
        <v>20260123_1385</v>
      </c>
      <c r="B1387" s="12">
        <v>46045</v>
      </c>
      <c r="C1387" s="13">
        <v>1385</v>
      </c>
      <c r="D1387" s="4" t="str">
        <f t="shared" si="87"/>
        <v>01</v>
      </c>
      <c r="E1387" s="14">
        <v>0</v>
      </c>
      <c r="F1387">
        <f t="shared" si="85"/>
        <v>23</v>
      </c>
      <c r="G1387" s="41" t="str">
        <f t="shared" si="86"/>
        <v>01</v>
      </c>
    </row>
    <row r="1388" spans="1:7" x14ac:dyDescent="0.6">
      <c r="A1388" t="str">
        <f t="shared" si="84"/>
        <v>20260123_1386</v>
      </c>
      <c r="B1388" s="12">
        <v>46045</v>
      </c>
      <c r="C1388" s="13">
        <v>1386</v>
      </c>
      <c r="D1388" s="4" t="str">
        <f t="shared" si="87"/>
        <v>01</v>
      </c>
      <c r="E1388" s="14">
        <v>5.8900000000000001E-4</v>
      </c>
      <c r="F1388">
        <f t="shared" si="85"/>
        <v>23</v>
      </c>
      <c r="G1388" s="41" t="str">
        <f t="shared" si="86"/>
        <v>01</v>
      </c>
    </row>
    <row r="1389" spans="1:7" x14ac:dyDescent="0.6">
      <c r="A1389" t="str">
        <f t="shared" si="84"/>
        <v>20260123_1387</v>
      </c>
      <c r="B1389" s="12">
        <v>46045</v>
      </c>
      <c r="C1389" s="13">
        <v>1387</v>
      </c>
      <c r="D1389" s="4" t="str">
        <f t="shared" si="87"/>
        <v>01</v>
      </c>
      <c r="E1389" s="14">
        <v>0</v>
      </c>
      <c r="F1389">
        <f t="shared" si="85"/>
        <v>23</v>
      </c>
      <c r="G1389" s="41" t="str">
        <f t="shared" si="86"/>
        <v>01</v>
      </c>
    </row>
    <row r="1390" spans="1:7" x14ac:dyDescent="0.6">
      <c r="A1390" t="str">
        <f t="shared" si="84"/>
        <v>20260123_1388</v>
      </c>
      <c r="B1390" s="12">
        <v>46045</v>
      </c>
      <c r="C1390" s="13">
        <v>1388</v>
      </c>
      <c r="D1390" s="4" t="str">
        <f t="shared" si="87"/>
        <v>01</v>
      </c>
      <c r="E1390" s="14">
        <v>0</v>
      </c>
      <c r="F1390">
        <f t="shared" si="85"/>
        <v>23</v>
      </c>
      <c r="G1390" s="41" t="str">
        <f t="shared" si="86"/>
        <v>01</v>
      </c>
    </row>
    <row r="1391" spans="1:7" x14ac:dyDescent="0.6">
      <c r="A1391" t="str">
        <f t="shared" si="84"/>
        <v>20260123_1389</v>
      </c>
      <c r="B1391" s="12">
        <v>46045</v>
      </c>
      <c r="C1391" s="13">
        <v>1389</v>
      </c>
      <c r="D1391" s="4" t="str">
        <f t="shared" si="87"/>
        <v>01</v>
      </c>
      <c r="E1391" s="14">
        <v>0</v>
      </c>
      <c r="F1391">
        <f t="shared" si="85"/>
        <v>23</v>
      </c>
      <c r="G1391" s="41" t="str">
        <f t="shared" si="86"/>
        <v>01</v>
      </c>
    </row>
    <row r="1392" spans="1:7" x14ac:dyDescent="0.6">
      <c r="A1392" t="str">
        <f t="shared" si="84"/>
        <v>20260123_1390</v>
      </c>
      <c r="B1392" s="12">
        <v>46045</v>
      </c>
      <c r="C1392" s="13">
        <v>1390</v>
      </c>
      <c r="D1392" s="4" t="str">
        <f t="shared" si="87"/>
        <v>01</v>
      </c>
      <c r="E1392" s="14">
        <v>0</v>
      </c>
      <c r="F1392">
        <f t="shared" si="85"/>
        <v>23</v>
      </c>
      <c r="G1392" s="41" t="str">
        <f t="shared" si="86"/>
        <v>01</v>
      </c>
    </row>
    <row r="1393" spans="1:7" x14ac:dyDescent="0.6">
      <c r="A1393" t="str">
        <f t="shared" si="84"/>
        <v>20260123_1391</v>
      </c>
      <c r="B1393" s="12">
        <v>46045</v>
      </c>
      <c r="C1393" s="13">
        <v>1391</v>
      </c>
      <c r="D1393" s="4" t="str">
        <f t="shared" si="87"/>
        <v>01</v>
      </c>
      <c r="E1393" s="14">
        <v>5.3300000000000005E-4</v>
      </c>
      <c r="F1393">
        <f t="shared" si="85"/>
        <v>23</v>
      </c>
      <c r="G1393" s="41" t="str">
        <f t="shared" si="86"/>
        <v>01</v>
      </c>
    </row>
    <row r="1394" spans="1:7" x14ac:dyDescent="0.6">
      <c r="A1394" t="str">
        <f t="shared" si="84"/>
        <v>20260123_1392</v>
      </c>
      <c r="B1394" s="12">
        <v>46045</v>
      </c>
      <c r="C1394" s="13">
        <v>1392</v>
      </c>
      <c r="D1394" s="4" t="str">
        <f t="shared" si="87"/>
        <v>1E</v>
      </c>
      <c r="E1394" s="14">
        <v>3.8099999999999999E-4</v>
      </c>
      <c r="F1394">
        <f t="shared" si="85"/>
        <v>23</v>
      </c>
      <c r="G1394" s="41" t="str">
        <f t="shared" si="86"/>
        <v>1E</v>
      </c>
    </row>
    <row r="1395" spans="1:7" x14ac:dyDescent="0.6">
      <c r="A1395" t="str">
        <f t="shared" si="84"/>
        <v>20260123_1393</v>
      </c>
      <c r="B1395" s="12">
        <v>46045</v>
      </c>
      <c r="C1395" s="13">
        <v>1393</v>
      </c>
      <c r="D1395" s="4" t="str">
        <f t="shared" si="87"/>
        <v>1E</v>
      </c>
      <c r="E1395" s="14">
        <v>0</v>
      </c>
      <c r="F1395">
        <f t="shared" si="85"/>
        <v>23</v>
      </c>
      <c r="G1395" s="41" t="str">
        <f t="shared" si="86"/>
        <v>1E</v>
      </c>
    </row>
    <row r="1396" spans="1:7" x14ac:dyDescent="0.6">
      <c r="A1396" t="str">
        <f t="shared" si="84"/>
        <v>20260123_1394</v>
      </c>
      <c r="B1396" s="12">
        <v>46045</v>
      </c>
      <c r="C1396" s="13">
        <v>1394</v>
      </c>
      <c r="D1396" s="4" t="str">
        <f t="shared" si="87"/>
        <v>01</v>
      </c>
      <c r="E1396" s="14">
        <v>0</v>
      </c>
      <c r="F1396">
        <f t="shared" si="85"/>
        <v>23</v>
      </c>
      <c r="G1396" s="41" t="str">
        <f t="shared" si="86"/>
        <v>01</v>
      </c>
    </row>
    <row r="1397" spans="1:7" x14ac:dyDescent="0.6">
      <c r="A1397" t="str">
        <f t="shared" si="84"/>
        <v>20260123_1395</v>
      </c>
      <c r="B1397" s="12">
        <v>46045</v>
      </c>
      <c r="C1397" s="13">
        <v>1395</v>
      </c>
      <c r="D1397" s="4" t="str">
        <f t="shared" si="87"/>
        <v>01</v>
      </c>
      <c r="E1397" s="14">
        <v>0</v>
      </c>
      <c r="F1397">
        <f t="shared" si="85"/>
        <v>23</v>
      </c>
      <c r="G1397" s="41" t="str">
        <f t="shared" si="86"/>
        <v>01</v>
      </c>
    </row>
    <row r="1398" spans="1:7" x14ac:dyDescent="0.6">
      <c r="A1398" t="str">
        <f t="shared" si="84"/>
        <v>20260123_1396</v>
      </c>
      <c r="B1398" s="12">
        <v>46045</v>
      </c>
      <c r="C1398" s="13">
        <v>1396</v>
      </c>
      <c r="D1398" s="4" t="str">
        <f t="shared" si="87"/>
        <v>01</v>
      </c>
      <c r="E1398" s="14">
        <v>0</v>
      </c>
      <c r="F1398">
        <f t="shared" si="85"/>
        <v>23</v>
      </c>
      <c r="G1398" s="41" t="str">
        <f t="shared" si="86"/>
        <v>01</v>
      </c>
    </row>
    <row r="1399" spans="1:7" x14ac:dyDescent="0.6">
      <c r="A1399" t="str">
        <f t="shared" si="84"/>
        <v>20260123_1397</v>
      </c>
      <c r="B1399" s="12">
        <v>46045</v>
      </c>
      <c r="C1399" s="13">
        <v>1397</v>
      </c>
      <c r="D1399" s="4" t="str">
        <f t="shared" si="87"/>
        <v>01</v>
      </c>
      <c r="E1399" s="14">
        <v>0</v>
      </c>
      <c r="F1399">
        <f t="shared" si="85"/>
        <v>23</v>
      </c>
      <c r="G1399" s="41" t="str">
        <f t="shared" si="86"/>
        <v>01</v>
      </c>
    </row>
    <row r="1400" spans="1:7" x14ac:dyDescent="0.6">
      <c r="A1400" t="str">
        <f t="shared" si="84"/>
        <v>20260123_1398</v>
      </c>
      <c r="B1400" s="12">
        <v>46045</v>
      </c>
      <c r="C1400" s="13">
        <v>1398</v>
      </c>
      <c r="D1400" s="4" t="str">
        <f t="shared" si="87"/>
        <v>01</v>
      </c>
      <c r="E1400" s="14">
        <v>0</v>
      </c>
      <c r="F1400">
        <f t="shared" si="85"/>
        <v>23</v>
      </c>
      <c r="G1400" s="41" t="str">
        <f t="shared" si="86"/>
        <v>01</v>
      </c>
    </row>
    <row r="1401" spans="1:7" x14ac:dyDescent="0.6">
      <c r="A1401" t="str">
        <f t="shared" si="84"/>
        <v>20260123_1399</v>
      </c>
      <c r="B1401" s="12">
        <v>46045</v>
      </c>
      <c r="C1401" s="13">
        <v>1399</v>
      </c>
      <c r="D1401" s="4" t="str">
        <f t="shared" si="87"/>
        <v>01</v>
      </c>
      <c r="E1401" s="14">
        <v>0</v>
      </c>
      <c r="F1401">
        <f t="shared" si="85"/>
        <v>23</v>
      </c>
      <c r="G1401" s="41" t="str">
        <f t="shared" si="86"/>
        <v>01</v>
      </c>
    </row>
    <row r="1402" spans="1:7" x14ac:dyDescent="0.6">
      <c r="A1402" t="str">
        <f t="shared" si="84"/>
        <v>20260123_1400</v>
      </c>
      <c r="B1402" s="12">
        <v>46045</v>
      </c>
      <c r="C1402" s="13">
        <v>1400</v>
      </c>
      <c r="D1402" s="4" t="str">
        <f t="shared" si="87"/>
        <v>01</v>
      </c>
      <c r="E1402" s="14">
        <v>0</v>
      </c>
      <c r="F1402">
        <f t="shared" si="85"/>
        <v>23</v>
      </c>
      <c r="G1402" s="41" t="str">
        <f t="shared" si="86"/>
        <v>01</v>
      </c>
    </row>
    <row r="1403" spans="1:7" x14ac:dyDescent="0.6">
      <c r="A1403" t="str">
        <f t="shared" si="84"/>
        <v>20260123_1401</v>
      </c>
      <c r="B1403" s="12">
        <v>46045</v>
      </c>
      <c r="C1403" s="13">
        <v>1401</v>
      </c>
      <c r="D1403" s="4" t="str">
        <f t="shared" si="87"/>
        <v>01</v>
      </c>
      <c r="E1403" s="14">
        <v>0</v>
      </c>
      <c r="F1403">
        <f t="shared" si="85"/>
        <v>23</v>
      </c>
      <c r="G1403" s="41" t="str">
        <f t="shared" si="86"/>
        <v>01</v>
      </c>
    </row>
    <row r="1404" spans="1:7" x14ac:dyDescent="0.6">
      <c r="A1404" t="str">
        <f t="shared" si="84"/>
        <v>20260123_1402</v>
      </c>
      <c r="B1404" s="12">
        <v>46045</v>
      </c>
      <c r="C1404" s="13">
        <v>1402</v>
      </c>
      <c r="D1404" s="4" t="str">
        <f t="shared" si="87"/>
        <v>01</v>
      </c>
      <c r="E1404" s="14">
        <v>3.9199999999999999E-4</v>
      </c>
      <c r="F1404">
        <f t="shared" si="85"/>
        <v>23</v>
      </c>
      <c r="G1404" s="41" t="str">
        <f t="shared" si="86"/>
        <v>01</v>
      </c>
    </row>
    <row r="1405" spans="1:7" x14ac:dyDescent="0.6">
      <c r="A1405" t="str">
        <f t="shared" si="84"/>
        <v>20260123_1403</v>
      </c>
      <c r="B1405" s="12">
        <v>46045</v>
      </c>
      <c r="C1405" s="13">
        <v>1403</v>
      </c>
      <c r="D1405" s="4" t="str">
        <f t="shared" si="87"/>
        <v>01</v>
      </c>
      <c r="E1405" s="14">
        <v>0</v>
      </c>
      <c r="F1405">
        <f t="shared" si="85"/>
        <v>23</v>
      </c>
      <c r="G1405" s="41" t="str">
        <f t="shared" si="86"/>
        <v>01</v>
      </c>
    </row>
    <row r="1406" spans="1:7" x14ac:dyDescent="0.6">
      <c r="A1406" t="str">
        <f t="shared" si="84"/>
        <v>20260123_1404</v>
      </c>
      <c r="B1406" s="12">
        <v>46045</v>
      </c>
      <c r="C1406" s="13">
        <v>1404</v>
      </c>
      <c r="D1406" s="4" t="str">
        <f t="shared" si="87"/>
        <v>01</v>
      </c>
      <c r="E1406" s="14">
        <v>0</v>
      </c>
      <c r="F1406">
        <f t="shared" si="85"/>
        <v>23</v>
      </c>
      <c r="G1406" s="41" t="str">
        <f t="shared" si="86"/>
        <v>01</v>
      </c>
    </row>
    <row r="1407" spans="1:7" x14ac:dyDescent="0.6">
      <c r="A1407" t="str">
        <f t="shared" si="84"/>
        <v>20260123_1405</v>
      </c>
      <c r="B1407" s="12">
        <v>46045</v>
      </c>
      <c r="C1407" s="13">
        <v>1405</v>
      </c>
      <c r="D1407" s="4" t="str">
        <f t="shared" si="87"/>
        <v>01</v>
      </c>
      <c r="E1407" s="14">
        <v>0</v>
      </c>
      <c r="F1407">
        <f t="shared" si="85"/>
        <v>23</v>
      </c>
      <c r="G1407" s="41" t="str">
        <f t="shared" si="86"/>
        <v>01</v>
      </c>
    </row>
    <row r="1408" spans="1:7" x14ac:dyDescent="0.6">
      <c r="A1408" t="str">
        <f t="shared" si="84"/>
        <v>20260123_1406</v>
      </c>
      <c r="B1408" s="12">
        <v>46045</v>
      </c>
      <c r="C1408" s="13">
        <v>1406</v>
      </c>
      <c r="D1408" s="4" t="str">
        <f t="shared" si="87"/>
        <v>01</v>
      </c>
      <c r="E1408" s="14">
        <v>0</v>
      </c>
      <c r="F1408">
        <f t="shared" si="85"/>
        <v>23</v>
      </c>
      <c r="G1408" s="41" t="str">
        <f t="shared" si="86"/>
        <v>01</v>
      </c>
    </row>
    <row r="1409" spans="1:7" x14ac:dyDescent="0.6">
      <c r="A1409" t="str">
        <f t="shared" si="84"/>
        <v>20260123_1407</v>
      </c>
      <c r="B1409" s="12">
        <v>46045</v>
      </c>
      <c r="C1409" s="13">
        <v>1407</v>
      </c>
      <c r="D1409" s="4" t="str">
        <f t="shared" si="87"/>
        <v>01</v>
      </c>
      <c r="E1409" s="14">
        <v>0</v>
      </c>
      <c r="F1409">
        <f t="shared" si="85"/>
        <v>23</v>
      </c>
      <c r="G1409" s="41" t="str">
        <f t="shared" si="86"/>
        <v>01</v>
      </c>
    </row>
    <row r="1410" spans="1:7" x14ac:dyDescent="0.6">
      <c r="A1410" t="str">
        <f t="shared" ref="A1410:A1441" si="88">IF(B1410="","",TEXT(B1410,"yyyymmdd")&amp;"_"&amp;TEXT(C1410,"0000"))</f>
        <v>20260123_1408</v>
      </c>
      <c r="B1410" s="12">
        <v>46045</v>
      </c>
      <c r="C1410" s="13">
        <v>1408</v>
      </c>
      <c r="D1410" s="4" t="str">
        <f t="shared" si="87"/>
        <v>01</v>
      </c>
      <c r="E1410" s="14">
        <v>0</v>
      </c>
      <c r="F1410">
        <f t="shared" ref="F1410:F1441" si="89">IF(C1410="","",INT(C1410/60))</f>
        <v>23</v>
      </c>
      <c r="G1410" s="41" t="str">
        <f t="shared" ref="G1410:G1441" si="90">IF(D1410="","",IF(LEN(UPPER(SUBSTITUTE(SUBSTITUTE(TRIM(D1410),CHAR(160),"")," ","")))=1,"0"&amp;UPPER(SUBSTITUTE(SUBSTITUTE(TRIM(D1410),CHAR(160),"")," ","")),UPPER(SUBSTITUTE(SUBSTITUTE(TRIM(D1410),CHAR(160),"")," ",""))))</f>
        <v>01</v>
      </c>
    </row>
    <row r="1411" spans="1:7" x14ac:dyDescent="0.6">
      <c r="A1411" t="str">
        <f t="shared" si="88"/>
        <v>20260123_1409</v>
      </c>
      <c r="B1411" s="12">
        <v>46045</v>
      </c>
      <c r="C1411" s="13">
        <v>1409</v>
      </c>
      <c r="D1411" s="4" t="str">
        <f t="shared" ref="D1411:D1441" si="91">MID(I$1,$C1411*2+1,2)</f>
        <v>01</v>
      </c>
      <c r="E1411" s="14">
        <v>0</v>
      </c>
      <c r="F1411">
        <f t="shared" si="89"/>
        <v>23</v>
      </c>
      <c r="G1411" s="41" t="str">
        <f t="shared" si="90"/>
        <v>01</v>
      </c>
    </row>
    <row r="1412" spans="1:7" x14ac:dyDescent="0.6">
      <c r="A1412" t="str">
        <f t="shared" si="88"/>
        <v>20260123_1410</v>
      </c>
      <c r="B1412" s="12">
        <v>46045</v>
      </c>
      <c r="C1412" s="13">
        <v>1410</v>
      </c>
      <c r="D1412" s="4" t="str">
        <f t="shared" si="91"/>
        <v>01</v>
      </c>
      <c r="E1412" s="14">
        <v>0</v>
      </c>
      <c r="F1412">
        <f t="shared" si="89"/>
        <v>23</v>
      </c>
      <c r="G1412" s="41" t="str">
        <f t="shared" si="90"/>
        <v>01</v>
      </c>
    </row>
    <row r="1413" spans="1:7" x14ac:dyDescent="0.6">
      <c r="A1413" t="str">
        <f t="shared" si="88"/>
        <v>20260123_1411</v>
      </c>
      <c r="B1413" s="12">
        <v>46045</v>
      </c>
      <c r="C1413" s="13">
        <v>1411</v>
      </c>
      <c r="D1413" s="4" t="str">
        <f t="shared" si="91"/>
        <v>14</v>
      </c>
      <c r="E1413" s="14">
        <v>0</v>
      </c>
      <c r="F1413">
        <f t="shared" si="89"/>
        <v>23</v>
      </c>
      <c r="G1413" s="41" t="str">
        <f t="shared" si="90"/>
        <v>14</v>
      </c>
    </row>
    <row r="1414" spans="1:7" x14ac:dyDescent="0.6">
      <c r="A1414" t="str">
        <f t="shared" si="88"/>
        <v>20260123_1412</v>
      </c>
      <c r="B1414" s="12">
        <v>46045</v>
      </c>
      <c r="C1414" s="13">
        <v>1412</v>
      </c>
      <c r="D1414" s="4" t="str">
        <f t="shared" si="91"/>
        <v>0A</v>
      </c>
      <c r="E1414" s="14">
        <v>0</v>
      </c>
      <c r="F1414">
        <f t="shared" si="89"/>
        <v>23</v>
      </c>
      <c r="G1414" s="41" t="str">
        <f t="shared" si="90"/>
        <v>0A</v>
      </c>
    </row>
    <row r="1415" spans="1:7" x14ac:dyDescent="0.6">
      <c r="A1415" t="str">
        <f t="shared" si="88"/>
        <v>20260123_1413</v>
      </c>
      <c r="B1415" s="12">
        <v>46045</v>
      </c>
      <c r="C1415" s="13">
        <v>1413</v>
      </c>
      <c r="D1415" s="4" t="str">
        <f t="shared" si="91"/>
        <v>0A</v>
      </c>
      <c r="E1415" s="14">
        <v>3.9599999999999998E-4</v>
      </c>
      <c r="F1415">
        <f t="shared" si="89"/>
        <v>23</v>
      </c>
      <c r="G1415" s="41" t="str">
        <f t="shared" si="90"/>
        <v>0A</v>
      </c>
    </row>
    <row r="1416" spans="1:7" x14ac:dyDescent="0.6">
      <c r="A1416" t="str">
        <f t="shared" si="88"/>
        <v>20260123_1414</v>
      </c>
      <c r="B1416" s="12">
        <v>46045</v>
      </c>
      <c r="C1416" s="13">
        <v>1414</v>
      </c>
      <c r="D1416" s="4" t="str">
        <f t="shared" si="91"/>
        <v>1E</v>
      </c>
      <c r="E1416" s="14">
        <v>0</v>
      </c>
      <c r="F1416">
        <f t="shared" si="89"/>
        <v>23</v>
      </c>
      <c r="G1416" s="41" t="str">
        <f t="shared" si="90"/>
        <v>1E</v>
      </c>
    </row>
    <row r="1417" spans="1:7" x14ac:dyDescent="0.6">
      <c r="A1417" t="str">
        <f t="shared" si="88"/>
        <v>20260123_1415</v>
      </c>
      <c r="B1417" s="12">
        <v>46045</v>
      </c>
      <c r="C1417" s="13">
        <v>1415</v>
      </c>
      <c r="D1417" s="4" t="str">
        <f t="shared" si="91"/>
        <v>0A</v>
      </c>
      <c r="E1417" s="14">
        <v>0</v>
      </c>
      <c r="F1417">
        <f t="shared" si="89"/>
        <v>23</v>
      </c>
      <c r="G1417" s="41" t="str">
        <f t="shared" si="90"/>
        <v>0A</v>
      </c>
    </row>
    <row r="1418" spans="1:7" x14ac:dyDescent="0.6">
      <c r="A1418" t="str">
        <f t="shared" si="88"/>
        <v>20260123_1416</v>
      </c>
      <c r="B1418" s="12">
        <v>46045</v>
      </c>
      <c r="C1418" s="13">
        <v>1416</v>
      </c>
      <c r="D1418" s="4" t="str">
        <f t="shared" si="91"/>
        <v>0A</v>
      </c>
      <c r="E1418" s="14">
        <v>0</v>
      </c>
      <c r="F1418">
        <f t="shared" si="89"/>
        <v>23</v>
      </c>
      <c r="G1418" s="41" t="str">
        <f t="shared" si="90"/>
        <v>0A</v>
      </c>
    </row>
    <row r="1419" spans="1:7" x14ac:dyDescent="0.6">
      <c r="A1419" t="str">
        <f t="shared" si="88"/>
        <v>20260123_1417</v>
      </c>
      <c r="B1419" s="12">
        <v>46045</v>
      </c>
      <c r="C1419" s="13">
        <v>1417</v>
      </c>
      <c r="D1419" s="4" t="str">
        <f t="shared" si="91"/>
        <v>0A</v>
      </c>
      <c r="E1419" s="14">
        <v>4.6900000000000002E-4</v>
      </c>
      <c r="F1419">
        <f t="shared" si="89"/>
        <v>23</v>
      </c>
      <c r="G1419" s="41" t="str">
        <f t="shared" si="90"/>
        <v>0A</v>
      </c>
    </row>
    <row r="1420" spans="1:7" x14ac:dyDescent="0.6">
      <c r="A1420" t="str">
        <f t="shared" si="88"/>
        <v>20260123_1418</v>
      </c>
      <c r="B1420" s="12">
        <v>46045</v>
      </c>
      <c r="C1420" s="13">
        <v>1418</v>
      </c>
      <c r="D1420" s="4" t="str">
        <f t="shared" si="91"/>
        <v>0A</v>
      </c>
      <c r="E1420" s="14">
        <v>3.3799999999999998E-4</v>
      </c>
      <c r="F1420">
        <f t="shared" si="89"/>
        <v>23</v>
      </c>
      <c r="G1420" s="41" t="str">
        <f t="shared" si="90"/>
        <v>0A</v>
      </c>
    </row>
    <row r="1421" spans="1:7" x14ac:dyDescent="0.6">
      <c r="A1421" t="str">
        <f t="shared" si="88"/>
        <v>20260123_1419</v>
      </c>
      <c r="B1421" s="12">
        <v>46045</v>
      </c>
      <c r="C1421" s="13">
        <v>1419</v>
      </c>
      <c r="D1421" s="4" t="str">
        <f t="shared" si="91"/>
        <v>0A</v>
      </c>
      <c r="E1421" s="14">
        <v>5.3700000000000004E-4</v>
      </c>
      <c r="F1421">
        <f t="shared" si="89"/>
        <v>23</v>
      </c>
      <c r="G1421" s="41" t="str">
        <f t="shared" si="90"/>
        <v>0A</v>
      </c>
    </row>
    <row r="1422" spans="1:7" x14ac:dyDescent="0.6">
      <c r="A1422" t="str">
        <f t="shared" si="88"/>
        <v>20260123_1420</v>
      </c>
      <c r="B1422" s="12">
        <v>46045</v>
      </c>
      <c r="C1422" s="13">
        <v>1420</v>
      </c>
      <c r="D1422" s="4" t="str">
        <f t="shared" si="91"/>
        <v>0A</v>
      </c>
      <c r="E1422" s="14">
        <v>0</v>
      </c>
      <c r="F1422">
        <f t="shared" si="89"/>
        <v>23</v>
      </c>
      <c r="G1422" s="41" t="str">
        <f t="shared" si="90"/>
        <v>0A</v>
      </c>
    </row>
    <row r="1423" spans="1:7" x14ac:dyDescent="0.6">
      <c r="A1423" t="str">
        <f t="shared" si="88"/>
        <v>20260123_1421</v>
      </c>
      <c r="B1423" s="12">
        <v>46045</v>
      </c>
      <c r="C1423" s="13">
        <v>1421</v>
      </c>
      <c r="D1423" s="4" t="str">
        <f t="shared" si="91"/>
        <v>01</v>
      </c>
      <c r="E1423" s="14">
        <v>5.2300000000000003E-4</v>
      </c>
      <c r="F1423">
        <f t="shared" si="89"/>
        <v>23</v>
      </c>
      <c r="G1423" s="41" t="str">
        <f t="shared" si="90"/>
        <v>01</v>
      </c>
    </row>
    <row r="1424" spans="1:7" x14ac:dyDescent="0.6">
      <c r="A1424" t="str">
        <f t="shared" si="88"/>
        <v>20260123_1422</v>
      </c>
      <c r="B1424" s="12">
        <v>46045</v>
      </c>
      <c r="C1424" s="13">
        <v>1422</v>
      </c>
      <c r="D1424" s="4" t="str">
        <f t="shared" si="91"/>
        <v>01</v>
      </c>
      <c r="E1424" s="14">
        <v>0</v>
      </c>
      <c r="F1424">
        <f t="shared" si="89"/>
        <v>23</v>
      </c>
      <c r="G1424" s="41" t="str">
        <f t="shared" si="90"/>
        <v>01</v>
      </c>
    </row>
    <row r="1425" spans="1:7" x14ac:dyDescent="0.6">
      <c r="A1425" t="str">
        <f t="shared" si="88"/>
        <v>20260123_1423</v>
      </c>
      <c r="B1425" s="12">
        <v>46045</v>
      </c>
      <c r="C1425" s="13">
        <v>1423</v>
      </c>
      <c r="D1425" s="4" t="str">
        <f t="shared" si="91"/>
        <v>01</v>
      </c>
      <c r="E1425" s="14">
        <v>7.9799999999999999E-4</v>
      </c>
      <c r="F1425">
        <f t="shared" si="89"/>
        <v>23</v>
      </c>
      <c r="G1425" s="41" t="str">
        <f t="shared" si="90"/>
        <v>01</v>
      </c>
    </row>
    <row r="1426" spans="1:7" x14ac:dyDescent="0.6">
      <c r="A1426" t="str">
        <f t="shared" si="88"/>
        <v>20260123_1424</v>
      </c>
      <c r="B1426" s="12">
        <v>46045</v>
      </c>
      <c r="C1426" s="13">
        <v>1424</v>
      </c>
      <c r="D1426" s="4" t="str">
        <f t="shared" si="91"/>
        <v>01</v>
      </c>
      <c r="E1426" s="14">
        <v>3.3E-4</v>
      </c>
      <c r="F1426">
        <f t="shared" si="89"/>
        <v>23</v>
      </c>
      <c r="G1426" s="41" t="str">
        <f t="shared" si="90"/>
        <v>01</v>
      </c>
    </row>
    <row r="1427" spans="1:7" x14ac:dyDescent="0.6">
      <c r="A1427" t="str">
        <f t="shared" si="88"/>
        <v>20260123_1425</v>
      </c>
      <c r="B1427" s="12">
        <v>46045</v>
      </c>
      <c r="C1427" s="13">
        <v>1425</v>
      </c>
      <c r="D1427" s="4" t="str">
        <f t="shared" si="91"/>
        <v>0A</v>
      </c>
      <c r="E1427" s="14">
        <v>0</v>
      </c>
      <c r="F1427">
        <f t="shared" si="89"/>
        <v>23</v>
      </c>
      <c r="G1427" s="41" t="str">
        <f t="shared" si="90"/>
        <v>0A</v>
      </c>
    </row>
    <row r="1428" spans="1:7" x14ac:dyDescent="0.6">
      <c r="A1428" t="str">
        <f t="shared" si="88"/>
        <v>20260123_1426</v>
      </c>
      <c r="B1428" s="12">
        <v>46045</v>
      </c>
      <c r="C1428" s="13">
        <v>1426</v>
      </c>
      <c r="D1428" s="4" t="str">
        <f t="shared" si="91"/>
        <v>0A</v>
      </c>
      <c r="E1428" s="14">
        <v>2.6499999999999999E-4</v>
      </c>
      <c r="F1428">
        <f t="shared" si="89"/>
        <v>23</v>
      </c>
      <c r="G1428" s="41" t="str">
        <f t="shared" si="90"/>
        <v>0A</v>
      </c>
    </row>
    <row r="1429" spans="1:7" x14ac:dyDescent="0.6">
      <c r="A1429" t="str">
        <f t="shared" si="88"/>
        <v>20260123_1427</v>
      </c>
      <c r="B1429" s="12">
        <v>46045</v>
      </c>
      <c r="C1429" s="13">
        <v>1427</v>
      </c>
      <c r="D1429" s="4" t="str">
        <f t="shared" si="91"/>
        <v>0A</v>
      </c>
      <c r="E1429" s="14">
        <v>0</v>
      </c>
      <c r="F1429">
        <f t="shared" si="89"/>
        <v>23</v>
      </c>
      <c r="G1429" s="41" t="str">
        <f t="shared" si="90"/>
        <v>0A</v>
      </c>
    </row>
    <row r="1430" spans="1:7" x14ac:dyDescent="0.6">
      <c r="A1430" t="str">
        <f t="shared" si="88"/>
        <v>20260123_1428</v>
      </c>
      <c r="B1430" s="12">
        <v>46045</v>
      </c>
      <c r="C1430" s="13">
        <v>1428</v>
      </c>
      <c r="D1430" s="4" t="str">
        <f t="shared" si="91"/>
        <v>01</v>
      </c>
      <c r="E1430" s="14">
        <v>3.39E-4</v>
      </c>
      <c r="F1430">
        <f t="shared" si="89"/>
        <v>23</v>
      </c>
      <c r="G1430" s="41" t="str">
        <f t="shared" si="90"/>
        <v>01</v>
      </c>
    </row>
    <row r="1431" spans="1:7" x14ac:dyDescent="0.6">
      <c r="A1431" t="str">
        <f t="shared" si="88"/>
        <v>20260123_1429</v>
      </c>
      <c r="B1431" s="12">
        <v>46045</v>
      </c>
      <c r="C1431" s="13">
        <v>1429</v>
      </c>
      <c r="D1431" s="4" t="str">
        <f t="shared" si="91"/>
        <v>01</v>
      </c>
      <c r="E1431" s="14">
        <v>0</v>
      </c>
      <c r="F1431">
        <f t="shared" si="89"/>
        <v>23</v>
      </c>
      <c r="G1431" s="41" t="str">
        <f t="shared" si="90"/>
        <v>01</v>
      </c>
    </row>
    <row r="1432" spans="1:7" x14ac:dyDescent="0.6">
      <c r="A1432" t="str">
        <f t="shared" si="88"/>
        <v>20260123_1430</v>
      </c>
      <c r="B1432" s="12">
        <v>46045</v>
      </c>
      <c r="C1432" s="13">
        <v>1430</v>
      </c>
      <c r="D1432" s="4" t="str">
        <f t="shared" si="91"/>
        <v>01</v>
      </c>
      <c r="E1432" s="14">
        <v>0</v>
      </c>
      <c r="F1432">
        <f t="shared" si="89"/>
        <v>23</v>
      </c>
      <c r="G1432" s="41" t="str">
        <f t="shared" si="90"/>
        <v>01</v>
      </c>
    </row>
    <row r="1433" spans="1:7" x14ac:dyDescent="0.6">
      <c r="A1433" t="str">
        <f t="shared" si="88"/>
        <v>20260123_1431</v>
      </c>
      <c r="B1433" s="12">
        <v>46045</v>
      </c>
      <c r="C1433" s="13">
        <v>1431</v>
      </c>
      <c r="D1433" s="4" t="str">
        <f t="shared" si="91"/>
        <v>01</v>
      </c>
      <c r="E1433" s="14">
        <v>0</v>
      </c>
      <c r="F1433">
        <f t="shared" si="89"/>
        <v>23</v>
      </c>
      <c r="G1433" s="41" t="str">
        <f t="shared" si="90"/>
        <v>01</v>
      </c>
    </row>
    <row r="1434" spans="1:7" x14ac:dyDescent="0.6">
      <c r="A1434" t="str">
        <f t="shared" si="88"/>
        <v>20260123_1432</v>
      </c>
      <c r="B1434" s="12">
        <v>46045</v>
      </c>
      <c r="C1434" s="13">
        <v>1432</v>
      </c>
      <c r="D1434" s="4" t="str">
        <f t="shared" si="91"/>
        <v>01</v>
      </c>
      <c r="E1434" s="14">
        <v>2.2900000000000001E-4</v>
      </c>
      <c r="F1434">
        <f t="shared" si="89"/>
        <v>23</v>
      </c>
      <c r="G1434" s="41" t="str">
        <f t="shared" si="90"/>
        <v>01</v>
      </c>
    </row>
    <row r="1435" spans="1:7" x14ac:dyDescent="0.6">
      <c r="A1435" t="str">
        <f t="shared" si="88"/>
        <v>20260123_1433</v>
      </c>
      <c r="B1435" s="12">
        <v>46045</v>
      </c>
      <c r="C1435" s="13">
        <v>1433</v>
      </c>
      <c r="D1435" s="4" t="str">
        <f t="shared" si="91"/>
        <v>01</v>
      </c>
      <c r="E1435" s="14">
        <v>0</v>
      </c>
      <c r="F1435">
        <f t="shared" si="89"/>
        <v>23</v>
      </c>
      <c r="G1435" s="41" t="str">
        <f t="shared" si="90"/>
        <v>01</v>
      </c>
    </row>
    <row r="1436" spans="1:7" x14ac:dyDescent="0.6">
      <c r="A1436" t="str">
        <f t="shared" si="88"/>
        <v>20260123_1434</v>
      </c>
      <c r="B1436" s="12">
        <v>46045</v>
      </c>
      <c r="C1436" s="13">
        <v>1434</v>
      </c>
      <c r="D1436" s="4" t="str">
        <f t="shared" si="91"/>
        <v>01</v>
      </c>
      <c r="E1436" s="14">
        <v>0</v>
      </c>
      <c r="F1436">
        <f t="shared" si="89"/>
        <v>23</v>
      </c>
      <c r="G1436" s="41" t="str">
        <f t="shared" si="90"/>
        <v>01</v>
      </c>
    </row>
    <row r="1437" spans="1:7" x14ac:dyDescent="0.6">
      <c r="A1437" t="str">
        <f t="shared" si="88"/>
        <v>20260123_1435</v>
      </c>
      <c r="B1437" s="12">
        <v>46045</v>
      </c>
      <c r="C1437" s="13">
        <v>1435</v>
      </c>
      <c r="D1437" s="4" t="str">
        <f t="shared" si="91"/>
        <v>01</v>
      </c>
      <c r="E1437" s="14">
        <v>3.8699999999999997E-4</v>
      </c>
      <c r="F1437">
        <f t="shared" si="89"/>
        <v>23</v>
      </c>
      <c r="G1437" s="41" t="str">
        <f t="shared" si="90"/>
        <v>01</v>
      </c>
    </row>
    <row r="1438" spans="1:7" x14ac:dyDescent="0.6">
      <c r="A1438" t="str">
        <f t="shared" si="88"/>
        <v>20260123_1436</v>
      </c>
      <c r="B1438" s="12">
        <v>46045</v>
      </c>
      <c r="C1438" s="13">
        <v>1436</v>
      </c>
      <c r="D1438" s="4" t="str">
        <f t="shared" si="91"/>
        <v>0A</v>
      </c>
      <c r="E1438" s="14">
        <v>4.3399999999999998E-4</v>
      </c>
      <c r="F1438">
        <f t="shared" si="89"/>
        <v>23</v>
      </c>
      <c r="G1438" s="41" t="str">
        <f t="shared" si="90"/>
        <v>0A</v>
      </c>
    </row>
    <row r="1439" spans="1:7" x14ac:dyDescent="0.6">
      <c r="A1439" t="str">
        <f t="shared" si="88"/>
        <v>20260123_1437</v>
      </c>
      <c r="B1439" s="12">
        <v>46045</v>
      </c>
      <c r="C1439" s="13">
        <v>1437</v>
      </c>
      <c r="D1439" s="4" t="str">
        <f t="shared" si="91"/>
        <v>01</v>
      </c>
      <c r="E1439" s="14">
        <v>1.65E-4</v>
      </c>
      <c r="F1439">
        <f t="shared" si="89"/>
        <v>23</v>
      </c>
      <c r="G1439" s="41" t="str">
        <f t="shared" si="90"/>
        <v>01</v>
      </c>
    </row>
    <row r="1440" spans="1:7" x14ac:dyDescent="0.6">
      <c r="A1440" t="str">
        <f t="shared" si="88"/>
        <v>20260123_1438</v>
      </c>
      <c r="B1440" s="12">
        <v>46045</v>
      </c>
      <c r="C1440" s="13">
        <v>1438</v>
      </c>
      <c r="D1440" s="4" t="str">
        <f t="shared" si="91"/>
        <v>01</v>
      </c>
      <c r="E1440" s="14">
        <v>0</v>
      </c>
      <c r="F1440">
        <f t="shared" si="89"/>
        <v>23</v>
      </c>
      <c r="G1440" s="41" t="str">
        <f t="shared" si="90"/>
        <v>01</v>
      </c>
    </row>
    <row r="1441" spans="1:7" x14ac:dyDescent="0.6">
      <c r="A1441" t="str">
        <f t="shared" si="88"/>
        <v>20260123_1439</v>
      </c>
      <c r="B1441" s="12">
        <v>46045</v>
      </c>
      <c r="C1441" s="13">
        <v>1439</v>
      </c>
      <c r="D1441" s="4" t="str">
        <f t="shared" si="91"/>
        <v>01</v>
      </c>
      <c r="E1441" s="14">
        <v>0</v>
      </c>
      <c r="F1441">
        <f t="shared" si="89"/>
        <v>23</v>
      </c>
      <c r="G1441" s="41" t="str">
        <f t="shared" si="90"/>
        <v>01</v>
      </c>
    </row>
  </sheetData>
  <autoFilter ref="A1:G1441" xr:uid="{00000000-0001-0000-0200-000000000000}"/>
  <phoneticPr fontId="9" type="noConversion"/>
  <dataValidations count="2">
    <dataValidation type="whole" allowBlank="1" sqref="C2:C1441" xr:uid="{00000000-0002-0000-0200-000000000000}">
      <formula1>0</formula1>
      <formula2>1439</formula2>
    </dataValidation>
    <dataValidation type="list" allowBlank="1" sqref="D2:D1441" xr:uid="{00000000-0002-0000-0200-000001000000}">
      <formula1>"00,01,0A,14,1E,FE"</formula1>
    </dataValidation>
  </dataValidation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1456"/>
  <sheetViews>
    <sheetView showGridLines="0" tabSelected="1" zoomScale="70" zoomScaleNormal="70" workbookViewId="0">
      <pane xSplit="2" ySplit="10" topLeftCell="C11" activePane="bottomRight" state="frozen"/>
      <selection pane="topRight"/>
      <selection pane="bottomLeft"/>
      <selection pane="bottomRight" activeCell="T26" sqref="T26"/>
    </sheetView>
  </sheetViews>
  <sheetFormatPr defaultRowHeight="16.899999999999999" x14ac:dyDescent="0.6"/>
  <cols>
    <col min="1" max="1" width="28.9375" bestFit="1" customWidth="1"/>
    <col min="2" max="2" width="11" customWidth="1"/>
    <col min="3" max="62" width="6.1875" customWidth="1"/>
    <col min="63" max="63" width="8.1875" bestFit="1" customWidth="1"/>
    <col min="64" max="64" width="6.0625" bestFit="1" customWidth="1"/>
    <col min="65" max="65" width="12.6875" customWidth="1"/>
    <col min="66" max="66" width="12.0625" bestFit="1" customWidth="1"/>
    <col min="67" max="67" width="11.375" customWidth="1"/>
  </cols>
  <sheetData>
    <row r="1" spans="1:66" ht="26.25" customHeight="1" x14ac:dyDescent="0.85">
      <c r="A1" s="1" t="s">
        <v>27</v>
      </c>
    </row>
    <row r="2" spans="1:66" ht="18.399999999999999" customHeight="1" x14ac:dyDescent="0.6">
      <c r="J2" s="24"/>
      <c r="K2" s="24" t="s">
        <v>29</v>
      </c>
    </row>
    <row r="3" spans="1:66" ht="18.399999999999999" customHeight="1" x14ac:dyDescent="0.6">
      <c r="A3" s="21" t="s">
        <v>28</v>
      </c>
      <c r="B3" s="22">
        <v>46045</v>
      </c>
      <c r="C3" s="23"/>
      <c r="D3" s="23"/>
      <c r="E3" s="23"/>
      <c r="F3" s="23"/>
      <c r="G3" s="23"/>
      <c r="H3" s="23"/>
      <c r="J3" s="25"/>
      <c r="K3" s="26" t="s">
        <v>11</v>
      </c>
    </row>
    <row r="4" spans="1:66" ht="18.399999999999999" customHeight="1" x14ac:dyDescent="0.6">
      <c r="A4" s="52" t="s">
        <v>30</v>
      </c>
      <c r="B4" s="53"/>
      <c r="C4" s="52" t="s">
        <v>43</v>
      </c>
      <c r="D4" s="53"/>
      <c r="E4" s="52" t="s">
        <v>44</v>
      </c>
      <c r="F4" s="53"/>
      <c r="G4" s="52" t="s">
        <v>31</v>
      </c>
      <c r="H4" s="53"/>
      <c r="J4" s="48"/>
      <c r="K4" s="26" t="s">
        <v>13</v>
      </c>
    </row>
    <row r="5" spans="1:66" ht="18.399999999999999" customHeight="1" x14ac:dyDescent="0.6">
      <c r="A5" s="54">
        <f>IFERROR(SUMIFS(RawData!$E$2:$E$1441,RawData!$B$2:$B$1441,$B$3),0)</f>
        <v>6.6887131500000008</v>
      </c>
      <c r="B5" s="54"/>
      <c r="C5" s="56">
        <f>IFERROR(COUNTIFS(RawData!$B$2:$B$1441,$B$3,RawData!$E$2:$E$1441,"&gt;0"),0)</f>
        <v>272</v>
      </c>
      <c r="D5" s="56"/>
      <c r="E5" s="56">
        <f>IFERROR(COUNTIFS(RawData!$B$2:$B$1441,$B$3,RawData!$D$2:$D$1441,"FE"),0)</f>
        <v>199</v>
      </c>
      <c r="F5" s="56"/>
      <c r="G5" s="56">
        <f>IFERROR(SUM($BN$11:$BN$1456),0)</f>
        <v>165</v>
      </c>
      <c r="H5" s="58"/>
      <c r="J5" s="27"/>
      <c r="K5" s="26" t="s">
        <v>15</v>
      </c>
    </row>
    <row r="6" spans="1:66" ht="18.399999999999999" customHeight="1" x14ac:dyDescent="0.6">
      <c r="A6" s="55"/>
      <c r="B6" s="55"/>
      <c r="C6" s="57"/>
      <c r="D6" s="57"/>
      <c r="E6" s="57"/>
      <c r="F6" s="57"/>
      <c r="G6" s="57"/>
      <c r="H6" s="59"/>
      <c r="J6" s="28"/>
      <c r="K6" s="26" t="s">
        <v>17</v>
      </c>
    </row>
    <row r="7" spans="1:66" ht="18.399999999999999" customHeight="1" x14ac:dyDescent="0.6">
      <c r="A7" s="55"/>
      <c r="B7" s="55"/>
      <c r="C7" s="57"/>
      <c r="D7" s="57"/>
      <c r="E7" s="57"/>
      <c r="F7" s="57"/>
      <c r="G7" s="57"/>
      <c r="H7" s="59"/>
      <c r="J7" s="50"/>
      <c r="K7" s="26" t="s">
        <v>42</v>
      </c>
    </row>
    <row r="8" spans="1:66" ht="18.399999999999999" customHeight="1" x14ac:dyDescent="0.6">
      <c r="A8" s="55"/>
      <c r="B8" s="55"/>
      <c r="C8" s="57"/>
      <c r="D8" s="57"/>
      <c r="E8" s="57"/>
      <c r="F8" s="57"/>
      <c r="G8" s="57"/>
      <c r="H8" s="59"/>
      <c r="J8" s="29"/>
      <c r="K8" s="26" t="s">
        <v>37</v>
      </c>
    </row>
    <row r="9" spans="1:66" ht="18.399999999999999" customHeight="1" x14ac:dyDescent="0.6">
      <c r="A9" s="16"/>
      <c r="J9" s="44"/>
    </row>
    <row r="10" spans="1:66" ht="18.399999999999999" customHeight="1" x14ac:dyDescent="0.6">
      <c r="A10" s="15" t="s">
        <v>32</v>
      </c>
      <c r="B10" s="3" t="s">
        <v>26</v>
      </c>
      <c r="C10" s="17">
        <v>0</v>
      </c>
      <c r="D10" s="17">
        <v>1</v>
      </c>
      <c r="E10" s="17">
        <v>2</v>
      </c>
      <c r="F10" s="17">
        <v>3</v>
      </c>
      <c r="G10" s="17">
        <v>4</v>
      </c>
      <c r="H10" s="17">
        <v>5</v>
      </c>
      <c r="I10" s="43">
        <v>6</v>
      </c>
      <c r="J10" s="43">
        <v>7</v>
      </c>
      <c r="K10" s="17">
        <v>8</v>
      </c>
      <c r="L10" s="17">
        <v>9</v>
      </c>
      <c r="M10" s="17">
        <v>10</v>
      </c>
      <c r="N10" s="17">
        <v>11</v>
      </c>
      <c r="O10" s="17">
        <v>12</v>
      </c>
      <c r="P10" s="17">
        <v>13</v>
      </c>
      <c r="Q10" s="17">
        <v>14</v>
      </c>
      <c r="R10" s="17">
        <v>15</v>
      </c>
      <c r="S10" s="17">
        <v>16</v>
      </c>
      <c r="T10" s="17">
        <v>17</v>
      </c>
      <c r="U10" s="17">
        <v>18</v>
      </c>
      <c r="V10" s="17">
        <v>19</v>
      </c>
      <c r="W10" s="17">
        <v>20</v>
      </c>
      <c r="X10" s="17">
        <v>21</v>
      </c>
      <c r="Y10" s="17">
        <v>22</v>
      </c>
      <c r="Z10" s="17">
        <v>23</v>
      </c>
      <c r="AA10" s="17">
        <v>24</v>
      </c>
      <c r="AB10" s="17">
        <v>25</v>
      </c>
      <c r="AC10" s="17">
        <v>26</v>
      </c>
      <c r="AD10" s="17">
        <v>27</v>
      </c>
      <c r="AE10" s="17">
        <v>28</v>
      </c>
      <c r="AF10" s="17">
        <v>29</v>
      </c>
      <c r="AG10" s="17">
        <v>30</v>
      </c>
      <c r="AH10" s="17">
        <v>31</v>
      </c>
      <c r="AI10" s="17">
        <v>32</v>
      </c>
      <c r="AJ10" s="17">
        <v>33</v>
      </c>
      <c r="AK10" s="17">
        <v>34</v>
      </c>
      <c r="AL10" s="17">
        <v>35</v>
      </c>
      <c r="AM10" s="17">
        <v>36</v>
      </c>
      <c r="AN10" s="17">
        <v>37</v>
      </c>
      <c r="AO10" s="17">
        <v>38</v>
      </c>
      <c r="AP10" s="17">
        <v>39</v>
      </c>
      <c r="AQ10" s="17">
        <v>40</v>
      </c>
      <c r="AR10" s="17">
        <v>41</v>
      </c>
      <c r="AS10" s="17">
        <v>42</v>
      </c>
      <c r="AT10" s="17">
        <v>43</v>
      </c>
      <c r="AU10" s="17">
        <v>44</v>
      </c>
      <c r="AV10" s="17">
        <v>45</v>
      </c>
      <c r="AW10" s="17">
        <v>46</v>
      </c>
      <c r="AX10" s="17">
        <v>47</v>
      </c>
      <c r="AY10" s="17">
        <v>48</v>
      </c>
      <c r="AZ10" s="17">
        <v>49</v>
      </c>
      <c r="BA10" s="17">
        <v>50</v>
      </c>
      <c r="BB10" s="17">
        <v>51</v>
      </c>
      <c r="BC10" s="17">
        <v>52</v>
      </c>
      <c r="BD10" s="17">
        <v>53</v>
      </c>
      <c r="BE10" s="17">
        <v>54</v>
      </c>
      <c r="BF10" s="17">
        <v>55</v>
      </c>
      <c r="BG10" s="17">
        <v>56</v>
      </c>
      <c r="BH10" s="17">
        <v>57</v>
      </c>
      <c r="BI10" s="17">
        <v>58</v>
      </c>
      <c r="BJ10" s="17">
        <v>59</v>
      </c>
      <c r="BK10" s="3" t="s">
        <v>7</v>
      </c>
      <c r="BL10" s="3" t="s">
        <v>33</v>
      </c>
      <c r="BM10" s="3" t="s">
        <v>25</v>
      </c>
      <c r="BN10" s="3" t="s">
        <v>34</v>
      </c>
    </row>
    <row r="11" spans="1:66" ht="18.399999999999999" customHeight="1" x14ac:dyDescent="0.6">
      <c r="B11" s="18">
        <v>0</v>
      </c>
      <c r="C11" s="49">
        <f>IFERROR(VLOOKUP(TEXT($B$3,"yyyymmdd")&amp;"_"&amp;TEXT($B11*60+C$10,"0000"),RawData!$A$2:$G$30000,5,FALSE),"")</f>
        <v>0</v>
      </c>
      <c r="D11" s="49">
        <f>IFERROR(VLOOKUP(TEXT($B$3,"yyyymmdd")&amp;"_"&amp;TEXT($B11*60+D$10,"0000"),RawData!$A$2:$G$30000,5,FALSE),"")</f>
        <v>0</v>
      </c>
      <c r="E11" s="49">
        <f>IFERROR(VLOOKUP(TEXT($B$3,"yyyymmdd")&amp;"_"&amp;TEXT($B11*60+E$10,"0000"),RawData!$A$2:$G$30000,5,FALSE),"")</f>
        <v>0</v>
      </c>
      <c r="F11" s="49">
        <f>IFERROR(VLOOKUP(TEXT($B$3,"yyyymmdd")&amp;"_"&amp;TEXT($B11*60+F$10,"0000"),RawData!$A$2:$G$30000,5,FALSE),"")</f>
        <v>0</v>
      </c>
      <c r="G11" s="49">
        <f>IFERROR(VLOOKUP(TEXT($B$3,"yyyymmdd")&amp;"_"&amp;TEXT($B11*60+G$10,"0000"),RawData!$A$2:$G$30000,5,FALSE),"")</f>
        <v>0</v>
      </c>
      <c r="H11" s="49">
        <f>IFERROR(VLOOKUP(TEXT($B$3,"yyyymmdd")&amp;"_"&amp;TEXT($B11*60+H$10,"0000"),RawData!$A$2:$G$30000,5,FALSE),"")</f>
        <v>0</v>
      </c>
      <c r="I11" s="49">
        <f>IFERROR(VLOOKUP(TEXT($B$3,"yyyymmdd")&amp;"_"&amp;TEXT($B11*60+I$10,"0000"),RawData!$A$2:$G$30000,5,FALSE),"")</f>
        <v>0</v>
      </c>
      <c r="J11" s="49">
        <f>IFERROR(VLOOKUP(TEXT($B$3,"yyyymmdd")&amp;"_"&amp;TEXT($B11*60+J$10,"0000"),RawData!$A$2:$G$30000,5,FALSE),"")</f>
        <v>0</v>
      </c>
      <c r="K11" s="49">
        <f>IFERROR(VLOOKUP(TEXT($B$3,"yyyymmdd")&amp;"_"&amp;TEXT($B11*60+K$10,"0000"),RawData!$A$2:$G$30000,5,FALSE),"")</f>
        <v>0</v>
      </c>
      <c r="L11" s="49">
        <f>IFERROR(VLOOKUP(TEXT($B$3,"yyyymmdd")&amp;"_"&amp;TEXT($B11*60+L$10,"0000"),RawData!$A$2:$G$30000,5,FALSE),"")</f>
        <v>0</v>
      </c>
      <c r="M11" s="49">
        <f>IFERROR(VLOOKUP(TEXT($B$3,"yyyymmdd")&amp;"_"&amp;TEXT($B11*60+M$10,"0000"),RawData!$A$2:$G$30000,5,FALSE),"")</f>
        <v>0</v>
      </c>
      <c r="N11" s="49">
        <f>IFERROR(VLOOKUP(TEXT($B$3,"yyyymmdd")&amp;"_"&amp;TEXT($B11*60+N$10,"0000"),RawData!$A$2:$G$30000,5,FALSE),"")</f>
        <v>0</v>
      </c>
      <c r="O11" s="49">
        <f>IFERROR(VLOOKUP(TEXT($B$3,"yyyymmdd")&amp;"_"&amp;TEXT($B11*60+O$10,"0000"),RawData!$A$2:$G$30000,5,FALSE),"")</f>
        <v>0</v>
      </c>
      <c r="P11" s="49">
        <f>IFERROR(VLOOKUP(TEXT($B$3,"yyyymmdd")&amp;"_"&amp;TEXT($B11*60+P$10,"0000"),RawData!$A$2:$G$30000,5,FALSE),"")</f>
        <v>0</v>
      </c>
      <c r="Q11" s="49">
        <f>IFERROR(VLOOKUP(TEXT($B$3,"yyyymmdd")&amp;"_"&amp;TEXT($B11*60+Q$10,"0000"),RawData!$A$2:$G$30000,5,FALSE),"")</f>
        <v>0</v>
      </c>
      <c r="R11" s="49">
        <f>IFERROR(VLOOKUP(TEXT($B$3,"yyyymmdd")&amp;"_"&amp;TEXT($B11*60+R$10,"0000"),RawData!$A$2:$G$30000,5,FALSE),"")</f>
        <v>0</v>
      </c>
      <c r="S11" s="49">
        <f>IFERROR(VLOOKUP(TEXT($B$3,"yyyymmdd")&amp;"_"&amp;TEXT($B11*60+S$10,"0000"),RawData!$A$2:$G$30000,5,FALSE),"")</f>
        <v>0</v>
      </c>
      <c r="T11" s="49">
        <f>IFERROR(VLOOKUP(TEXT($B$3,"yyyymmdd")&amp;"_"&amp;TEXT($B11*60+T$10,"0000"),RawData!$A$2:$G$30000,5,FALSE),"")</f>
        <v>0</v>
      </c>
      <c r="U11" s="49">
        <f>IFERROR(VLOOKUP(TEXT($B$3,"yyyymmdd")&amp;"_"&amp;TEXT($B11*60+U$10,"0000"),RawData!$A$2:$G$30000,5,FALSE),"")</f>
        <v>0</v>
      </c>
      <c r="V11" s="49">
        <f>IFERROR(VLOOKUP(TEXT($B$3,"yyyymmdd")&amp;"_"&amp;TEXT($B11*60+V$10,"0000"),RawData!$A$2:$G$30000,5,FALSE),"")</f>
        <v>0</v>
      </c>
      <c r="W11" s="49">
        <f>IFERROR(VLOOKUP(TEXT($B$3,"yyyymmdd")&amp;"_"&amp;TEXT($B11*60+W$10,"0000"),RawData!$A$2:$G$30000,5,FALSE),"")</f>
        <v>0</v>
      </c>
      <c r="X11" s="49">
        <f>IFERROR(VLOOKUP(TEXT($B$3,"yyyymmdd")&amp;"_"&amp;TEXT($B11*60+X$10,"0000"),RawData!$A$2:$G$30000,5,FALSE),"")</f>
        <v>0</v>
      </c>
      <c r="Y11" s="49">
        <f>IFERROR(VLOOKUP(TEXT($B$3,"yyyymmdd")&amp;"_"&amp;TEXT($B11*60+Y$10,"0000"),RawData!$A$2:$G$30000,5,FALSE),"")</f>
        <v>0</v>
      </c>
      <c r="Z11" s="49">
        <f>IFERROR(VLOOKUP(TEXT($B$3,"yyyymmdd")&amp;"_"&amp;TEXT($B11*60+Z$10,"0000"),RawData!$A$2:$G$30000,5,FALSE),"")</f>
        <v>0</v>
      </c>
      <c r="AA11" s="49">
        <f>IFERROR(VLOOKUP(TEXT($B$3,"yyyymmdd")&amp;"_"&amp;TEXT($B11*60+AA$10,"0000"),RawData!$A$2:$G$30000,5,FALSE),"")</f>
        <v>0</v>
      </c>
      <c r="AB11" s="49">
        <f>IFERROR(VLOOKUP(TEXT($B$3,"yyyymmdd")&amp;"_"&amp;TEXT($B11*60+AB$10,"0000"),RawData!$A$2:$G$30000,5,FALSE),"")</f>
        <v>0</v>
      </c>
      <c r="AC11" s="49">
        <f>IFERROR(VLOOKUP(TEXT($B$3,"yyyymmdd")&amp;"_"&amp;TEXT($B11*60+AC$10,"0000"),RawData!$A$2:$G$30000,5,FALSE),"")</f>
        <v>0</v>
      </c>
      <c r="AD11" s="49">
        <f>IFERROR(VLOOKUP(TEXT($B$3,"yyyymmdd")&amp;"_"&amp;TEXT($B11*60+AD$10,"0000"),RawData!$A$2:$G$30000,5,FALSE),"")</f>
        <v>0</v>
      </c>
      <c r="AE11" s="49">
        <f>IFERROR(VLOOKUP(TEXT($B$3,"yyyymmdd")&amp;"_"&amp;TEXT($B11*60+AE$10,"0000"),RawData!$A$2:$G$30000,5,FALSE),"")</f>
        <v>0</v>
      </c>
      <c r="AF11" s="49">
        <f>IFERROR(VLOOKUP(TEXT($B$3,"yyyymmdd")&amp;"_"&amp;TEXT($B11*60+AF$10,"0000"),RawData!$A$2:$G$30000,5,FALSE),"")</f>
        <v>0</v>
      </c>
      <c r="AG11" s="49">
        <f>IFERROR(VLOOKUP(TEXT($B$3,"yyyymmdd")&amp;"_"&amp;TEXT($B11*60+AG$10,"0000"),RawData!$A$2:$G$30000,5,FALSE),"")</f>
        <v>0</v>
      </c>
      <c r="AH11" s="49">
        <f>IFERROR(VLOOKUP(TEXT($B$3,"yyyymmdd")&amp;"_"&amp;TEXT($B11*60+AH$10,"0000"),RawData!$A$2:$G$30000,5,FALSE),"")</f>
        <v>0</v>
      </c>
      <c r="AI11" s="49">
        <f>IFERROR(VLOOKUP(TEXT($B$3,"yyyymmdd")&amp;"_"&amp;TEXT($B11*60+AI$10,"0000"),RawData!$A$2:$G$30000,5,FALSE),"")</f>
        <v>0</v>
      </c>
      <c r="AJ11" s="49">
        <f>IFERROR(VLOOKUP(TEXT($B$3,"yyyymmdd")&amp;"_"&amp;TEXT($B11*60+AJ$10,"0000"),RawData!$A$2:$G$30000,5,FALSE),"")</f>
        <v>0</v>
      </c>
      <c r="AK11" s="49">
        <f>IFERROR(VLOOKUP(TEXT($B$3,"yyyymmdd")&amp;"_"&amp;TEXT($B11*60+AK$10,"0000"),RawData!$A$2:$G$30000,5,FALSE),"")</f>
        <v>0</v>
      </c>
      <c r="AL11" s="49">
        <f>IFERROR(VLOOKUP(TEXT($B$3,"yyyymmdd")&amp;"_"&amp;TEXT($B11*60+AL$10,"0000"),RawData!$A$2:$G$30000,5,FALSE),"")</f>
        <v>0</v>
      </c>
      <c r="AM11" s="49">
        <f>IFERROR(VLOOKUP(TEXT($B$3,"yyyymmdd")&amp;"_"&amp;TEXT($B11*60+AM$10,"0000"),RawData!$A$2:$G$30000,5,FALSE),"")</f>
        <v>0</v>
      </c>
      <c r="AN11" s="49">
        <f>IFERROR(VLOOKUP(TEXT($B$3,"yyyymmdd")&amp;"_"&amp;TEXT($B11*60+AN$10,"0000"),RawData!$A$2:$G$30000,5,FALSE),"")</f>
        <v>0</v>
      </c>
      <c r="AO11" s="49">
        <f>IFERROR(VLOOKUP(TEXT($B$3,"yyyymmdd")&amp;"_"&amp;TEXT($B11*60+AO$10,"0000"),RawData!$A$2:$G$30000,5,FALSE),"")</f>
        <v>0</v>
      </c>
      <c r="AP11" s="49">
        <f>IFERROR(VLOOKUP(TEXT($B$3,"yyyymmdd")&amp;"_"&amp;TEXT($B11*60+AP$10,"0000"),RawData!$A$2:$G$30000,5,FALSE),"")</f>
        <v>0</v>
      </c>
      <c r="AQ11" s="49">
        <f>IFERROR(VLOOKUP(TEXT($B$3,"yyyymmdd")&amp;"_"&amp;TEXT($B11*60+AQ$10,"0000"),RawData!$A$2:$G$30000,5,FALSE),"")</f>
        <v>0</v>
      </c>
      <c r="AR11" s="49">
        <f>IFERROR(VLOOKUP(TEXT($B$3,"yyyymmdd")&amp;"_"&amp;TEXT($B11*60+AR$10,"0000"),RawData!$A$2:$G$30000,5,FALSE),"")</f>
        <v>0</v>
      </c>
      <c r="AS11" s="49">
        <f>IFERROR(VLOOKUP(TEXT($B$3,"yyyymmdd")&amp;"_"&amp;TEXT($B11*60+AS$10,"0000"),RawData!$A$2:$G$30000,5,FALSE),"")</f>
        <v>0</v>
      </c>
      <c r="AT11" s="49">
        <f>IFERROR(VLOOKUP(TEXT($B$3,"yyyymmdd")&amp;"_"&amp;TEXT($B11*60+AT$10,"0000"),RawData!$A$2:$G$30000,5,FALSE),"")</f>
        <v>0</v>
      </c>
      <c r="AU11" s="49">
        <f>IFERROR(VLOOKUP(TEXT($B$3,"yyyymmdd")&amp;"_"&amp;TEXT($B11*60+AU$10,"0000"),RawData!$A$2:$G$30000,5,FALSE),"")</f>
        <v>0</v>
      </c>
      <c r="AV11" s="49">
        <f>IFERROR(VLOOKUP(TEXT($B$3,"yyyymmdd")&amp;"_"&amp;TEXT($B11*60+AV$10,"0000"),RawData!$A$2:$G$30000,5,FALSE),"")</f>
        <v>0</v>
      </c>
      <c r="AW11" s="49">
        <f>IFERROR(VLOOKUP(TEXT($B$3,"yyyymmdd")&amp;"_"&amp;TEXT($B11*60+AW$10,"0000"),RawData!$A$2:$G$30000,5,FALSE),"")</f>
        <v>0</v>
      </c>
      <c r="AX11" s="49">
        <f>IFERROR(VLOOKUP(TEXT($B$3,"yyyymmdd")&amp;"_"&amp;TEXT($B11*60+AX$10,"0000"),RawData!$A$2:$G$30000,5,FALSE),"")</f>
        <v>0</v>
      </c>
      <c r="AY11" s="49">
        <f>IFERROR(VLOOKUP(TEXT($B$3,"yyyymmdd")&amp;"_"&amp;TEXT($B11*60+AY$10,"0000"),RawData!$A$2:$G$30000,5,FALSE),"")</f>
        <v>0</v>
      </c>
      <c r="AZ11" s="49">
        <f>IFERROR(VLOOKUP(TEXT($B$3,"yyyymmdd")&amp;"_"&amp;TEXT($B11*60+AZ$10,"0000"),RawData!$A$2:$G$30000,5,FALSE),"")</f>
        <v>0</v>
      </c>
      <c r="BA11" s="49">
        <f>IFERROR(VLOOKUP(TEXT($B$3,"yyyymmdd")&amp;"_"&amp;TEXT($B11*60+BA$10,"0000"),RawData!$A$2:$G$30000,5,FALSE),"")</f>
        <v>0</v>
      </c>
      <c r="BB11" s="49">
        <f>IFERROR(VLOOKUP(TEXT($B$3,"yyyymmdd")&amp;"_"&amp;TEXT($B11*60+BB$10,"0000"),RawData!$A$2:$G$30000,5,FALSE),"")</f>
        <v>0</v>
      </c>
      <c r="BC11" s="49">
        <f>IFERROR(VLOOKUP(TEXT($B$3,"yyyymmdd")&amp;"_"&amp;TEXT($B11*60+BC$10,"0000"),RawData!$A$2:$G$30000,5,FALSE),"")</f>
        <v>0</v>
      </c>
      <c r="BD11" s="49">
        <f>IFERROR(VLOOKUP(TEXT($B$3,"yyyymmdd")&amp;"_"&amp;TEXT($B11*60+BD$10,"0000"),RawData!$A$2:$G$30000,5,FALSE),"")</f>
        <v>0</v>
      </c>
      <c r="BE11" s="49">
        <f>IFERROR(VLOOKUP(TEXT($B$3,"yyyymmdd")&amp;"_"&amp;TEXT($B11*60+BE$10,"0000"),RawData!$A$2:$G$30000,5,FALSE),"")</f>
        <v>0</v>
      </c>
      <c r="BF11" s="49">
        <f>IFERROR(VLOOKUP(TEXT($B$3,"yyyymmdd")&amp;"_"&amp;TEXT($B11*60+BF$10,"0000"),RawData!$A$2:$G$30000,5,FALSE),"")</f>
        <v>0</v>
      </c>
      <c r="BG11" s="49">
        <f>IFERROR(VLOOKUP(TEXT($B$3,"yyyymmdd")&amp;"_"&amp;TEXT($B11*60+BG$10,"0000"),RawData!$A$2:$G$30000,5,FALSE),"")</f>
        <v>0</v>
      </c>
      <c r="BH11" s="49">
        <f>IFERROR(VLOOKUP(TEXT($B$3,"yyyymmdd")&amp;"_"&amp;TEXT($B11*60+BH$10,"0000"),RawData!$A$2:$G$30000,5,FALSE),"")</f>
        <v>0</v>
      </c>
      <c r="BI11" s="49">
        <f>IFERROR(VLOOKUP(TEXT($B$3,"yyyymmdd")&amp;"_"&amp;TEXT($B11*60+BI$10,"0000"),RawData!$A$2:$G$30000,5,FALSE),"")</f>
        <v>0</v>
      </c>
      <c r="BJ11" s="49">
        <f>IFERROR(VLOOKUP(TEXT($B$3,"yyyymmdd")&amp;"_"&amp;TEXT($B11*60+BJ$10,"0000"),RawData!$A$2:$G$30000,5,FALSE),"")</f>
        <v>0</v>
      </c>
      <c r="BK11" s="4" t="str">
        <f>IFERROR(VLOOKUP(TEXT($B$3,"yyyymmdd")&amp;"_"&amp;TEXT(0,"0000"),RawData!$A$2:$F$1441,4,FALSE),"")</f>
        <v>14</v>
      </c>
      <c r="BL11" s="19">
        <f>TIME(0,0,0)+0/1440</f>
        <v>0</v>
      </c>
      <c r="BM11" s="4">
        <f>IFERROR(VLOOKUP(TEXT($B$3,"yyyymmdd")&amp;"_"&amp;TEXT(0,"0000"),RawData!$A$2:$F$1441,5,FALSE),"")</f>
        <v>0</v>
      </c>
      <c r="BN11" s="4">
        <f>0</f>
        <v>0</v>
      </c>
    </row>
    <row r="12" spans="1:66" ht="18.399999999999999" customHeight="1" x14ac:dyDescent="0.6">
      <c r="B12" s="18">
        <v>1</v>
      </c>
      <c r="C12" s="49">
        <f>IFERROR(VLOOKUP(TEXT($B$3,"yyyymmdd")&amp;"_"&amp;TEXT($B12*60+C$10,"0000"),RawData!$A$2:$G$30000,5,FALSE),"")</f>
        <v>0</v>
      </c>
      <c r="D12" s="49">
        <f>IFERROR(VLOOKUP(TEXT($B$3,"yyyymmdd")&amp;"_"&amp;TEXT($B12*60+D$10,"0000"),RawData!$A$2:$G$30000,5,FALSE),"")</f>
        <v>0</v>
      </c>
      <c r="E12" s="49">
        <f>IFERROR(VLOOKUP(TEXT($B$3,"yyyymmdd")&amp;"_"&amp;TEXT($B12*60+E$10,"0000"),RawData!$A$2:$G$30000,5,FALSE),"")</f>
        <v>0</v>
      </c>
      <c r="F12" s="49">
        <f>IFERROR(VLOOKUP(TEXT($B$3,"yyyymmdd")&amp;"_"&amp;TEXT($B12*60+F$10,"0000"),RawData!$A$2:$G$30000,5,FALSE),"")</f>
        <v>0</v>
      </c>
      <c r="G12" s="49">
        <f>IFERROR(VLOOKUP(TEXT($B$3,"yyyymmdd")&amp;"_"&amp;TEXT($B12*60+G$10,"0000"),RawData!$A$2:$G$30000,5,FALSE),"")</f>
        <v>0</v>
      </c>
      <c r="H12" s="49">
        <f>IFERROR(VLOOKUP(TEXT($B$3,"yyyymmdd")&amp;"_"&amp;TEXT($B12*60+H$10,"0000"),RawData!$A$2:$G$30000,5,FALSE),"")</f>
        <v>0</v>
      </c>
      <c r="I12" s="49">
        <f>IFERROR(VLOOKUP(TEXT($B$3,"yyyymmdd")&amp;"_"&amp;TEXT($B12*60+I$10,"0000"),RawData!$A$2:$G$30000,5,FALSE),"")</f>
        <v>0</v>
      </c>
      <c r="J12" s="49">
        <f>IFERROR(VLOOKUP(TEXT($B$3,"yyyymmdd")&amp;"_"&amp;TEXT($B12*60+J$10,"0000"),RawData!$A$2:$G$30000,5,FALSE),"")</f>
        <v>0</v>
      </c>
      <c r="K12" s="49">
        <f>IFERROR(VLOOKUP(TEXT($B$3,"yyyymmdd")&amp;"_"&amp;TEXT($B12*60+K$10,"0000"),RawData!$A$2:$G$30000,5,FALSE),"")</f>
        <v>0</v>
      </c>
      <c r="L12" s="49">
        <f>IFERROR(VLOOKUP(TEXT($B$3,"yyyymmdd")&amp;"_"&amp;TEXT($B12*60+L$10,"0000"),RawData!$A$2:$G$30000,5,FALSE),"")</f>
        <v>0</v>
      </c>
      <c r="M12" s="49">
        <f>IFERROR(VLOOKUP(TEXT($B$3,"yyyymmdd")&amp;"_"&amp;TEXT($B12*60+M$10,"0000"),RawData!$A$2:$G$30000,5,FALSE),"")</f>
        <v>0</v>
      </c>
      <c r="N12" s="49">
        <f>IFERROR(VLOOKUP(TEXT($B$3,"yyyymmdd")&amp;"_"&amp;TEXT($B12*60+N$10,"0000"),RawData!$A$2:$G$30000,5,FALSE),"")</f>
        <v>0</v>
      </c>
      <c r="O12" s="49">
        <f>IFERROR(VLOOKUP(TEXT($B$3,"yyyymmdd")&amp;"_"&amp;TEXT($B12*60+O$10,"0000"),RawData!$A$2:$G$30000,5,FALSE),"")</f>
        <v>0</v>
      </c>
      <c r="P12" s="49">
        <f>IFERROR(VLOOKUP(TEXT($B$3,"yyyymmdd")&amp;"_"&amp;TEXT($B12*60+P$10,"0000"),RawData!$A$2:$G$30000,5,FALSE),"")</f>
        <v>0</v>
      </c>
      <c r="Q12" s="49">
        <f>IFERROR(VLOOKUP(TEXT($B$3,"yyyymmdd")&amp;"_"&amp;TEXT($B12*60+Q$10,"0000"),RawData!$A$2:$G$30000,5,FALSE),"")</f>
        <v>0</v>
      </c>
      <c r="R12" s="49">
        <f>IFERROR(VLOOKUP(TEXT($B$3,"yyyymmdd")&amp;"_"&amp;TEXT($B12*60+R$10,"0000"),RawData!$A$2:$G$30000,5,FALSE),"")</f>
        <v>0</v>
      </c>
      <c r="S12" s="49">
        <f>IFERROR(VLOOKUP(TEXT($B$3,"yyyymmdd")&amp;"_"&amp;TEXT($B12*60+S$10,"0000"),RawData!$A$2:$G$30000,5,FALSE),"")</f>
        <v>0</v>
      </c>
      <c r="T12" s="49">
        <f>IFERROR(VLOOKUP(TEXT($B$3,"yyyymmdd")&amp;"_"&amp;TEXT($B12*60+T$10,"0000"),RawData!$A$2:$G$30000,5,FALSE),"")</f>
        <v>0</v>
      </c>
      <c r="U12" s="49">
        <f>IFERROR(VLOOKUP(TEXT($B$3,"yyyymmdd")&amp;"_"&amp;TEXT($B12*60+U$10,"0000"),RawData!$A$2:$G$30000,5,FALSE),"")</f>
        <v>0</v>
      </c>
      <c r="V12" s="49">
        <f>IFERROR(VLOOKUP(TEXT($B$3,"yyyymmdd")&amp;"_"&amp;TEXT($B12*60+V$10,"0000"),RawData!$A$2:$G$30000,5,FALSE),"")</f>
        <v>0</v>
      </c>
      <c r="W12" s="49">
        <f>IFERROR(VLOOKUP(TEXT($B$3,"yyyymmdd")&amp;"_"&amp;TEXT($B12*60+W$10,"0000"),RawData!$A$2:$G$30000,5,FALSE),"")</f>
        <v>0</v>
      </c>
      <c r="X12" s="49">
        <f>IFERROR(VLOOKUP(TEXT($B$3,"yyyymmdd")&amp;"_"&amp;TEXT($B12*60+X$10,"0000"),RawData!$A$2:$G$30000,5,FALSE),"")</f>
        <v>0</v>
      </c>
      <c r="Y12" s="49">
        <f>IFERROR(VLOOKUP(TEXT($B$3,"yyyymmdd")&amp;"_"&amp;TEXT($B12*60+Y$10,"0000"),RawData!$A$2:$G$30000,5,FALSE),"")</f>
        <v>0</v>
      </c>
      <c r="Z12" s="49">
        <f>IFERROR(VLOOKUP(TEXT($B$3,"yyyymmdd")&amp;"_"&amp;TEXT($B12*60+Z$10,"0000"),RawData!$A$2:$G$30000,5,FALSE),"")</f>
        <v>0</v>
      </c>
      <c r="AA12" s="49">
        <f>IFERROR(VLOOKUP(TEXT($B$3,"yyyymmdd")&amp;"_"&amp;TEXT($B12*60+AA$10,"0000"),RawData!$A$2:$G$30000,5,FALSE),"")</f>
        <v>0</v>
      </c>
      <c r="AB12" s="49">
        <f>IFERROR(VLOOKUP(TEXT($B$3,"yyyymmdd")&amp;"_"&amp;TEXT($B12*60+AB$10,"0000"),RawData!$A$2:$G$30000,5,FALSE),"")</f>
        <v>0</v>
      </c>
      <c r="AC12" s="49">
        <f>IFERROR(VLOOKUP(TEXT($B$3,"yyyymmdd")&amp;"_"&amp;TEXT($B12*60+AC$10,"0000"),RawData!$A$2:$G$30000,5,FALSE),"")</f>
        <v>0</v>
      </c>
      <c r="AD12" s="49">
        <f>IFERROR(VLOOKUP(TEXT($B$3,"yyyymmdd")&amp;"_"&amp;TEXT($B12*60+AD$10,"0000"),RawData!$A$2:$G$30000,5,FALSE),"")</f>
        <v>0</v>
      </c>
      <c r="AE12" s="49">
        <f>IFERROR(VLOOKUP(TEXT($B$3,"yyyymmdd")&amp;"_"&amp;TEXT($B12*60+AE$10,"0000"),RawData!$A$2:$G$30000,5,FALSE),"")</f>
        <v>0</v>
      </c>
      <c r="AF12" s="49">
        <f>IFERROR(VLOOKUP(TEXT($B$3,"yyyymmdd")&amp;"_"&amp;TEXT($B12*60+AF$10,"0000"),RawData!$A$2:$G$30000,5,FALSE),"")</f>
        <v>0</v>
      </c>
      <c r="AG12" s="49">
        <f>IFERROR(VLOOKUP(TEXT($B$3,"yyyymmdd")&amp;"_"&amp;TEXT($B12*60+AG$10,"0000"),RawData!$A$2:$G$30000,5,FALSE),"")</f>
        <v>0</v>
      </c>
      <c r="AH12" s="49">
        <f>IFERROR(VLOOKUP(TEXT($B$3,"yyyymmdd")&amp;"_"&amp;TEXT($B12*60+AH$10,"0000"),RawData!$A$2:$G$30000,5,FALSE),"")</f>
        <v>0</v>
      </c>
      <c r="AI12" s="49">
        <f>IFERROR(VLOOKUP(TEXT($B$3,"yyyymmdd")&amp;"_"&amp;TEXT($B12*60+AI$10,"0000"),RawData!$A$2:$G$30000,5,FALSE),"")</f>
        <v>0</v>
      </c>
      <c r="AJ12" s="49">
        <f>IFERROR(VLOOKUP(TEXT($B$3,"yyyymmdd")&amp;"_"&amp;TEXT($B12*60+AJ$10,"0000"),RawData!$A$2:$G$30000,5,FALSE),"")</f>
        <v>0</v>
      </c>
      <c r="AK12" s="49">
        <f>IFERROR(VLOOKUP(TEXT($B$3,"yyyymmdd")&amp;"_"&amp;TEXT($B12*60+AK$10,"0000"),RawData!$A$2:$G$30000,5,FALSE),"")</f>
        <v>0</v>
      </c>
      <c r="AL12" s="49">
        <f>IFERROR(VLOOKUP(TEXT($B$3,"yyyymmdd")&amp;"_"&amp;TEXT($B12*60+AL$10,"0000"),RawData!$A$2:$G$30000,5,FALSE),"")</f>
        <v>0</v>
      </c>
      <c r="AM12" s="49">
        <f>IFERROR(VLOOKUP(TEXT($B$3,"yyyymmdd")&amp;"_"&amp;TEXT($B12*60+AM$10,"0000"),RawData!$A$2:$G$30000,5,FALSE),"")</f>
        <v>0</v>
      </c>
      <c r="AN12" s="49">
        <f>IFERROR(VLOOKUP(TEXT($B$3,"yyyymmdd")&amp;"_"&amp;TEXT($B12*60+AN$10,"0000"),RawData!$A$2:$G$30000,5,FALSE),"")</f>
        <v>0</v>
      </c>
      <c r="AO12" s="49">
        <f>IFERROR(VLOOKUP(TEXT($B$3,"yyyymmdd")&amp;"_"&amp;TEXT($B12*60+AO$10,"0000"),RawData!$A$2:$G$30000,5,FALSE),"")</f>
        <v>0</v>
      </c>
      <c r="AP12" s="49">
        <f>IFERROR(VLOOKUP(TEXT($B$3,"yyyymmdd")&amp;"_"&amp;TEXT($B12*60+AP$10,"0000"),RawData!$A$2:$G$30000,5,FALSE),"")</f>
        <v>0</v>
      </c>
      <c r="AQ12" s="49">
        <f>IFERROR(VLOOKUP(TEXT($B$3,"yyyymmdd")&amp;"_"&amp;TEXT($B12*60+AQ$10,"0000"),RawData!$A$2:$G$30000,5,FALSE),"")</f>
        <v>0</v>
      </c>
      <c r="AR12" s="49">
        <f>IFERROR(VLOOKUP(TEXT($B$3,"yyyymmdd")&amp;"_"&amp;TEXT($B12*60+AR$10,"0000"),RawData!$A$2:$G$30000,5,FALSE),"")</f>
        <v>0</v>
      </c>
      <c r="AS12" s="49">
        <f>IFERROR(VLOOKUP(TEXT($B$3,"yyyymmdd")&amp;"_"&amp;TEXT($B12*60+AS$10,"0000"),RawData!$A$2:$G$30000,5,FALSE),"")</f>
        <v>0</v>
      </c>
      <c r="AT12" s="49">
        <f>IFERROR(VLOOKUP(TEXT($B$3,"yyyymmdd")&amp;"_"&amp;TEXT($B12*60+AT$10,"0000"),RawData!$A$2:$G$30000,5,FALSE),"")</f>
        <v>0</v>
      </c>
      <c r="AU12" s="49">
        <f>IFERROR(VLOOKUP(TEXT($B$3,"yyyymmdd")&amp;"_"&amp;TEXT($B12*60+AU$10,"0000"),RawData!$A$2:$G$30000,5,FALSE),"")</f>
        <v>0</v>
      </c>
      <c r="AV12" s="49">
        <f>IFERROR(VLOOKUP(TEXT($B$3,"yyyymmdd")&amp;"_"&amp;TEXT($B12*60+AV$10,"0000"),RawData!$A$2:$G$30000,5,FALSE),"")</f>
        <v>0</v>
      </c>
      <c r="AW12" s="49">
        <f>IFERROR(VLOOKUP(TEXT($B$3,"yyyymmdd")&amp;"_"&amp;TEXT($B12*60+AW$10,"0000"),RawData!$A$2:$G$30000,5,FALSE),"")</f>
        <v>0</v>
      </c>
      <c r="AX12" s="49">
        <f>IFERROR(VLOOKUP(TEXT($B$3,"yyyymmdd")&amp;"_"&amp;TEXT($B12*60+AX$10,"0000"),RawData!$A$2:$G$30000,5,FALSE),"")</f>
        <v>0</v>
      </c>
      <c r="AY12" s="49">
        <f>IFERROR(VLOOKUP(TEXT($B$3,"yyyymmdd")&amp;"_"&amp;TEXT($B12*60+AY$10,"0000"),RawData!$A$2:$G$30000,5,FALSE),"")</f>
        <v>0</v>
      </c>
      <c r="AZ12" s="49">
        <f>IFERROR(VLOOKUP(TEXT($B$3,"yyyymmdd")&amp;"_"&amp;TEXT($B12*60+AZ$10,"0000"),RawData!$A$2:$G$30000,5,FALSE),"")</f>
        <v>0</v>
      </c>
      <c r="BA12" s="49">
        <f>IFERROR(VLOOKUP(TEXT($B$3,"yyyymmdd")&amp;"_"&amp;TEXT($B12*60+BA$10,"0000"),RawData!$A$2:$G$30000,5,FALSE),"")</f>
        <v>0</v>
      </c>
      <c r="BB12" s="49">
        <f>IFERROR(VLOOKUP(TEXT($B$3,"yyyymmdd")&amp;"_"&amp;TEXT($B12*60+BB$10,"0000"),RawData!$A$2:$G$30000,5,FALSE),"")</f>
        <v>0</v>
      </c>
      <c r="BC12" s="49">
        <f>IFERROR(VLOOKUP(TEXT($B$3,"yyyymmdd")&amp;"_"&amp;TEXT($B12*60+BC$10,"0000"),RawData!$A$2:$G$30000,5,FALSE),"")</f>
        <v>0</v>
      </c>
      <c r="BD12" s="49">
        <f>IFERROR(VLOOKUP(TEXT($B$3,"yyyymmdd")&amp;"_"&amp;TEXT($B12*60+BD$10,"0000"),RawData!$A$2:$G$30000,5,FALSE),"")</f>
        <v>0</v>
      </c>
      <c r="BE12" s="49">
        <f>IFERROR(VLOOKUP(TEXT($B$3,"yyyymmdd")&amp;"_"&amp;TEXT($B12*60+BE$10,"0000"),RawData!$A$2:$G$30000,5,FALSE),"")</f>
        <v>0</v>
      </c>
      <c r="BF12" s="49">
        <f>IFERROR(VLOOKUP(TEXT($B$3,"yyyymmdd")&amp;"_"&amp;TEXT($B12*60+BF$10,"0000"),RawData!$A$2:$G$30000,5,FALSE),"")</f>
        <v>0</v>
      </c>
      <c r="BG12" s="49">
        <f>IFERROR(VLOOKUP(TEXT($B$3,"yyyymmdd")&amp;"_"&amp;TEXT($B12*60+BG$10,"0000"),RawData!$A$2:$G$30000,5,FALSE),"")</f>
        <v>0</v>
      </c>
      <c r="BH12" s="49">
        <f>IFERROR(VLOOKUP(TEXT($B$3,"yyyymmdd")&amp;"_"&amp;TEXT($B12*60+BH$10,"0000"),RawData!$A$2:$G$30000,5,FALSE),"")</f>
        <v>0</v>
      </c>
      <c r="BI12" s="49">
        <f>IFERROR(VLOOKUP(TEXT($B$3,"yyyymmdd")&amp;"_"&amp;TEXT($B12*60+BI$10,"0000"),RawData!$A$2:$G$30000,5,FALSE),"")</f>
        <v>0</v>
      </c>
      <c r="BJ12" s="49">
        <f>IFERROR(VLOOKUP(TEXT($B$3,"yyyymmdd")&amp;"_"&amp;TEXT($B12*60+BJ$10,"0000"),RawData!$A$2:$G$30000,5,FALSE),"")</f>
        <v>0</v>
      </c>
      <c r="BK12" s="4" t="str">
        <f>IFERROR(VLOOKUP(TEXT($B$3,"yyyymmdd")&amp;"_"&amp;TEXT(1,"0000"),RawData!$A$2:$F$1441,4,FALSE),"")</f>
        <v>00</v>
      </c>
      <c r="BL12" s="19">
        <f>TIME(0,0,0)+1/1440</f>
        <v>6.9444444444444447E-4</v>
      </c>
      <c r="BM12" s="4">
        <f>IFERROR(VLOOKUP(TEXT($B$3,"yyyymmdd")&amp;"_"&amp;TEXT(1,"0000"),RawData!$A$2:$F$1441,5,FALSE),"")</f>
        <v>0</v>
      </c>
      <c r="BN12" s="4">
        <f t="shared" ref="BN12:BN29" si="0">IF(BK12="","",IF(BK12&lt;&gt;BK11,1,0))</f>
        <v>1</v>
      </c>
    </row>
    <row r="13" spans="1:66" ht="18.399999999999999" customHeight="1" x14ac:dyDescent="0.6">
      <c r="B13" s="18">
        <v>2</v>
      </c>
      <c r="C13" s="49">
        <f>IFERROR(VLOOKUP(TEXT($B$3,"yyyymmdd")&amp;"_"&amp;TEXT($B13*60+C$10,"0000"),RawData!$A$2:$G$30000,5,FALSE),"")</f>
        <v>0</v>
      </c>
      <c r="D13" s="49">
        <f>IFERROR(VLOOKUP(TEXT($B$3,"yyyymmdd")&amp;"_"&amp;TEXT($B13*60+D$10,"0000"),RawData!$A$2:$G$30000,5,FALSE),"")</f>
        <v>0</v>
      </c>
      <c r="E13" s="49">
        <f>IFERROR(VLOOKUP(TEXT($B$3,"yyyymmdd")&amp;"_"&amp;TEXT($B13*60+E$10,"0000"),RawData!$A$2:$G$30000,5,FALSE),"")</f>
        <v>0</v>
      </c>
      <c r="F13" s="49">
        <f>IFERROR(VLOOKUP(TEXT($B$3,"yyyymmdd")&amp;"_"&amp;TEXT($B13*60+F$10,"0000"),RawData!$A$2:$G$30000,5,FALSE),"")</f>
        <v>0</v>
      </c>
      <c r="G13" s="49">
        <f>IFERROR(VLOOKUP(TEXT($B$3,"yyyymmdd")&amp;"_"&amp;TEXT($B13*60+G$10,"0000"),RawData!$A$2:$G$30000,5,FALSE),"")</f>
        <v>0</v>
      </c>
      <c r="H13" s="49">
        <f>IFERROR(VLOOKUP(TEXT($B$3,"yyyymmdd")&amp;"_"&amp;TEXT($B13*60+H$10,"0000"),RawData!$A$2:$G$30000,5,FALSE),"")</f>
        <v>0</v>
      </c>
      <c r="I13" s="49">
        <f>IFERROR(VLOOKUP(TEXT($B$3,"yyyymmdd")&amp;"_"&amp;TEXT($B13*60+I$10,"0000"),RawData!$A$2:$G$30000,5,FALSE),"")</f>
        <v>0</v>
      </c>
      <c r="J13" s="49">
        <f>IFERROR(VLOOKUP(TEXT($B$3,"yyyymmdd")&amp;"_"&amp;TEXT($B13*60+J$10,"0000"),RawData!$A$2:$G$30000,5,FALSE),"")</f>
        <v>0</v>
      </c>
      <c r="K13" s="49">
        <f>IFERROR(VLOOKUP(TEXT($B$3,"yyyymmdd")&amp;"_"&amp;TEXT($B13*60+K$10,"0000"),RawData!$A$2:$G$30000,5,FALSE),"")</f>
        <v>0</v>
      </c>
      <c r="L13" s="49">
        <f>IFERROR(VLOOKUP(TEXT($B$3,"yyyymmdd")&amp;"_"&amp;TEXT($B13*60+L$10,"0000"),RawData!$A$2:$G$30000,5,FALSE),"")</f>
        <v>0</v>
      </c>
      <c r="M13" s="49">
        <f>IFERROR(VLOOKUP(TEXT($B$3,"yyyymmdd")&amp;"_"&amp;TEXT($B13*60+M$10,"0000"),RawData!$A$2:$G$30000,5,FALSE),"")</f>
        <v>0</v>
      </c>
      <c r="N13" s="49">
        <f>IFERROR(VLOOKUP(TEXT($B$3,"yyyymmdd")&amp;"_"&amp;TEXT($B13*60+N$10,"0000"),RawData!$A$2:$G$30000,5,FALSE),"")</f>
        <v>0</v>
      </c>
      <c r="O13" s="49">
        <f>IFERROR(VLOOKUP(TEXT($B$3,"yyyymmdd")&amp;"_"&amp;TEXT($B13*60+O$10,"0000"),RawData!$A$2:$G$30000,5,FALSE),"")</f>
        <v>0</v>
      </c>
      <c r="P13" s="49">
        <f>IFERROR(VLOOKUP(TEXT($B$3,"yyyymmdd")&amp;"_"&amp;TEXT($B13*60+P$10,"0000"),RawData!$A$2:$G$30000,5,FALSE),"")</f>
        <v>0</v>
      </c>
      <c r="Q13" s="49">
        <f>IFERROR(VLOOKUP(TEXT($B$3,"yyyymmdd")&amp;"_"&amp;TEXT($B13*60+Q$10,"0000"),RawData!$A$2:$G$30000,5,FALSE),"")</f>
        <v>0</v>
      </c>
      <c r="R13" s="49">
        <f>IFERROR(VLOOKUP(TEXT($B$3,"yyyymmdd")&amp;"_"&amp;TEXT($B13*60+R$10,"0000"),RawData!$A$2:$G$30000,5,FALSE),"")</f>
        <v>0</v>
      </c>
      <c r="S13" s="49">
        <f>IFERROR(VLOOKUP(TEXT($B$3,"yyyymmdd")&amp;"_"&amp;TEXT($B13*60+S$10,"0000"),RawData!$A$2:$G$30000,5,FALSE),"")</f>
        <v>0</v>
      </c>
      <c r="T13" s="49">
        <f>IFERROR(VLOOKUP(TEXT($B$3,"yyyymmdd")&amp;"_"&amp;TEXT($B13*60+T$10,"0000"),RawData!$A$2:$G$30000,5,FALSE),"")</f>
        <v>0</v>
      </c>
      <c r="U13" s="49">
        <f>IFERROR(VLOOKUP(TEXT($B$3,"yyyymmdd")&amp;"_"&amp;TEXT($B13*60+U$10,"0000"),RawData!$A$2:$G$30000,5,FALSE),"")</f>
        <v>0</v>
      </c>
      <c r="V13" s="49">
        <f>IFERROR(VLOOKUP(TEXT($B$3,"yyyymmdd")&amp;"_"&amp;TEXT($B13*60+V$10,"0000"),RawData!$A$2:$G$30000,5,FALSE),"")</f>
        <v>0</v>
      </c>
      <c r="W13" s="49">
        <f>IFERROR(VLOOKUP(TEXT($B$3,"yyyymmdd")&amp;"_"&amp;TEXT($B13*60+W$10,"0000"),RawData!$A$2:$G$30000,5,FALSE),"")</f>
        <v>0</v>
      </c>
      <c r="X13" s="49">
        <f>IFERROR(VLOOKUP(TEXT($B$3,"yyyymmdd")&amp;"_"&amp;TEXT($B13*60+X$10,"0000"),RawData!$A$2:$G$30000,5,FALSE),"")</f>
        <v>0</v>
      </c>
      <c r="Y13" s="49">
        <f>IFERROR(VLOOKUP(TEXT($B$3,"yyyymmdd")&amp;"_"&amp;TEXT($B13*60+Y$10,"0000"),RawData!$A$2:$G$30000,5,FALSE),"")</f>
        <v>0</v>
      </c>
      <c r="Z13" s="49">
        <f>IFERROR(VLOOKUP(TEXT($B$3,"yyyymmdd")&amp;"_"&amp;TEXT($B13*60+Z$10,"0000"),RawData!$A$2:$G$30000,5,FALSE),"")</f>
        <v>0</v>
      </c>
      <c r="AA13" s="49">
        <f>IFERROR(VLOOKUP(TEXT($B$3,"yyyymmdd")&amp;"_"&amp;TEXT($B13*60+AA$10,"0000"),RawData!$A$2:$G$30000,5,FALSE),"")</f>
        <v>0</v>
      </c>
      <c r="AB13" s="49">
        <f>IFERROR(VLOOKUP(TEXT($B$3,"yyyymmdd")&amp;"_"&amp;TEXT($B13*60+AB$10,"0000"),RawData!$A$2:$G$30000,5,FALSE),"")</f>
        <v>0</v>
      </c>
      <c r="AC13" s="49">
        <f>IFERROR(VLOOKUP(TEXT($B$3,"yyyymmdd")&amp;"_"&amp;TEXT($B13*60+AC$10,"0000"),RawData!$A$2:$G$30000,5,FALSE),"")</f>
        <v>0</v>
      </c>
      <c r="AD13" s="49">
        <f>IFERROR(VLOOKUP(TEXT($B$3,"yyyymmdd")&amp;"_"&amp;TEXT($B13*60+AD$10,"0000"),RawData!$A$2:$G$30000,5,FALSE),"")</f>
        <v>0</v>
      </c>
      <c r="AE13" s="49">
        <f>IFERROR(VLOOKUP(TEXT($B$3,"yyyymmdd")&amp;"_"&amp;TEXT($B13*60+AE$10,"0000"),RawData!$A$2:$G$30000,5,FALSE),"")</f>
        <v>0</v>
      </c>
      <c r="AF13" s="49">
        <f>IFERROR(VLOOKUP(TEXT($B$3,"yyyymmdd")&amp;"_"&amp;TEXT($B13*60+AF$10,"0000"),RawData!$A$2:$G$30000,5,FALSE),"")</f>
        <v>0</v>
      </c>
      <c r="AG13" s="49">
        <f>IFERROR(VLOOKUP(TEXT($B$3,"yyyymmdd")&amp;"_"&amp;TEXT($B13*60+AG$10,"0000"),RawData!$A$2:$G$30000,5,FALSE),"")</f>
        <v>0</v>
      </c>
      <c r="AH13" s="49">
        <f>IFERROR(VLOOKUP(TEXT($B$3,"yyyymmdd")&amp;"_"&amp;TEXT($B13*60+AH$10,"0000"),RawData!$A$2:$G$30000,5,FALSE),"")</f>
        <v>0</v>
      </c>
      <c r="AI13" s="49">
        <f>IFERROR(VLOOKUP(TEXT($B$3,"yyyymmdd")&amp;"_"&amp;TEXT($B13*60+AI$10,"0000"),RawData!$A$2:$G$30000,5,FALSE),"")</f>
        <v>0</v>
      </c>
      <c r="AJ13" s="49">
        <f>IFERROR(VLOOKUP(TEXT($B$3,"yyyymmdd")&amp;"_"&amp;TEXT($B13*60+AJ$10,"0000"),RawData!$A$2:$G$30000,5,FALSE),"")</f>
        <v>0</v>
      </c>
      <c r="AK13" s="49">
        <f>IFERROR(VLOOKUP(TEXT($B$3,"yyyymmdd")&amp;"_"&amp;TEXT($B13*60+AK$10,"0000"),RawData!$A$2:$G$30000,5,FALSE),"")</f>
        <v>0</v>
      </c>
      <c r="AL13" s="49">
        <f>IFERROR(VLOOKUP(TEXT($B$3,"yyyymmdd")&amp;"_"&amp;TEXT($B13*60+AL$10,"0000"),RawData!$A$2:$G$30000,5,FALSE),"")</f>
        <v>0</v>
      </c>
      <c r="AM13" s="49">
        <f>IFERROR(VLOOKUP(TEXT($B$3,"yyyymmdd")&amp;"_"&amp;TEXT($B13*60+AM$10,"0000"),RawData!$A$2:$G$30000,5,FALSE),"")</f>
        <v>0</v>
      </c>
      <c r="AN13" s="49">
        <f>IFERROR(VLOOKUP(TEXT($B$3,"yyyymmdd")&amp;"_"&amp;TEXT($B13*60+AN$10,"0000"),RawData!$A$2:$G$30000,5,FALSE),"")</f>
        <v>0</v>
      </c>
      <c r="AO13" s="49">
        <f>IFERROR(VLOOKUP(TEXT($B$3,"yyyymmdd")&amp;"_"&amp;TEXT($B13*60+AO$10,"0000"),RawData!$A$2:$G$30000,5,FALSE),"")</f>
        <v>0</v>
      </c>
      <c r="AP13" s="49">
        <f>IFERROR(VLOOKUP(TEXT($B$3,"yyyymmdd")&amp;"_"&amp;TEXT($B13*60+AP$10,"0000"),RawData!$A$2:$G$30000,5,FALSE),"")</f>
        <v>0</v>
      </c>
      <c r="AQ13" s="49">
        <f>IFERROR(VLOOKUP(TEXT($B$3,"yyyymmdd")&amp;"_"&amp;TEXT($B13*60+AQ$10,"0000"),RawData!$A$2:$G$30000,5,FALSE),"")</f>
        <v>0</v>
      </c>
      <c r="AR13" s="49">
        <f>IFERROR(VLOOKUP(TEXT($B$3,"yyyymmdd")&amp;"_"&amp;TEXT($B13*60+AR$10,"0000"),RawData!$A$2:$G$30000,5,FALSE),"")</f>
        <v>0</v>
      </c>
      <c r="AS13" s="49">
        <f>IFERROR(VLOOKUP(TEXT($B$3,"yyyymmdd")&amp;"_"&amp;TEXT($B13*60+AS$10,"0000"),RawData!$A$2:$G$30000,5,FALSE),"")</f>
        <v>0</v>
      </c>
      <c r="AT13" s="49">
        <f>IFERROR(VLOOKUP(TEXT($B$3,"yyyymmdd")&amp;"_"&amp;TEXT($B13*60+AT$10,"0000"),RawData!$A$2:$G$30000,5,FALSE),"")</f>
        <v>0</v>
      </c>
      <c r="AU13" s="49">
        <f>IFERROR(VLOOKUP(TEXT($B$3,"yyyymmdd")&amp;"_"&amp;TEXT($B13*60+AU$10,"0000"),RawData!$A$2:$G$30000,5,FALSE),"")</f>
        <v>0</v>
      </c>
      <c r="AV13" s="49">
        <f>IFERROR(VLOOKUP(TEXT($B$3,"yyyymmdd")&amp;"_"&amp;TEXT($B13*60+AV$10,"0000"),RawData!$A$2:$G$30000,5,FALSE),"")</f>
        <v>0</v>
      </c>
      <c r="AW13" s="49">
        <f>IFERROR(VLOOKUP(TEXT($B$3,"yyyymmdd")&amp;"_"&amp;TEXT($B13*60+AW$10,"0000"),RawData!$A$2:$G$30000,5,FALSE),"")</f>
        <v>0</v>
      </c>
      <c r="AX13" s="49">
        <f>IFERROR(VLOOKUP(TEXT($B$3,"yyyymmdd")&amp;"_"&amp;TEXT($B13*60+AX$10,"0000"),RawData!$A$2:$G$30000,5,FALSE),"")</f>
        <v>0</v>
      </c>
      <c r="AY13" s="49">
        <f>IFERROR(VLOOKUP(TEXT($B$3,"yyyymmdd")&amp;"_"&amp;TEXT($B13*60+AY$10,"0000"),RawData!$A$2:$G$30000,5,FALSE),"")</f>
        <v>0</v>
      </c>
      <c r="AZ13" s="49">
        <f>IFERROR(VLOOKUP(TEXT($B$3,"yyyymmdd")&amp;"_"&amp;TEXT($B13*60+AZ$10,"0000"),RawData!$A$2:$G$30000,5,FALSE),"")</f>
        <v>0</v>
      </c>
      <c r="BA13" s="49">
        <f>IFERROR(VLOOKUP(TEXT($B$3,"yyyymmdd")&amp;"_"&amp;TEXT($B13*60+BA$10,"0000"),RawData!$A$2:$G$30000,5,FALSE),"")</f>
        <v>0</v>
      </c>
      <c r="BB13" s="49">
        <f>IFERROR(VLOOKUP(TEXT($B$3,"yyyymmdd")&amp;"_"&amp;TEXT($B13*60+BB$10,"0000"),RawData!$A$2:$G$30000,5,FALSE),"")</f>
        <v>0</v>
      </c>
      <c r="BC13" s="49">
        <f>IFERROR(VLOOKUP(TEXT($B$3,"yyyymmdd")&amp;"_"&amp;TEXT($B13*60+BC$10,"0000"),RawData!$A$2:$G$30000,5,FALSE),"")</f>
        <v>0</v>
      </c>
      <c r="BD13" s="49">
        <f>IFERROR(VLOOKUP(TEXT($B$3,"yyyymmdd")&amp;"_"&amp;TEXT($B13*60+BD$10,"0000"),RawData!$A$2:$G$30000,5,FALSE),"")</f>
        <v>0</v>
      </c>
      <c r="BE13" s="49">
        <f>IFERROR(VLOOKUP(TEXT($B$3,"yyyymmdd")&amp;"_"&amp;TEXT($B13*60+BE$10,"0000"),RawData!$A$2:$G$30000,5,FALSE),"")</f>
        <v>0</v>
      </c>
      <c r="BF13" s="49">
        <f>IFERROR(VLOOKUP(TEXT($B$3,"yyyymmdd")&amp;"_"&amp;TEXT($B13*60+BF$10,"0000"),RawData!$A$2:$G$30000,5,FALSE),"")</f>
        <v>0</v>
      </c>
      <c r="BG13" s="49">
        <f>IFERROR(VLOOKUP(TEXT($B$3,"yyyymmdd")&amp;"_"&amp;TEXT($B13*60+BG$10,"0000"),RawData!$A$2:$G$30000,5,FALSE),"")</f>
        <v>0</v>
      </c>
      <c r="BH13" s="49">
        <f>IFERROR(VLOOKUP(TEXT($B$3,"yyyymmdd")&amp;"_"&amp;TEXT($B13*60+BH$10,"0000"),RawData!$A$2:$G$30000,5,FALSE),"")</f>
        <v>0</v>
      </c>
      <c r="BI13" s="49">
        <f>IFERROR(VLOOKUP(TEXT($B$3,"yyyymmdd")&amp;"_"&amp;TEXT($B13*60+BI$10,"0000"),RawData!$A$2:$G$30000,5,FALSE),"")</f>
        <v>0</v>
      </c>
      <c r="BJ13" s="49">
        <f>IFERROR(VLOOKUP(TEXT($B$3,"yyyymmdd")&amp;"_"&amp;TEXT($B13*60+BJ$10,"0000"),RawData!$A$2:$G$30000,5,FALSE),"")</f>
        <v>0</v>
      </c>
      <c r="BK13" s="4" t="str">
        <f>IFERROR(VLOOKUP(TEXT($B$3,"yyyymmdd")&amp;"_"&amp;TEXT(2,"0000"),RawData!$A$2:$F$1441,4,FALSE),"")</f>
        <v>00</v>
      </c>
      <c r="BL13" s="19">
        <f>TIME(0,0,0)+2/1440</f>
        <v>1.3888888888888889E-3</v>
      </c>
      <c r="BM13" s="4">
        <f>IFERROR(VLOOKUP(TEXT($B$3,"yyyymmdd")&amp;"_"&amp;TEXT(2,"0000"),RawData!$A$2:$F$1441,5,FALSE),"")</f>
        <v>0</v>
      </c>
      <c r="BN13" s="4">
        <f t="shared" si="0"/>
        <v>0</v>
      </c>
    </row>
    <row r="14" spans="1:66" ht="18.399999999999999" customHeight="1" x14ac:dyDescent="0.6">
      <c r="B14" s="18">
        <v>3</v>
      </c>
      <c r="C14" s="49">
        <f>IFERROR(VLOOKUP(TEXT($B$3,"yyyymmdd")&amp;"_"&amp;TEXT($B14*60+C$10,"0000"),RawData!$A$2:$G$30000,5,FALSE),"")</f>
        <v>0</v>
      </c>
      <c r="D14" s="49">
        <f>IFERROR(VLOOKUP(TEXT($B$3,"yyyymmdd")&amp;"_"&amp;TEXT($B14*60+D$10,"0000"),RawData!$A$2:$G$30000,5,FALSE),"")</f>
        <v>0</v>
      </c>
      <c r="E14" s="49">
        <f>IFERROR(VLOOKUP(TEXT($B$3,"yyyymmdd")&amp;"_"&amp;TEXT($B14*60+E$10,"0000"),RawData!$A$2:$G$30000,5,FALSE),"")</f>
        <v>0</v>
      </c>
      <c r="F14" s="49">
        <f>IFERROR(VLOOKUP(TEXT($B$3,"yyyymmdd")&amp;"_"&amp;TEXT($B14*60+F$10,"0000"),RawData!$A$2:$G$30000,5,FALSE),"")</f>
        <v>0</v>
      </c>
      <c r="G14" s="49">
        <f>IFERROR(VLOOKUP(TEXT($B$3,"yyyymmdd")&amp;"_"&amp;TEXT($B14*60+G$10,"0000"),RawData!$A$2:$G$30000,5,FALSE),"")</f>
        <v>0</v>
      </c>
      <c r="H14" s="49">
        <f>IFERROR(VLOOKUP(TEXT($B$3,"yyyymmdd")&amp;"_"&amp;TEXT($B14*60+H$10,"0000"),RawData!$A$2:$G$30000,5,FALSE),"")</f>
        <v>0</v>
      </c>
      <c r="I14" s="49">
        <f>IFERROR(VLOOKUP(TEXT($B$3,"yyyymmdd")&amp;"_"&amp;TEXT($B14*60+I$10,"0000"),RawData!$A$2:$G$30000,5,FALSE),"")</f>
        <v>0</v>
      </c>
      <c r="J14" s="49">
        <f>IFERROR(VLOOKUP(TEXT($B$3,"yyyymmdd")&amp;"_"&amp;TEXT($B14*60+J$10,"0000"),RawData!$A$2:$G$30000,5,FALSE),"")</f>
        <v>0</v>
      </c>
      <c r="K14" s="49">
        <f>IFERROR(VLOOKUP(TEXT($B$3,"yyyymmdd")&amp;"_"&amp;TEXT($B14*60+K$10,"0000"),RawData!$A$2:$G$30000,5,FALSE),"")</f>
        <v>0</v>
      </c>
      <c r="L14" s="49">
        <f>IFERROR(VLOOKUP(TEXT($B$3,"yyyymmdd")&amp;"_"&amp;TEXT($B14*60+L$10,"0000"),RawData!$A$2:$G$30000,5,FALSE),"")</f>
        <v>0</v>
      </c>
      <c r="M14" s="49">
        <f>IFERROR(VLOOKUP(TEXT($B$3,"yyyymmdd")&amp;"_"&amp;TEXT($B14*60+M$10,"0000"),RawData!$A$2:$G$30000,5,FALSE),"")</f>
        <v>0</v>
      </c>
      <c r="N14" s="49">
        <f>IFERROR(VLOOKUP(TEXT($B$3,"yyyymmdd")&amp;"_"&amp;TEXT($B14*60+N$10,"0000"),RawData!$A$2:$G$30000,5,FALSE),"")</f>
        <v>0</v>
      </c>
      <c r="O14" s="49">
        <f>IFERROR(VLOOKUP(TEXT($B$3,"yyyymmdd")&amp;"_"&amp;TEXT($B14*60+O$10,"0000"),RawData!$A$2:$G$30000,5,FALSE),"")</f>
        <v>0</v>
      </c>
      <c r="P14" s="49">
        <f>IFERROR(VLOOKUP(TEXT($B$3,"yyyymmdd")&amp;"_"&amp;TEXT($B14*60+P$10,"0000"),RawData!$A$2:$G$30000,5,FALSE),"")</f>
        <v>0</v>
      </c>
      <c r="Q14" s="49">
        <f>IFERROR(VLOOKUP(TEXT($B$3,"yyyymmdd")&amp;"_"&amp;TEXT($B14*60+Q$10,"0000"),RawData!$A$2:$G$30000,5,FALSE),"")</f>
        <v>0</v>
      </c>
      <c r="R14" s="49">
        <f>IFERROR(VLOOKUP(TEXT($B$3,"yyyymmdd")&amp;"_"&amp;TEXT($B14*60+R$10,"0000"),RawData!$A$2:$G$30000,5,FALSE),"")</f>
        <v>0</v>
      </c>
      <c r="S14" s="49">
        <f>IFERROR(VLOOKUP(TEXT($B$3,"yyyymmdd")&amp;"_"&amp;TEXT($B14*60+S$10,"0000"),RawData!$A$2:$G$30000,5,FALSE),"")</f>
        <v>0</v>
      </c>
      <c r="T14" s="49">
        <f>IFERROR(VLOOKUP(TEXT($B$3,"yyyymmdd")&amp;"_"&amp;TEXT($B14*60+T$10,"0000"),RawData!$A$2:$G$30000,5,FALSE),"")</f>
        <v>0</v>
      </c>
      <c r="U14" s="49">
        <f>IFERROR(VLOOKUP(TEXT($B$3,"yyyymmdd")&amp;"_"&amp;TEXT($B14*60+U$10,"0000"),RawData!$A$2:$G$30000,5,FALSE),"")</f>
        <v>0</v>
      </c>
      <c r="V14" s="49">
        <f>IFERROR(VLOOKUP(TEXT($B$3,"yyyymmdd")&amp;"_"&amp;TEXT($B14*60+V$10,"0000"),RawData!$A$2:$G$30000,5,FALSE),"")</f>
        <v>0</v>
      </c>
      <c r="W14" s="49">
        <f>IFERROR(VLOOKUP(TEXT($B$3,"yyyymmdd")&amp;"_"&amp;TEXT($B14*60+W$10,"0000"),RawData!$A$2:$G$30000,5,FALSE),"")</f>
        <v>0</v>
      </c>
      <c r="X14" s="49">
        <f>IFERROR(VLOOKUP(TEXT($B$3,"yyyymmdd")&amp;"_"&amp;TEXT($B14*60+X$10,"0000"),RawData!$A$2:$G$30000,5,FALSE),"")</f>
        <v>0</v>
      </c>
      <c r="Y14" s="49">
        <f>IFERROR(VLOOKUP(TEXT($B$3,"yyyymmdd")&amp;"_"&amp;TEXT($B14*60+Y$10,"0000"),RawData!$A$2:$G$30000,5,FALSE),"")</f>
        <v>0</v>
      </c>
      <c r="Z14" s="49">
        <f>IFERROR(VLOOKUP(TEXT($B$3,"yyyymmdd")&amp;"_"&amp;TEXT($B14*60+Z$10,"0000"),RawData!$A$2:$G$30000,5,FALSE),"")</f>
        <v>0</v>
      </c>
      <c r="AA14" s="49">
        <f>IFERROR(VLOOKUP(TEXT($B$3,"yyyymmdd")&amp;"_"&amp;TEXT($B14*60+AA$10,"0000"),RawData!$A$2:$G$30000,5,FALSE),"")</f>
        <v>0</v>
      </c>
      <c r="AB14" s="49">
        <f>IFERROR(VLOOKUP(TEXT($B$3,"yyyymmdd")&amp;"_"&amp;TEXT($B14*60+AB$10,"0000"),RawData!$A$2:$G$30000,5,FALSE),"")</f>
        <v>0</v>
      </c>
      <c r="AC14" s="49">
        <f>IFERROR(VLOOKUP(TEXT($B$3,"yyyymmdd")&amp;"_"&amp;TEXT($B14*60+AC$10,"0000"),RawData!$A$2:$G$30000,5,FALSE),"")</f>
        <v>0</v>
      </c>
      <c r="AD14" s="49">
        <f>IFERROR(VLOOKUP(TEXT($B$3,"yyyymmdd")&amp;"_"&amp;TEXT($B14*60+AD$10,"0000"),RawData!$A$2:$G$30000,5,FALSE),"")</f>
        <v>0</v>
      </c>
      <c r="AE14" s="49">
        <f>IFERROR(VLOOKUP(TEXT($B$3,"yyyymmdd")&amp;"_"&amp;TEXT($B14*60+AE$10,"0000"),RawData!$A$2:$G$30000,5,FALSE),"")</f>
        <v>0</v>
      </c>
      <c r="AF14" s="49">
        <f>IFERROR(VLOOKUP(TEXT($B$3,"yyyymmdd")&amp;"_"&amp;TEXT($B14*60+AF$10,"0000"),RawData!$A$2:$G$30000,5,FALSE),"")</f>
        <v>0</v>
      </c>
      <c r="AG14" s="49">
        <f>IFERROR(VLOOKUP(TEXT($B$3,"yyyymmdd")&amp;"_"&amp;TEXT($B14*60+AG$10,"0000"),RawData!$A$2:$G$30000,5,FALSE),"")</f>
        <v>0</v>
      </c>
      <c r="AH14" s="49">
        <f>IFERROR(VLOOKUP(TEXT($B$3,"yyyymmdd")&amp;"_"&amp;TEXT($B14*60+AH$10,"0000"),RawData!$A$2:$G$30000,5,FALSE),"")</f>
        <v>0</v>
      </c>
      <c r="AI14" s="49">
        <f>IFERROR(VLOOKUP(TEXT($B$3,"yyyymmdd")&amp;"_"&amp;TEXT($B14*60+AI$10,"0000"),RawData!$A$2:$G$30000,5,FALSE),"")</f>
        <v>0</v>
      </c>
      <c r="AJ14" s="49">
        <f>IFERROR(VLOOKUP(TEXT($B$3,"yyyymmdd")&amp;"_"&amp;TEXT($B14*60+AJ$10,"0000"),RawData!$A$2:$G$30000,5,FALSE),"")</f>
        <v>0</v>
      </c>
      <c r="AK14" s="49">
        <f>IFERROR(VLOOKUP(TEXT($B$3,"yyyymmdd")&amp;"_"&amp;TEXT($B14*60+AK$10,"0000"),RawData!$A$2:$G$30000,5,FALSE),"")</f>
        <v>0</v>
      </c>
      <c r="AL14" s="49">
        <f>IFERROR(VLOOKUP(TEXT($B$3,"yyyymmdd")&amp;"_"&amp;TEXT($B14*60+AL$10,"0000"),RawData!$A$2:$G$30000,5,FALSE),"")</f>
        <v>0</v>
      </c>
      <c r="AM14" s="49">
        <f>IFERROR(VLOOKUP(TEXT($B$3,"yyyymmdd")&amp;"_"&amp;TEXT($B14*60+AM$10,"0000"),RawData!$A$2:$G$30000,5,FALSE),"")</f>
        <v>0</v>
      </c>
      <c r="AN14" s="49">
        <f>IFERROR(VLOOKUP(TEXT($B$3,"yyyymmdd")&amp;"_"&amp;TEXT($B14*60+AN$10,"0000"),RawData!$A$2:$G$30000,5,FALSE),"")</f>
        <v>0</v>
      </c>
      <c r="AO14" s="49">
        <f>IFERROR(VLOOKUP(TEXT($B$3,"yyyymmdd")&amp;"_"&amp;TEXT($B14*60+AO$10,"0000"),RawData!$A$2:$G$30000,5,FALSE),"")</f>
        <v>0</v>
      </c>
      <c r="AP14" s="49">
        <f>IFERROR(VLOOKUP(TEXT($B$3,"yyyymmdd")&amp;"_"&amp;TEXT($B14*60+AP$10,"0000"),RawData!$A$2:$G$30000,5,FALSE),"")</f>
        <v>0</v>
      </c>
      <c r="AQ14" s="49">
        <f>IFERROR(VLOOKUP(TEXT($B$3,"yyyymmdd")&amp;"_"&amp;TEXT($B14*60+AQ$10,"0000"),RawData!$A$2:$G$30000,5,FALSE),"")</f>
        <v>0</v>
      </c>
      <c r="AR14" s="49">
        <f>IFERROR(VLOOKUP(TEXT($B$3,"yyyymmdd")&amp;"_"&amp;TEXT($B14*60+AR$10,"0000"),RawData!$A$2:$G$30000,5,FALSE),"")</f>
        <v>0</v>
      </c>
      <c r="AS14" s="49">
        <f>IFERROR(VLOOKUP(TEXT($B$3,"yyyymmdd")&amp;"_"&amp;TEXT($B14*60+AS$10,"0000"),RawData!$A$2:$G$30000,5,FALSE),"")</f>
        <v>0</v>
      </c>
      <c r="AT14" s="49">
        <f>IFERROR(VLOOKUP(TEXT($B$3,"yyyymmdd")&amp;"_"&amp;TEXT($B14*60+AT$10,"0000"),RawData!$A$2:$G$30000,5,FALSE),"")</f>
        <v>0</v>
      </c>
      <c r="AU14" s="49">
        <f>IFERROR(VLOOKUP(TEXT($B$3,"yyyymmdd")&amp;"_"&amp;TEXT($B14*60+AU$10,"0000"),RawData!$A$2:$G$30000,5,FALSE),"")</f>
        <v>0</v>
      </c>
      <c r="AV14" s="49">
        <f>IFERROR(VLOOKUP(TEXT($B$3,"yyyymmdd")&amp;"_"&amp;TEXT($B14*60+AV$10,"0000"),RawData!$A$2:$G$30000,5,FALSE),"")</f>
        <v>0</v>
      </c>
      <c r="AW14" s="49">
        <f>IFERROR(VLOOKUP(TEXT($B$3,"yyyymmdd")&amp;"_"&amp;TEXT($B14*60+AW$10,"0000"),RawData!$A$2:$G$30000,5,FALSE),"")</f>
        <v>0</v>
      </c>
      <c r="AX14" s="49">
        <f>IFERROR(VLOOKUP(TEXT($B$3,"yyyymmdd")&amp;"_"&amp;TEXT($B14*60+AX$10,"0000"),RawData!$A$2:$G$30000,5,FALSE),"")</f>
        <v>0</v>
      </c>
      <c r="AY14" s="49">
        <f>IFERROR(VLOOKUP(TEXT($B$3,"yyyymmdd")&amp;"_"&amp;TEXT($B14*60+AY$10,"0000"),RawData!$A$2:$G$30000,5,FALSE),"")</f>
        <v>0</v>
      </c>
      <c r="AZ14" s="49">
        <f>IFERROR(VLOOKUP(TEXT($B$3,"yyyymmdd")&amp;"_"&amp;TEXT($B14*60+AZ$10,"0000"),RawData!$A$2:$G$30000,5,FALSE),"")</f>
        <v>0</v>
      </c>
      <c r="BA14" s="49">
        <f>IFERROR(VLOOKUP(TEXT($B$3,"yyyymmdd")&amp;"_"&amp;TEXT($B14*60+BA$10,"0000"),RawData!$A$2:$G$30000,5,FALSE),"")</f>
        <v>0</v>
      </c>
      <c r="BB14" s="49">
        <f>IFERROR(VLOOKUP(TEXT($B$3,"yyyymmdd")&amp;"_"&amp;TEXT($B14*60+BB$10,"0000"),RawData!$A$2:$G$30000,5,FALSE),"")</f>
        <v>0</v>
      </c>
      <c r="BC14" s="49">
        <f>IFERROR(VLOOKUP(TEXT($B$3,"yyyymmdd")&amp;"_"&amp;TEXT($B14*60+BC$10,"0000"),RawData!$A$2:$G$30000,5,FALSE),"")</f>
        <v>0</v>
      </c>
      <c r="BD14" s="49">
        <f>IFERROR(VLOOKUP(TEXT($B$3,"yyyymmdd")&amp;"_"&amp;TEXT($B14*60+BD$10,"0000"),RawData!$A$2:$G$30000,5,FALSE),"")</f>
        <v>0</v>
      </c>
      <c r="BE14" s="49">
        <f>IFERROR(VLOOKUP(TEXT($B$3,"yyyymmdd")&amp;"_"&amp;TEXT($B14*60+BE$10,"0000"),RawData!$A$2:$G$30000,5,FALSE),"")</f>
        <v>0</v>
      </c>
      <c r="BF14" s="49">
        <f>IFERROR(VLOOKUP(TEXT($B$3,"yyyymmdd")&amp;"_"&amp;TEXT($B14*60+BF$10,"0000"),RawData!$A$2:$G$30000,5,FALSE),"")</f>
        <v>0</v>
      </c>
      <c r="BG14" s="49">
        <f>IFERROR(VLOOKUP(TEXT($B$3,"yyyymmdd")&amp;"_"&amp;TEXT($B14*60+BG$10,"0000"),RawData!$A$2:$G$30000,5,FALSE),"")</f>
        <v>0</v>
      </c>
      <c r="BH14" s="49">
        <f>IFERROR(VLOOKUP(TEXT($B$3,"yyyymmdd")&amp;"_"&amp;TEXT($B14*60+BH$10,"0000"),RawData!$A$2:$G$30000,5,FALSE),"")</f>
        <v>0</v>
      </c>
      <c r="BI14" s="49">
        <f>IFERROR(VLOOKUP(TEXT($B$3,"yyyymmdd")&amp;"_"&amp;TEXT($B14*60+BI$10,"0000"),RawData!$A$2:$G$30000,5,FALSE),"")</f>
        <v>0</v>
      </c>
      <c r="BJ14" s="49">
        <f>IFERROR(VLOOKUP(TEXT($B$3,"yyyymmdd")&amp;"_"&amp;TEXT($B14*60+BJ$10,"0000"),RawData!$A$2:$G$30000,5,FALSE),"")</f>
        <v>0</v>
      </c>
      <c r="BK14" s="4" t="str">
        <f>IFERROR(VLOOKUP(TEXT($B$3,"yyyymmdd")&amp;"_"&amp;TEXT(3,"0000"),RawData!$A$2:$F$1441,4,FALSE),"")</f>
        <v>00</v>
      </c>
      <c r="BL14" s="19">
        <f>TIME(0,0,0)+3/1440</f>
        <v>2.0833333333333333E-3</v>
      </c>
      <c r="BM14" s="4">
        <f>IFERROR(VLOOKUP(TEXT($B$3,"yyyymmdd")&amp;"_"&amp;TEXT(3,"0000"),RawData!$A$2:$F$1441,5,FALSE),"")</f>
        <v>0</v>
      </c>
      <c r="BN14" s="4">
        <f t="shared" si="0"/>
        <v>0</v>
      </c>
    </row>
    <row r="15" spans="1:66" ht="18.399999999999999" customHeight="1" x14ac:dyDescent="0.6">
      <c r="B15" s="18">
        <v>4</v>
      </c>
      <c r="C15" s="49">
        <f>IFERROR(VLOOKUP(TEXT($B$3,"yyyymmdd")&amp;"_"&amp;TEXT($B15*60+C$10,"0000"),RawData!$A$2:$G$30000,5,FALSE),"")</f>
        <v>0</v>
      </c>
      <c r="D15" s="49">
        <f>IFERROR(VLOOKUP(TEXT($B$3,"yyyymmdd")&amp;"_"&amp;TEXT($B15*60+D$10,"0000"),RawData!$A$2:$G$30000,5,FALSE),"")</f>
        <v>0</v>
      </c>
      <c r="E15" s="49">
        <f>IFERROR(VLOOKUP(TEXT($B$3,"yyyymmdd")&amp;"_"&amp;TEXT($B15*60+E$10,"0000"),RawData!$A$2:$G$30000,5,FALSE),"")</f>
        <v>0</v>
      </c>
      <c r="F15" s="49">
        <f>IFERROR(VLOOKUP(TEXT($B$3,"yyyymmdd")&amp;"_"&amp;TEXT($B15*60+F$10,"0000"),RawData!$A$2:$G$30000,5,FALSE),"")</f>
        <v>0</v>
      </c>
      <c r="G15" s="49">
        <f>IFERROR(VLOOKUP(TEXT($B$3,"yyyymmdd")&amp;"_"&amp;TEXT($B15*60+G$10,"0000"),RawData!$A$2:$G$30000,5,FALSE),"")</f>
        <v>0</v>
      </c>
      <c r="H15" s="49">
        <f>IFERROR(VLOOKUP(TEXT($B$3,"yyyymmdd")&amp;"_"&amp;TEXT($B15*60+H$10,"0000"),RawData!$A$2:$G$30000,5,FALSE),"")</f>
        <v>0</v>
      </c>
      <c r="I15" s="49">
        <f>IFERROR(VLOOKUP(TEXT($B$3,"yyyymmdd")&amp;"_"&amp;TEXT($B15*60+I$10,"0000"),RawData!$A$2:$G$30000,5,FALSE),"")</f>
        <v>0</v>
      </c>
      <c r="J15" s="49">
        <f>IFERROR(VLOOKUP(TEXT($B$3,"yyyymmdd")&amp;"_"&amp;TEXT($B15*60+J$10,"0000"),RawData!$A$2:$G$30000,5,FALSE),"")</f>
        <v>0</v>
      </c>
      <c r="K15" s="49">
        <f>IFERROR(VLOOKUP(TEXT($B$3,"yyyymmdd")&amp;"_"&amp;TEXT($B15*60+K$10,"0000"),RawData!$A$2:$G$30000,5,FALSE),"")</f>
        <v>0</v>
      </c>
      <c r="L15" s="49">
        <f>IFERROR(VLOOKUP(TEXT($B$3,"yyyymmdd")&amp;"_"&amp;TEXT($B15*60+L$10,"0000"),RawData!$A$2:$G$30000,5,FALSE),"")</f>
        <v>0</v>
      </c>
      <c r="M15" s="49">
        <f>IFERROR(VLOOKUP(TEXT($B$3,"yyyymmdd")&amp;"_"&amp;TEXT($B15*60+M$10,"0000"),RawData!$A$2:$G$30000,5,FALSE),"")</f>
        <v>0</v>
      </c>
      <c r="N15" s="49">
        <f>IFERROR(VLOOKUP(TEXT($B$3,"yyyymmdd")&amp;"_"&amp;TEXT($B15*60+N$10,"0000"),RawData!$A$2:$G$30000,5,FALSE),"")</f>
        <v>0</v>
      </c>
      <c r="O15" s="49">
        <f>IFERROR(VLOOKUP(TEXT($B$3,"yyyymmdd")&amp;"_"&amp;TEXT($B15*60+O$10,"0000"),RawData!$A$2:$G$30000,5,FALSE),"")</f>
        <v>0</v>
      </c>
      <c r="P15" s="49">
        <f>IFERROR(VLOOKUP(TEXT($B$3,"yyyymmdd")&amp;"_"&amp;TEXT($B15*60+P$10,"0000"),RawData!$A$2:$G$30000,5,FALSE),"")</f>
        <v>0</v>
      </c>
      <c r="Q15" s="49">
        <f>IFERROR(VLOOKUP(TEXT($B$3,"yyyymmdd")&amp;"_"&amp;TEXT($B15*60+Q$10,"0000"),RawData!$A$2:$G$30000,5,FALSE),"")</f>
        <v>0</v>
      </c>
      <c r="R15" s="49">
        <f>IFERROR(VLOOKUP(TEXT($B$3,"yyyymmdd")&amp;"_"&amp;TEXT($B15*60+R$10,"0000"),RawData!$A$2:$G$30000,5,FALSE),"")</f>
        <v>0</v>
      </c>
      <c r="S15" s="49">
        <f>IFERROR(VLOOKUP(TEXT($B$3,"yyyymmdd")&amp;"_"&amp;TEXT($B15*60+S$10,"0000"),RawData!$A$2:$G$30000,5,FALSE),"")</f>
        <v>0</v>
      </c>
      <c r="T15" s="49">
        <f>IFERROR(VLOOKUP(TEXT($B$3,"yyyymmdd")&amp;"_"&amp;TEXT($B15*60+T$10,"0000"),RawData!$A$2:$G$30000,5,FALSE),"")</f>
        <v>0</v>
      </c>
      <c r="U15" s="49">
        <f>IFERROR(VLOOKUP(TEXT($B$3,"yyyymmdd")&amp;"_"&amp;TEXT($B15*60+U$10,"0000"),RawData!$A$2:$G$30000,5,FALSE),"")</f>
        <v>0</v>
      </c>
      <c r="V15" s="49">
        <f>IFERROR(VLOOKUP(TEXT($B$3,"yyyymmdd")&amp;"_"&amp;TEXT($B15*60+V$10,"0000"),RawData!$A$2:$G$30000,5,FALSE),"")</f>
        <v>0</v>
      </c>
      <c r="W15" s="49">
        <f>IFERROR(VLOOKUP(TEXT($B$3,"yyyymmdd")&amp;"_"&amp;TEXT($B15*60+W$10,"0000"),RawData!$A$2:$G$30000,5,FALSE),"")</f>
        <v>0</v>
      </c>
      <c r="X15" s="49">
        <f>IFERROR(VLOOKUP(TEXT($B$3,"yyyymmdd")&amp;"_"&amp;TEXT($B15*60+X$10,"0000"),RawData!$A$2:$G$30000,5,FALSE),"")</f>
        <v>0</v>
      </c>
      <c r="Y15" s="49">
        <f>IFERROR(VLOOKUP(TEXT($B$3,"yyyymmdd")&amp;"_"&amp;TEXT($B15*60+Y$10,"0000"),RawData!$A$2:$G$30000,5,FALSE),"")</f>
        <v>0</v>
      </c>
      <c r="Z15" s="49">
        <f>IFERROR(VLOOKUP(TEXT($B$3,"yyyymmdd")&amp;"_"&amp;TEXT($B15*60+Z$10,"0000"),RawData!$A$2:$G$30000,5,FALSE),"")</f>
        <v>0</v>
      </c>
      <c r="AA15" s="49">
        <f>IFERROR(VLOOKUP(TEXT($B$3,"yyyymmdd")&amp;"_"&amp;TEXT($B15*60+AA$10,"0000"),RawData!$A$2:$G$30000,5,FALSE),"")</f>
        <v>0</v>
      </c>
      <c r="AB15" s="49">
        <f>IFERROR(VLOOKUP(TEXT($B$3,"yyyymmdd")&amp;"_"&amp;TEXT($B15*60+AB$10,"0000"),RawData!$A$2:$G$30000,5,FALSE),"")</f>
        <v>0</v>
      </c>
      <c r="AC15" s="49">
        <f>IFERROR(VLOOKUP(TEXT($B$3,"yyyymmdd")&amp;"_"&amp;TEXT($B15*60+AC$10,"0000"),RawData!$A$2:$G$30000,5,FALSE),"")</f>
        <v>0</v>
      </c>
      <c r="AD15" s="49">
        <f>IFERROR(VLOOKUP(TEXT($B$3,"yyyymmdd")&amp;"_"&amp;TEXT($B15*60+AD$10,"0000"),RawData!$A$2:$G$30000,5,FALSE),"")</f>
        <v>0</v>
      </c>
      <c r="AE15" s="49">
        <f>IFERROR(VLOOKUP(TEXT($B$3,"yyyymmdd")&amp;"_"&amp;TEXT($B15*60+AE$10,"0000"),RawData!$A$2:$G$30000,5,FALSE),"")</f>
        <v>0</v>
      </c>
      <c r="AF15" s="49">
        <f>IFERROR(VLOOKUP(TEXT($B$3,"yyyymmdd")&amp;"_"&amp;TEXT($B15*60+AF$10,"0000"),RawData!$A$2:$G$30000,5,FALSE),"")</f>
        <v>0</v>
      </c>
      <c r="AG15" s="49">
        <f>IFERROR(VLOOKUP(TEXT($B$3,"yyyymmdd")&amp;"_"&amp;TEXT($B15*60+AG$10,"0000"),RawData!$A$2:$G$30000,5,FALSE),"")</f>
        <v>0</v>
      </c>
      <c r="AH15" s="49">
        <f>IFERROR(VLOOKUP(TEXT($B$3,"yyyymmdd")&amp;"_"&amp;TEXT($B15*60+AH$10,"0000"),RawData!$A$2:$G$30000,5,FALSE),"")</f>
        <v>0</v>
      </c>
      <c r="AI15" s="49">
        <f>IFERROR(VLOOKUP(TEXT($B$3,"yyyymmdd")&amp;"_"&amp;TEXT($B15*60+AI$10,"0000"),RawData!$A$2:$G$30000,5,FALSE),"")</f>
        <v>0</v>
      </c>
      <c r="AJ15" s="49">
        <f>IFERROR(VLOOKUP(TEXT($B$3,"yyyymmdd")&amp;"_"&amp;TEXT($B15*60+AJ$10,"0000"),RawData!$A$2:$G$30000,5,FALSE),"")</f>
        <v>0</v>
      </c>
      <c r="AK15" s="49">
        <f>IFERROR(VLOOKUP(TEXT($B$3,"yyyymmdd")&amp;"_"&amp;TEXT($B15*60+AK$10,"0000"),RawData!$A$2:$G$30000,5,FALSE),"")</f>
        <v>0</v>
      </c>
      <c r="AL15" s="49">
        <f>IFERROR(VLOOKUP(TEXT($B$3,"yyyymmdd")&amp;"_"&amp;TEXT($B15*60+AL$10,"0000"),RawData!$A$2:$G$30000,5,FALSE),"")</f>
        <v>0</v>
      </c>
      <c r="AM15" s="49">
        <f>IFERROR(VLOOKUP(TEXT($B$3,"yyyymmdd")&amp;"_"&amp;TEXT($B15*60+AM$10,"0000"),RawData!$A$2:$G$30000,5,FALSE),"")</f>
        <v>0</v>
      </c>
      <c r="AN15" s="49">
        <f>IFERROR(VLOOKUP(TEXT($B$3,"yyyymmdd")&amp;"_"&amp;TEXT($B15*60+AN$10,"0000"),RawData!$A$2:$G$30000,5,FALSE),"")</f>
        <v>0</v>
      </c>
      <c r="AO15" s="49">
        <f>IFERROR(VLOOKUP(TEXT($B$3,"yyyymmdd")&amp;"_"&amp;TEXT($B15*60+AO$10,"0000"),RawData!$A$2:$G$30000,5,FALSE),"")</f>
        <v>0</v>
      </c>
      <c r="AP15" s="49">
        <f>IFERROR(VLOOKUP(TEXT($B$3,"yyyymmdd")&amp;"_"&amp;TEXT($B15*60+AP$10,"0000"),RawData!$A$2:$G$30000,5,FALSE),"")</f>
        <v>0</v>
      </c>
      <c r="AQ15" s="49">
        <f>IFERROR(VLOOKUP(TEXT($B$3,"yyyymmdd")&amp;"_"&amp;TEXT($B15*60+AQ$10,"0000"),RawData!$A$2:$G$30000,5,FALSE),"")</f>
        <v>0</v>
      </c>
      <c r="AR15" s="49">
        <f>IFERROR(VLOOKUP(TEXT($B$3,"yyyymmdd")&amp;"_"&amp;TEXT($B15*60+AR$10,"0000"),RawData!$A$2:$G$30000,5,FALSE),"")</f>
        <v>0</v>
      </c>
      <c r="AS15" s="49">
        <f>IFERROR(VLOOKUP(TEXT($B$3,"yyyymmdd")&amp;"_"&amp;TEXT($B15*60+AS$10,"0000"),RawData!$A$2:$G$30000,5,FALSE),"")</f>
        <v>0</v>
      </c>
      <c r="AT15" s="49">
        <f>IFERROR(VLOOKUP(TEXT($B$3,"yyyymmdd")&amp;"_"&amp;TEXT($B15*60+AT$10,"0000"),RawData!$A$2:$G$30000,5,FALSE),"")</f>
        <v>0</v>
      </c>
      <c r="AU15" s="49">
        <f>IFERROR(VLOOKUP(TEXT($B$3,"yyyymmdd")&amp;"_"&amp;TEXT($B15*60+AU$10,"0000"),RawData!$A$2:$G$30000,5,FALSE),"")</f>
        <v>0</v>
      </c>
      <c r="AV15" s="49">
        <f>IFERROR(VLOOKUP(TEXT($B$3,"yyyymmdd")&amp;"_"&amp;TEXT($B15*60+AV$10,"0000"),RawData!$A$2:$G$30000,5,FALSE),"")</f>
        <v>0</v>
      </c>
      <c r="AW15" s="49">
        <f>IFERROR(VLOOKUP(TEXT($B$3,"yyyymmdd")&amp;"_"&amp;TEXT($B15*60+AW$10,"0000"),RawData!$A$2:$G$30000,5,FALSE),"")</f>
        <v>0</v>
      </c>
      <c r="AX15" s="49">
        <f>IFERROR(VLOOKUP(TEXT($B$3,"yyyymmdd")&amp;"_"&amp;TEXT($B15*60+AX$10,"0000"),RawData!$A$2:$G$30000,5,FALSE),"")</f>
        <v>0</v>
      </c>
      <c r="AY15" s="49">
        <f>IFERROR(VLOOKUP(TEXT($B$3,"yyyymmdd")&amp;"_"&amp;TEXT($B15*60+AY$10,"0000"),RawData!$A$2:$G$30000,5,FALSE),"")</f>
        <v>0</v>
      </c>
      <c r="AZ15" s="49">
        <f>IFERROR(VLOOKUP(TEXT($B$3,"yyyymmdd")&amp;"_"&amp;TEXT($B15*60+AZ$10,"0000"),RawData!$A$2:$G$30000,5,FALSE),"")</f>
        <v>0</v>
      </c>
      <c r="BA15" s="49">
        <f>IFERROR(VLOOKUP(TEXT($B$3,"yyyymmdd")&amp;"_"&amp;TEXT($B15*60+BA$10,"0000"),RawData!$A$2:$G$30000,5,FALSE),"")</f>
        <v>0</v>
      </c>
      <c r="BB15" s="49">
        <f>IFERROR(VLOOKUP(TEXT($B$3,"yyyymmdd")&amp;"_"&amp;TEXT($B15*60+BB$10,"0000"),RawData!$A$2:$G$30000,5,FALSE),"")</f>
        <v>0</v>
      </c>
      <c r="BC15" s="49">
        <f>IFERROR(VLOOKUP(TEXT($B$3,"yyyymmdd")&amp;"_"&amp;TEXT($B15*60+BC$10,"0000"),RawData!$A$2:$G$30000,5,FALSE),"")</f>
        <v>0</v>
      </c>
      <c r="BD15" s="49">
        <f>IFERROR(VLOOKUP(TEXT($B$3,"yyyymmdd")&amp;"_"&amp;TEXT($B15*60+BD$10,"0000"),RawData!$A$2:$G$30000,5,FALSE),"")</f>
        <v>0</v>
      </c>
      <c r="BE15" s="49">
        <f>IFERROR(VLOOKUP(TEXT($B$3,"yyyymmdd")&amp;"_"&amp;TEXT($B15*60+BE$10,"0000"),RawData!$A$2:$G$30000,5,FALSE),"")</f>
        <v>0</v>
      </c>
      <c r="BF15" s="49">
        <f>IFERROR(VLOOKUP(TEXT($B$3,"yyyymmdd")&amp;"_"&amp;TEXT($B15*60+BF$10,"0000"),RawData!$A$2:$G$30000,5,FALSE),"")</f>
        <v>0</v>
      </c>
      <c r="BG15" s="49">
        <f>IFERROR(VLOOKUP(TEXT($B$3,"yyyymmdd")&amp;"_"&amp;TEXT($B15*60+BG$10,"0000"),RawData!$A$2:$G$30000,5,FALSE),"")</f>
        <v>0</v>
      </c>
      <c r="BH15" s="49">
        <f>IFERROR(VLOOKUP(TEXT($B$3,"yyyymmdd")&amp;"_"&amp;TEXT($B15*60+BH$10,"0000"),RawData!$A$2:$G$30000,5,FALSE),"")</f>
        <v>0</v>
      </c>
      <c r="BI15" s="49">
        <f>IFERROR(VLOOKUP(TEXT($B$3,"yyyymmdd")&amp;"_"&amp;TEXT($B15*60+BI$10,"0000"),RawData!$A$2:$G$30000,5,FALSE),"")</f>
        <v>0</v>
      </c>
      <c r="BJ15" s="49">
        <f>IFERROR(VLOOKUP(TEXT($B$3,"yyyymmdd")&amp;"_"&amp;TEXT($B15*60+BJ$10,"0000"),RawData!$A$2:$G$30000,5,FALSE),"")</f>
        <v>0</v>
      </c>
      <c r="BK15" s="4" t="str">
        <f>IFERROR(VLOOKUP(TEXT($B$3,"yyyymmdd")&amp;"_"&amp;TEXT(4,"0000"),RawData!$A$2:$F$1441,4,FALSE),"")</f>
        <v>01</v>
      </c>
      <c r="BL15" s="19">
        <f>TIME(0,0,0)+4/1440</f>
        <v>2.7777777777777779E-3</v>
      </c>
      <c r="BM15" s="4">
        <f>IFERROR(VLOOKUP(TEXT($B$3,"yyyymmdd")&amp;"_"&amp;TEXT(4,"0000"),RawData!$A$2:$F$1441,5,FALSE),"")</f>
        <v>0</v>
      </c>
      <c r="BN15" s="4">
        <f t="shared" si="0"/>
        <v>1</v>
      </c>
    </row>
    <row r="16" spans="1:66" ht="18.399999999999999" customHeight="1" x14ac:dyDescent="0.6">
      <c r="B16" s="18">
        <v>5</v>
      </c>
      <c r="C16" s="49">
        <f>IFERROR(VLOOKUP(TEXT($B$3,"yyyymmdd")&amp;"_"&amp;TEXT($B16*60+C$10,"0000"),RawData!$A$2:$G$30000,5,FALSE),"")</f>
        <v>0</v>
      </c>
      <c r="D16" s="49">
        <f>IFERROR(VLOOKUP(TEXT($B$3,"yyyymmdd")&amp;"_"&amp;TEXT($B16*60+D$10,"0000"),RawData!$A$2:$G$30000,5,FALSE),"")</f>
        <v>0</v>
      </c>
      <c r="E16" s="49">
        <f>IFERROR(VLOOKUP(TEXT($B$3,"yyyymmdd")&amp;"_"&amp;TEXT($B16*60+E$10,"0000"),RawData!$A$2:$G$30000,5,FALSE),"")</f>
        <v>0</v>
      </c>
      <c r="F16" s="49">
        <f>IFERROR(VLOOKUP(TEXT($B$3,"yyyymmdd")&amp;"_"&amp;TEXT($B16*60+F$10,"0000"),RawData!$A$2:$G$30000,5,FALSE),"")</f>
        <v>0</v>
      </c>
      <c r="G16" s="49">
        <f>IFERROR(VLOOKUP(TEXT($B$3,"yyyymmdd")&amp;"_"&amp;TEXT($B16*60+G$10,"0000"),RawData!$A$2:$G$30000,5,FALSE),"")</f>
        <v>0</v>
      </c>
      <c r="H16" s="49">
        <f>IFERROR(VLOOKUP(TEXT($B$3,"yyyymmdd")&amp;"_"&amp;TEXT($B16*60+H$10,"0000"),RawData!$A$2:$G$30000,5,FALSE),"")</f>
        <v>0</v>
      </c>
      <c r="I16" s="49">
        <f>IFERROR(VLOOKUP(TEXT($B$3,"yyyymmdd")&amp;"_"&amp;TEXT($B16*60+I$10,"0000"),RawData!$A$2:$G$30000,5,FALSE),"")</f>
        <v>0</v>
      </c>
      <c r="J16" s="49">
        <f>IFERROR(VLOOKUP(TEXT($B$3,"yyyymmdd")&amp;"_"&amp;TEXT($B16*60+J$10,"0000"),RawData!$A$2:$G$30000,5,FALSE),"")</f>
        <v>0</v>
      </c>
      <c r="K16" s="49">
        <f>IFERROR(VLOOKUP(TEXT($B$3,"yyyymmdd")&amp;"_"&amp;TEXT($B16*60+K$10,"0000"),RawData!$A$2:$G$30000,5,FALSE),"")</f>
        <v>0</v>
      </c>
      <c r="L16" s="49">
        <f>IFERROR(VLOOKUP(TEXT($B$3,"yyyymmdd")&amp;"_"&amp;TEXT($B16*60+L$10,"0000"),RawData!$A$2:$G$30000,5,FALSE),"")</f>
        <v>0</v>
      </c>
      <c r="M16" s="49">
        <f>IFERROR(VLOOKUP(TEXT($B$3,"yyyymmdd")&amp;"_"&amp;TEXT($B16*60+M$10,"0000"),RawData!$A$2:$G$30000,5,FALSE),"")</f>
        <v>0</v>
      </c>
      <c r="N16" s="49">
        <f>IFERROR(VLOOKUP(TEXT($B$3,"yyyymmdd")&amp;"_"&amp;TEXT($B16*60+N$10,"0000"),RawData!$A$2:$G$30000,5,FALSE),"")</f>
        <v>0</v>
      </c>
      <c r="O16" s="49">
        <f>IFERROR(VLOOKUP(TEXT($B$3,"yyyymmdd")&amp;"_"&amp;TEXT($B16*60+O$10,"0000"),RawData!$A$2:$G$30000,5,FALSE),"")</f>
        <v>0</v>
      </c>
      <c r="P16" s="49">
        <f>IFERROR(VLOOKUP(TEXT($B$3,"yyyymmdd")&amp;"_"&amp;TEXT($B16*60+P$10,"0000"),RawData!$A$2:$G$30000,5,FALSE),"")</f>
        <v>0</v>
      </c>
      <c r="Q16" s="49">
        <f>IFERROR(VLOOKUP(TEXT($B$3,"yyyymmdd")&amp;"_"&amp;TEXT($B16*60+Q$10,"0000"),RawData!$A$2:$G$30000,5,FALSE),"")</f>
        <v>0</v>
      </c>
      <c r="R16" s="49">
        <f>IFERROR(VLOOKUP(TEXT($B$3,"yyyymmdd")&amp;"_"&amp;TEXT($B16*60+R$10,"0000"),RawData!$A$2:$G$30000,5,FALSE),"")</f>
        <v>0</v>
      </c>
      <c r="S16" s="49">
        <f>IFERROR(VLOOKUP(TEXT($B$3,"yyyymmdd")&amp;"_"&amp;TEXT($B16*60+S$10,"0000"),RawData!$A$2:$G$30000,5,FALSE),"")</f>
        <v>0</v>
      </c>
      <c r="T16" s="49">
        <f>IFERROR(VLOOKUP(TEXT($B$3,"yyyymmdd")&amp;"_"&amp;TEXT($B16*60+T$10,"0000"),RawData!$A$2:$G$30000,5,FALSE),"")</f>
        <v>0</v>
      </c>
      <c r="U16" s="49">
        <f>IFERROR(VLOOKUP(TEXT($B$3,"yyyymmdd")&amp;"_"&amp;TEXT($B16*60+U$10,"0000"),RawData!$A$2:$G$30000,5,FALSE),"")</f>
        <v>0</v>
      </c>
      <c r="V16" s="49">
        <f>IFERROR(VLOOKUP(TEXT($B$3,"yyyymmdd")&amp;"_"&amp;TEXT($B16*60+V$10,"0000"),RawData!$A$2:$G$30000,5,FALSE),"")</f>
        <v>0</v>
      </c>
      <c r="W16" s="49">
        <f>IFERROR(VLOOKUP(TEXT($B$3,"yyyymmdd")&amp;"_"&amp;TEXT($B16*60+W$10,"0000"),RawData!$A$2:$G$30000,5,FALSE),"")</f>
        <v>0</v>
      </c>
      <c r="X16" s="49">
        <f>IFERROR(VLOOKUP(TEXT($B$3,"yyyymmdd")&amp;"_"&amp;TEXT($B16*60+X$10,"0000"),RawData!$A$2:$G$30000,5,FALSE),"")</f>
        <v>0</v>
      </c>
      <c r="Y16" s="49">
        <f>IFERROR(VLOOKUP(TEXT($B$3,"yyyymmdd")&amp;"_"&amp;TEXT($B16*60+Y$10,"0000"),RawData!$A$2:$G$30000,5,FALSE),"")</f>
        <v>0</v>
      </c>
      <c r="Z16" s="49">
        <f>IFERROR(VLOOKUP(TEXT($B$3,"yyyymmdd")&amp;"_"&amp;TEXT($B16*60+Z$10,"0000"),RawData!$A$2:$G$30000,5,FALSE),"")</f>
        <v>0</v>
      </c>
      <c r="AA16" s="49">
        <f>IFERROR(VLOOKUP(TEXT($B$3,"yyyymmdd")&amp;"_"&amp;TEXT($B16*60+AA$10,"0000"),RawData!$A$2:$G$30000,5,FALSE),"")</f>
        <v>0</v>
      </c>
      <c r="AB16" s="49">
        <f>IFERROR(VLOOKUP(TEXT($B$3,"yyyymmdd")&amp;"_"&amp;TEXT($B16*60+AB$10,"0000"),RawData!$A$2:$G$30000,5,FALSE),"")</f>
        <v>0</v>
      </c>
      <c r="AC16" s="49">
        <f>IFERROR(VLOOKUP(TEXT($B$3,"yyyymmdd")&amp;"_"&amp;TEXT($B16*60+AC$10,"0000"),RawData!$A$2:$G$30000,5,FALSE),"")</f>
        <v>0</v>
      </c>
      <c r="AD16" s="49">
        <f>IFERROR(VLOOKUP(TEXT($B$3,"yyyymmdd")&amp;"_"&amp;TEXT($B16*60+AD$10,"0000"),RawData!$A$2:$G$30000,5,FALSE),"")</f>
        <v>0</v>
      </c>
      <c r="AE16" s="49">
        <f>IFERROR(VLOOKUP(TEXT($B$3,"yyyymmdd")&amp;"_"&amp;TEXT($B16*60+AE$10,"0000"),RawData!$A$2:$G$30000,5,FALSE),"")</f>
        <v>0</v>
      </c>
      <c r="AF16" s="49">
        <f>IFERROR(VLOOKUP(TEXT($B$3,"yyyymmdd")&amp;"_"&amp;TEXT($B16*60+AF$10,"0000"),RawData!$A$2:$G$30000,5,FALSE),"")</f>
        <v>0</v>
      </c>
      <c r="AG16" s="49">
        <f>IFERROR(VLOOKUP(TEXT($B$3,"yyyymmdd")&amp;"_"&amp;TEXT($B16*60+AG$10,"0000"),RawData!$A$2:$G$30000,5,FALSE),"")</f>
        <v>0</v>
      </c>
      <c r="AH16" s="49">
        <f>IFERROR(VLOOKUP(TEXT($B$3,"yyyymmdd")&amp;"_"&amp;TEXT($B16*60+AH$10,"0000"),RawData!$A$2:$G$30000,5,FALSE),"")</f>
        <v>0</v>
      </c>
      <c r="AI16" s="49">
        <f>IFERROR(VLOOKUP(TEXT($B$3,"yyyymmdd")&amp;"_"&amp;TEXT($B16*60+AI$10,"0000"),RawData!$A$2:$G$30000,5,FALSE),"")</f>
        <v>0</v>
      </c>
      <c r="AJ16" s="49">
        <f>IFERROR(VLOOKUP(TEXT($B$3,"yyyymmdd")&amp;"_"&amp;TEXT($B16*60+AJ$10,"0000"),RawData!$A$2:$G$30000,5,FALSE),"")</f>
        <v>0</v>
      </c>
      <c r="AK16" s="49">
        <f>IFERROR(VLOOKUP(TEXT($B$3,"yyyymmdd")&amp;"_"&amp;TEXT($B16*60+AK$10,"0000"),RawData!$A$2:$G$30000,5,FALSE),"")</f>
        <v>0</v>
      </c>
      <c r="AL16" s="49">
        <f>IFERROR(VLOOKUP(TEXT($B$3,"yyyymmdd")&amp;"_"&amp;TEXT($B16*60+AL$10,"0000"),RawData!$A$2:$G$30000,5,FALSE),"")</f>
        <v>0</v>
      </c>
      <c r="AM16" s="49">
        <f>IFERROR(VLOOKUP(TEXT($B$3,"yyyymmdd")&amp;"_"&amp;TEXT($B16*60+AM$10,"0000"),RawData!$A$2:$G$30000,5,FALSE),"")</f>
        <v>0</v>
      </c>
      <c r="AN16" s="49">
        <f>IFERROR(VLOOKUP(TEXT($B$3,"yyyymmdd")&amp;"_"&amp;TEXT($B16*60+AN$10,"0000"),RawData!$A$2:$G$30000,5,FALSE),"")</f>
        <v>0</v>
      </c>
      <c r="AO16" s="49">
        <f>IFERROR(VLOOKUP(TEXT($B$3,"yyyymmdd")&amp;"_"&amp;TEXT($B16*60+AO$10,"0000"),RawData!$A$2:$G$30000,5,FALSE),"")</f>
        <v>0</v>
      </c>
      <c r="AP16" s="49">
        <f>IFERROR(VLOOKUP(TEXT($B$3,"yyyymmdd")&amp;"_"&amp;TEXT($B16*60+AP$10,"0000"),RawData!$A$2:$G$30000,5,FALSE),"")</f>
        <v>0</v>
      </c>
      <c r="AQ16" s="49">
        <f>IFERROR(VLOOKUP(TEXT($B$3,"yyyymmdd")&amp;"_"&amp;TEXT($B16*60+AQ$10,"0000"),RawData!$A$2:$G$30000,5,FALSE),"")</f>
        <v>0</v>
      </c>
      <c r="AR16" s="49">
        <f>IFERROR(VLOOKUP(TEXT($B$3,"yyyymmdd")&amp;"_"&amp;TEXT($B16*60+AR$10,"0000"),RawData!$A$2:$G$30000,5,FALSE),"")</f>
        <v>0</v>
      </c>
      <c r="AS16" s="49">
        <f>IFERROR(VLOOKUP(TEXT($B$3,"yyyymmdd")&amp;"_"&amp;TEXT($B16*60+AS$10,"0000"),RawData!$A$2:$G$30000,5,FALSE),"")</f>
        <v>0</v>
      </c>
      <c r="AT16" s="49">
        <f>IFERROR(VLOOKUP(TEXT($B$3,"yyyymmdd")&amp;"_"&amp;TEXT($B16*60+AT$10,"0000"),RawData!$A$2:$G$30000,5,FALSE),"")</f>
        <v>0</v>
      </c>
      <c r="AU16" s="49">
        <f>IFERROR(VLOOKUP(TEXT($B$3,"yyyymmdd")&amp;"_"&amp;TEXT($B16*60+AU$10,"0000"),RawData!$A$2:$G$30000,5,FALSE),"")</f>
        <v>0</v>
      </c>
      <c r="AV16" s="49">
        <f>IFERROR(VLOOKUP(TEXT($B$3,"yyyymmdd")&amp;"_"&amp;TEXT($B16*60+AV$10,"0000"),RawData!$A$2:$G$30000,5,FALSE),"")</f>
        <v>0</v>
      </c>
      <c r="AW16" s="49">
        <f>IFERROR(VLOOKUP(TEXT($B$3,"yyyymmdd")&amp;"_"&amp;TEXT($B16*60+AW$10,"0000"),RawData!$A$2:$G$30000,5,FALSE),"")</f>
        <v>0</v>
      </c>
      <c r="AX16" s="49">
        <f>IFERROR(VLOOKUP(TEXT($B$3,"yyyymmdd")&amp;"_"&amp;TEXT($B16*60+AX$10,"0000"),RawData!$A$2:$G$30000,5,FALSE),"")</f>
        <v>0</v>
      </c>
      <c r="AY16" s="49">
        <f>IFERROR(VLOOKUP(TEXT($B$3,"yyyymmdd")&amp;"_"&amp;TEXT($B16*60+AY$10,"0000"),RawData!$A$2:$G$30000,5,FALSE),"")</f>
        <v>0</v>
      </c>
      <c r="AZ16" s="49">
        <f>IFERROR(VLOOKUP(TEXT($B$3,"yyyymmdd")&amp;"_"&amp;TEXT($B16*60+AZ$10,"0000"),RawData!$A$2:$G$30000,5,FALSE),"")</f>
        <v>0</v>
      </c>
      <c r="BA16" s="49">
        <f>IFERROR(VLOOKUP(TEXT($B$3,"yyyymmdd")&amp;"_"&amp;TEXT($B16*60+BA$10,"0000"),RawData!$A$2:$G$30000,5,FALSE),"")</f>
        <v>0</v>
      </c>
      <c r="BB16" s="49">
        <f>IFERROR(VLOOKUP(TEXT($B$3,"yyyymmdd")&amp;"_"&amp;TEXT($B16*60+BB$10,"0000"),RawData!$A$2:$G$30000,5,FALSE),"")</f>
        <v>0</v>
      </c>
      <c r="BC16" s="49">
        <f>IFERROR(VLOOKUP(TEXT($B$3,"yyyymmdd")&amp;"_"&amp;TEXT($B16*60+BC$10,"0000"),RawData!$A$2:$G$30000,5,FALSE),"")</f>
        <v>0</v>
      </c>
      <c r="BD16" s="49">
        <f>IFERROR(VLOOKUP(TEXT($B$3,"yyyymmdd")&amp;"_"&amp;TEXT($B16*60+BD$10,"0000"),RawData!$A$2:$G$30000,5,FALSE),"")</f>
        <v>0</v>
      </c>
      <c r="BE16" s="49">
        <f>IFERROR(VLOOKUP(TEXT($B$3,"yyyymmdd")&amp;"_"&amp;TEXT($B16*60+BE$10,"0000"),RawData!$A$2:$G$30000,5,FALSE),"")</f>
        <v>0</v>
      </c>
      <c r="BF16" s="49">
        <f>IFERROR(VLOOKUP(TEXT($B$3,"yyyymmdd")&amp;"_"&amp;TEXT($B16*60+BF$10,"0000"),RawData!$A$2:$G$30000,5,FALSE),"")</f>
        <v>0</v>
      </c>
      <c r="BG16" s="49">
        <f>IFERROR(VLOOKUP(TEXT($B$3,"yyyymmdd")&amp;"_"&amp;TEXT($B16*60+BG$10,"0000"),RawData!$A$2:$G$30000,5,FALSE),"")</f>
        <v>0</v>
      </c>
      <c r="BH16" s="49">
        <f>IFERROR(VLOOKUP(TEXT($B$3,"yyyymmdd")&amp;"_"&amp;TEXT($B16*60+BH$10,"0000"),RawData!$A$2:$G$30000,5,FALSE),"")</f>
        <v>0</v>
      </c>
      <c r="BI16" s="49">
        <f>IFERROR(VLOOKUP(TEXT($B$3,"yyyymmdd")&amp;"_"&amp;TEXT($B16*60+BI$10,"0000"),RawData!$A$2:$G$30000,5,FALSE),"")</f>
        <v>0</v>
      </c>
      <c r="BJ16" s="49">
        <f>IFERROR(VLOOKUP(TEXT($B$3,"yyyymmdd")&amp;"_"&amp;TEXT($B16*60+BJ$10,"0000"),RawData!$A$2:$G$30000,5,FALSE),"")</f>
        <v>0</v>
      </c>
      <c r="BK16" s="4" t="str">
        <f>IFERROR(VLOOKUP(TEXT($B$3,"yyyymmdd")&amp;"_"&amp;TEXT(5,"0000"),RawData!$A$2:$F$1441,4,FALSE),"")</f>
        <v>01</v>
      </c>
      <c r="BL16" s="19">
        <f>TIME(0,0,0)+5/1440</f>
        <v>3.472222222222222E-3</v>
      </c>
      <c r="BM16" s="4">
        <f>IFERROR(VLOOKUP(TEXT($B$3,"yyyymmdd")&amp;"_"&amp;TEXT(5,"0000"),RawData!$A$2:$F$1441,5,FALSE),"")</f>
        <v>0</v>
      </c>
      <c r="BN16" s="4">
        <f t="shared" si="0"/>
        <v>0</v>
      </c>
    </row>
    <row r="17" spans="1:66" ht="18.399999999999999" customHeight="1" x14ac:dyDescent="0.6">
      <c r="B17" s="18">
        <v>6</v>
      </c>
      <c r="C17" s="49">
        <f>IFERROR(VLOOKUP(TEXT($B$3,"yyyymmdd")&amp;"_"&amp;TEXT($B17*60+C$10,"0000"),RawData!$A$2:$G$30000,5,FALSE),"")</f>
        <v>0</v>
      </c>
      <c r="D17" s="49">
        <f>IFERROR(VLOOKUP(TEXT($B$3,"yyyymmdd")&amp;"_"&amp;TEXT($B17*60+D$10,"0000"),RawData!$A$2:$G$30000,5,FALSE),"")</f>
        <v>0</v>
      </c>
      <c r="E17" s="49">
        <f>IFERROR(VLOOKUP(TEXT($B$3,"yyyymmdd")&amp;"_"&amp;TEXT($B17*60+E$10,"0000"),RawData!$A$2:$G$30000,5,FALSE),"")</f>
        <v>0</v>
      </c>
      <c r="F17" s="49">
        <f>IFERROR(VLOOKUP(TEXT($B$3,"yyyymmdd")&amp;"_"&amp;TEXT($B17*60+F$10,"0000"),RawData!$A$2:$G$30000,5,FALSE),"")</f>
        <v>0</v>
      </c>
      <c r="G17" s="49">
        <f>IFERROR(VLOOKUP(TEXT($B$3,"yyyymmdd")&amp;"_"&amp;TEXT($B17*60+G$10,"0000"),RawData!$A$2:$G$30000,5,FALSE),"")</f>
        <v>0</v>
      </c>
      <c r="H17" s="49">
        <f>IFERROR(VLOOKUP(TEXT($B$3,"yyyymmdd")&amp;"_"&amp;TEXT($B17*60+H$10,"0000"),RawData!$A$2:$G$30000,5,FALSE),"")</f>
        <v>0</v>
      </c>
      <c r="I17" s="49">
        <f>IFERROR(VLOOKUP(TEXT($B$3,"yyyymmdd")&amp;"_"&amp;TEXT($B17*60+I$10,"0000"),RawData!$A$2:$G$30000,5,FALSE),"")</f>
        <v>0</v>
      </c>
      <c r="J17" s="49">
        <f>IFERROR(VLOOKUP(TEXT($B$3,"yyyymmdd")&amp;"_"&amp;TEXT($B17*60+J$10,"0000"),RawData!$A$2:$G$30000,5,FALSE),"")</f>
        <v>0</v>
      </c>
      <c r="K17" s="49">
        <f>IFERROR(VLOOKUP(TEXT($B$3,"yyyymmdd")&amp;"_"&amp;TEXT($B17*60+K$10,"0000"),RawData!$A$2:$G$30000,5,FALSE),"")</f>
        <v>0</v>
      </c>
      <c r="L17" s="49">
        <f>IFERROR(VLOOKUP(TEXT($B$3,"yyyymmdd")&amp;"_"&amp;TEXT($B17*60+L$10,"0000"),RawData!$A$2:$G$30000,5,FALSE),"")</f>
        <v>0</v>
      </c>
      <c r="M17" s="49">
        <f>IFERROR(VLOOKUP(TEXT($B$3,"yyyymmdd")&amp;"_"&amp;TEXT($B17*60+M$10,"0000"),RawData!$A$2:$G$30000,5,FALSE),"")</f>
        <v>0</v>
      </c>
      <c r="N17" s="49">
        <f>IFERROR(VLOOKUP(TEXT($B$3,"yyyymmdd")&amp;"_"&amp;TEXT($B17*60+N$10,"0000"),RawData!$A$2:$G$30000,5,FALSE),"")</f>
        <v>0</v>
      </c>
      <c r="O17" s="49">
        <f>IFERROR(VLOOKUP(TEXT($B$3,"yyyymmdd")&amp;"_"&amp;TEXT($B17*60+O$10,"0000"),RawData!$A$2:$G$30000,5,FALSE),"")</f>
        <v>0</v>
      </c>
      <c r="P17" s="49">
        <f>IFERROR(VLOOKUP(TEXT($B$3,"yyyymmdd")&amp;"_"&amp;TEXT($B17*60+P$10,"0000"),RawData!$A$2:$G$30000,5,FALSE),"")</f>
        <v>0</v>
      </c>
      <c r="Q17" s="49">
        <f>IFERROR(VLOOKUP(TEXT($B$3,"yyyymmdd")&amp;"_"&amp;TEXT($B17*60+Q$10,"0000"),RawData!$A$2:$G$30000,5,FALSE),"")</f>
        <v>0</v>
      </c>
      <c r="R17" s="49">
        <f>IFERROR(VLOOKUP(TEXT($B$3,"yyyymmdd")&amp;"_"&amp;TEXT($B17*60+R$10,"0000"),RawData!$A$2:$G$30000,5,FALSE),"")</f>
        <v>0</v>
      </c>
      <c r="S17" s="49">
        <f>IFERROR(VLOOKUP(TEXT($B$3,"yyyymmdd")&amp;"_"&amp;TEXT($B17*60+S$10,"0000"),RawData!$A$2:$G$30000,5,FALSE),"")</f>
        <v>0</v>
      </c>
      <c r="T17" s="49">
        <f>IFERROR(VLOOKUP(TEXT($B$3,"yyyymmdd")&amp;"_"&amp;TEXT($B17*60+T$10,"0000"),RawData!$A$2:$G$30000,5,FALSE),"")</f>
        <v>0</v>
      </c>
      <c r="U17" s="49">
        <f>IFERROR(VLOOKUP(TEXT($B$3,"yyyymmdd")&amp;"_"&amp;TEXT($B17*60+U$10,"0000"),RawData!$A$2:$G$30000,5,FALSE),"")</f>
        <v>0</v>
      </c>
      <c r="V17" s="49">
        <f>IFERROR(VLOOKUP(TEXT($B$3,"yyyymmdd")&amp;"_"&amp;TEXT($B17*60+V$10,"0000"),RawData!$A$2:$G$30000,5,FALSE),"")</f>
        <v>0</v>
      </c>
      <c r="W17" s="49">
        <f>IFERROR(VLOOKUP(TEXT($B$3,"yyyymmdd")&amp;"_"&amp;TEXT($B17*60+W$10,"0000"),RawData!$A$2:$G$30000,5,FALSE),"")</f>
        <v>0</v>
      </c>
      <c r="X17" s="49">
        <f>IFERROR(VLOOKUP(TEXT($B$3,"yyyymmdd")&amp;"_"&amp;TEXT($B17*60+X$10,"0000"),RawData!$A$2:$G$30000,5,FALSE),"")</f>
        <v>0</v>
      </c>
      <c r="Y17" s="49">
        <f>IFERROR(VLOOKUP(TEXT($B$3,"yyyymmdd")&amp;"_"&amp;TEXT($B17*60+Y$10,"0000"),RawData!$A$2:$G$30000,5,FALSE),"")</f>
        <v>0</v>
      </c>
      <c r="Z17" s="49">
        <f>IFERROR(VLOOKUP(TEXT($B$3,"yyyymmdd")&amp;"_"&amp;TEXT($B17*60+Z$10,"0000"),RawData!$A$2:$G$30000,5,FALSE),"")</f>
        <v>0</v>
      </c>
      <c r="AA17" s="49">
        <f>IFERROR(VLOOKUP(TEXT($B$3,"yyyymmdd")&amp;"_"&amp;TEXT($B17*60+AA$10,"0000"),RawData!$A$2:$G$30000,5,FALSE),"")</f>
        <v>0</v>
      </c>
      <c r="AB17" s="49">
        <f>IFERROR(VLOOKUP(TEXT($B$3,"yyyymmdd")&amp;"_"&amp;TEXT($B17*60+AB$10,"0000"),RawData!$A$2:$G$30000,5,FALSE),"")</f>
        <v>0</v>
      </c>
      <c r="AC17" s="49">
        <f>IFERROR(VLOOKUP(TEXT($B$3,"yyyymmdd")&amp;"_"&amp;TEXT($B17*60+AC$10,"0000"),RawData!$A$2:$G$30000,5,FALSE),"")</f>
        <v>0</v>
      </c>
      <c r="AD17" s="49">
        <f>IFERROR(VLOOKUP(TEXT($B$3,"yyyymmdd")&amp;"_"&amp;TEXT($B17*60+AD$10,"0000"),RawData!$A$2:$G$30000,5,FALSE),"")</f>
        <v>0</v>
      </c>
      <c r="AE17" s="49">
        <f>IFERROR(VLOOKUP(TEXT($B$3,"yyyymmdd")&amp;"_"&amp;TEXT($B17*60+AE$10,"0000"),RawData!$A$2:$G$30000,5,FALSE),"")</f>
        <v>0</v>
      </c>
      <c r="AF17" s="49">
        <f>IFERROR(VLOOKUP(TEXT($B$3,"yyyymmdd")&amp;"_"&amp;TEXT($B17*60+AF$10,"0000"),RawData!$A$2:$G$30000,5,FALSE),"")</f>
        <v>0</v>
      </c>
      <c r="AG17" s="49">
        <f>IFERROR(VLOOKUP(TEXT($B$3,"yyyymmdd")&amp;"_"&amp;TEXT($B17*60+AG$10,"0000"),RawData!$A$2:$G$30000,5,FALSE),"")</f>
        <v>0</v>
      </c>
      <c r="AH17" s="49">
        <f>IFERROR(VLOOKUP(TEXT($B$3,"yyyymmdd")&amp;"_"&amp;TEXT($B17*60+AH$10,"0000"),RawData!$A$2:$G$30000,5,FALSE),"")</f>
        <v>0</v>
      </c>
      <c r="AI17" s="49">
        <f>IFERROR(VLOOKUP(TEXT($B$3,"yyyymmdd")&amp;"_"&amp;TEXT($B17*60+AI$10,"0000"),RawData!$A$2:$G$30000,5,FALSE),"")</f>
        <v>0</v>
      </c>
      <c r="AJ17" s="49">
        <f>IFERROR(VLOOKUP(TEXT($B$3,"yyyymmdd")&amp;"_"&amp;TEXT($B17*60+AJ$10,"0000"),RawData!$A$2:$G$30000,5,FALSE),"")</f>
        <v>0</v>
      </c>
      <c r="AK17" s="49">
        <f>IFERROR(VLOOKUP(TEXT($B$3,"yyyymmdd")&amp;"_"&amp;TEXT($B17*60+AK$10,"0000"),RawData!$A$2:$G$30000,5,FALSE),"")</f>
        <v>0</v>
      </c>
      <c r="AL17" s="49">
        <f>IFERROR(VLOOKUP(TEXT($B$3,"yyyymmdd")&amp;"_"&amp;TEXT($B17*60+AL$10,"0000"),RawData!$A$2:$G$30000,5,FALSE),"")</f>
        <v>0</v>
      </c>
      <c r="AM17" s="49">
        <f>IFERROR(VLOOKUP(TEXT($B$3,"yyyymmdd")&amp;"_"&amp;TEXT($B17*60+AM$10,"0000"),RawData!$A$2:$G$30000,5,FALSE),"")</f>
        <v>0</v>
      </c>
      <c r="AN17" s="49">
        <f>IFERROR(VLOOKUP(TEXT($B$3,"yyyymmdd")&amp;"_"&amp;TEXT($B17*60+AN$10,"0000"),RawData!$A$2:$G$30000,5,FALSE),"")</f>
        <v>0</v>
      </c>
      <c r="AO17" s="49">
        <f>IFERROR(VLOOKUP(TEXT($B$3,"yyyymmdd")&amp;"_"&amp;TEXT($B17*60+AO$10,"0000"),RawData!$A$2:$G$30000,5,FALSE),"")</f>
        <v>0</v>
      </c>
      <c r="AP17" s="49">
        <f>IFERROR(VLOOKUP(TEXT($B$3,"yyyymmdd")&amp;"_"&amp;TEXT($B17*60+AP$10,"0000"),RawData!$A$2:$G$30000,5,FALSE),"")</f>
        <v>0</v>
      </c>
      <c r="AQ17" s="49">
        <f>IFERROR(VLOOKUP(TEXT($B$3,"yyyymmdd")&amp;"_"&amp;TEXT($B17*60+AQ$10,"0000"),RawData!$A$2:$G$30000,5,FALSE),"")</f>
        <v>0</v>
      </c>
      <c r="AR17" s="49">
        <f>IFERROR(VLOOKUP(TEXT($B$3,"yyyymmdd")&amp;"_"&amp;TEXT($B17*60+AR$10,"0000"),RawData!$A$2:$G$30000,5,FALSE),"")</f>
        <v>0</v>
      </c>
      <c r="AS17" s="49">
        <f>IFERROR(VLOOKUP(TEXT($B$3,"yyyymmdd")&amp;"_"&amp;TEXT($B17*60+AS$10,"0000"),RawData!$A$2:$G$30000,5,FALSE),"")</f>
        <v>0</v>
      </c>
      <c r="AT17" s="49">
        <f>IFERROR(VLOOKUP(TEXT($B$3,"yyyymmdd")&amp;"_"&amp;TEXT($B17*60+AT$10,"0000"),RawData!$A$2:$G$30000,5,FALSE),"")</f>
        <v>0</v>
      </c>
      <c r="AU17" s="49">
        <f>IFERROR(VLOOKUP(TEXT($B$3,"yyyymmdd")&amp;"_"&amp;TEXT($B17*60+AU$10,"0000"),RawData!$A$2:$G$30000,5,FALSE),"")</f>
        <v>0</v>
      </c>
      <c r="AV17" s="49">
        <f>IFERROR(VLOOKUP(TEXT($B$3,"yyyymmdd")&amp;"_"&amp;TEXT($B17*60+AV$10,"0000"),RawData!$A$2:$G$30000,5,FALSE),"")</f>
        <v>0</v>
      </c>
      <c r="AW17" s="49">
        <f>IFERROR(VLOOKUP(TEXT($B$3,"yyyymmdd")&amp;"_"&amp;TEXT($B17*60+AW$10,"0000"),RawData!$A$2:$G$30000,5,FALSE),"")</f>
        <v>0</v>
      </c>
      <c r="AX17" s="49">
        <f>IFERROR(VLOOKUP(TEXT($B$3,"yyyymmdd")&amp;"_"&amp;TEXT($B17*60+AX$10,"0000"),RawData!$A$2:$G$30000,5,FALSE),"")</f>
        <v>0</v>
      </c>
      <c r="AY17" s="49">
        <f>IFERROR(VLOOKUP(TEXT($B$3,"yyyymmdd")&amp;"_"&amp;TEXT($B17*60+AY$10,"0000"),RawData!$A$2:$G$30000,5,FALSE),"")</f>
        <v>0</v>
      </c>
      <c r="AZ17" s="49">
        <f>IFERROR(VLOOKUP(TEXT($B$3,"yyyymmdd")&amp;"_"&amp;TEXT($B17*60+AZ$10,"0000"),RawData!$A$2:$G$30000,5,FALSE),"")</f>
        <v>0</v>
      </c>
      <c r="BA17" s="49">
        <f>IFERROR(VLOOKUP(TEXT($B$3,"yyyymmdd")&amp;"_"&amp;TEXT($B17*60+BA$10,"0000"),RawData!$A$2:$G$30000,5,FALSE),"")</f>
        <v>0</v>
      </c>
      <c r="BB17" s="49">
        <f>IFERROR(VLOOKUP(TEXT($B$3,"yyyymmdd")&amp;"_"&amp;TEXT($B17*60+BB$10,"0000"),RawData!$A$2:$G$30000,5,FALSE),"")</f>
        <v>0</v>
      </c>
      <c r="BC17" s="49">
        <f>IFERROR(VLOOKUP(TEXT($B$3,"yyyymmdd")&amp;"_"&amp;TEXT($B17*60+BC$10,"0000"),RawData!$A$2:$G$30000,5,FALSE),"")</f>
        <v>0</v>
      </c>
      <c r="BD17" s="49">
        <f>IFERROR(VLOOKUP(TEXT($B$3,"yyyymmdd")&amp;"_"&amp;TEXT($B17*60+BD$10,"0000"),RawData!$A$2:$G$30000,5,FALSE),"")</f>
        <v>0</v>
      </c>
      <c r="BE17" s="49">
        <f>IFERROR(VLOOKUP(TEXT($B$3,"yyyymmdd")&amp;"_"&amp;TEXT($B17*60+BE$10,"0000"),RawData!$A$2:$G$30000,5,FALSE),"")</f>
        <v>0</v>
      </c>
      <c r="BF17" s="49">
        <f>IFERROR(VLOOKUP(TEXT($B$3,"yyyymmdd")&amp;"_"&amp;TEXT($B17*60+BF$10,"0000"),RawData!$A$2:$G$30000,5,FALSE),"")</f>
        <v>0</v>
      </c>
      <c r="BG17" s="49">
        <f>IFERROR(VLOOKUP(TEXT($B$3,"yyyymmdd")&amp;"_"&amp;TEXT($B17*60+BG$10,"0000"),RawData!$A$2:$G$30000,5,FALSE),"")</f>
        <v>0</v>
      </c>
      <c r="BH17" s="49">
        <f>IFERROR(VLOOKUP(TEXT($B$3,"yyyymmdd")&amp;"_"&amp;TEXT($B17*60+BH$10,"0000"),RawData!$A$2:$G$30000,5,FALSE),"")</f>
        <v>0</v>
      </c>
      <c r="BI17" s="49">
        <f>IFERROR(VLOOKUP(TEXT($B$3,"yyyymmdd")&amp;"_"&amp;TEXT($B17*60+BI$10,"0000"),RawData!$A$2:$G$30000,5,FALSE),"")</f>
        <v>0</v>
      </c>
      <c r="BJ17" s="49">
        <f>IFERROR(VLOOKUP(TEXT($B$3,"yyyymmdd")&amp;"_"&amp;TEXT($B17*60+BJ$10,"0000"),RawData!$A$2:$G$30000,5,FALSE),"")</f>
        <v>0</v>
      </c>
      <c r="BK17" s="4" t="str">
        <f>IFERROR(VLOOKUP(TEXT($B$3,"yyyymmdd")&amp;"_"&amp;TEXT(6,"0000"),RawData!$A$2:$F$1441,4,FALSE),"")</f>
        <v>01</v>
      </c>
      <c r="BL17" s="19">
        <f>TIME(0,0,0)+6/1440</f>
        <v>4.1666666666666666E-3</v>
      </c>
      <c r="BM17" s="4">
        <f>IFERROR(VLOOKUP(TEXT($B$3,"yyyymmdd")&amp;"_"&amp;TEXT(6,"0000"),RawData!$A$2:$F$1441,5,FALSE),"")</f>
        <v>0</v>
      </c>
      <c r="BN17" s="4">
        <f t="shared" si="0"/>
        <v>0</v>
      </c>
    </row>
    <row r="18" spans="1:66" ht="18.399999999999999" customHeight="1" x14ac:dyDescent="0.6">
      <c r="B18" s="18">
        <v>7</v>
      </c>
      <c r="C18" s="49">
        <f>IFERROR(VLOOKUP(TEXT($B$3,"yyyymmdd")&amp;"_"&amp;TEXT($B18*60+C$10,"0000"),RawData!$A$2:$G$30000,5,FALSE),"")</f>
        <v>0</v>
      </c>
      <c r="D18" s="49">
        <f>IFERROR(VLOOKUP(TEXT($B$3,"yyyymmdd")&amp;"_"&amp;TEXT($B18*60+D$10,"0000"),RawData!$A$2:$G$30000,5,FALSE),"")</f>
        <v>0</v>
      </c>
      <c r="E18" s="49">
        <f>IFERROR(VLOOKUP(TEXT($B$3,"yyyymmdd")&amp;"_"&amp;TEXT($B18*60+E$10,"0000"),RawData!$A$2:$G$30000,5,FALSE),"")</f>
        <v>0</v>
      </c>
      <c r="F18" s="49">
        <f>IFERROR(VLOOKUP(TEXT($B$3,"yyyymmdd")&amp;"_"&amp;TEXT($B18*60+F$10,"0000"),RawData!$A$2:$G$30000,5,FALSE),"")</f>
        <v>0</v>
      </c>
      <c r="G18" s="49">
        <f>IFERROR(VLOOKUP(TEXT($B$3,"yyyymmdd")&amp;"_"&amp;TEXT($B18*60+G$10,"0000"),RawData!$A$2:$G$30000,5,FALSE),"")</f>
        <v>0</v>
      </c>
      <c r="H18" s="49">
        <f>IFERROR(VLOOKUP(TEXT($B$3,"yyyymmdd")&amp;"_"&amp;TEXT($B18*60+H$10,"0000"),RawData!$A$2:$G$30000,5,FALSE),"")</f>
        <v>0</v>
      </c>
      <c r="I18" s="49">
        <f>IFERROR(VLOOKUP(TEXT($B$3,"yyyymmdd")&amp;"_"&amp;TEXT($B18*60+I$10,"0000"),RawData!$A$2:$G$30000,5,FALSE),"")</f>
        <v>0</v>
      </c>
      <c r="J18" s="49">
        <f>IFERROR(VLOOKUP(TEXT($B$3,"yyyymmdd")&amp;"_"&amp;TEXT($B18*60+J$10,"0000"),RawData!$A$2:$G$30000,5,FALSE),"")</f>
        <v>0</v>
      </c>
      <c r="K18" s="49">
        <f>IFERROR(VLOOKUP(TEXT($B$3,"yyyymmdd")&amp;"_"&amp;TEXT($B18*60+K$10,"0000"),RawData!$A$2:$G$30000,5,FALSE),"")</f>
        <v>0</v>
      </c>
      <c r="L18" s="49">
        <f>IFERROR(VLOOKUP(TEXT($B$3,"yyyymmdd")&amp;"_"&amp;TEXT($B18*60+L$10,"0000"),RawData!$A$2:$G$30000,5,FALSE),"")</f>
        <v>0</v>
      </c>
      <c r="M18" s="49">
        <f>IFERROR(VLOOKUP(TEXT($B$3,"yyyymmdd")&amp;"_"&amp;TEXT($B18*60+M$10,"0000"),RawData!$A$2:$G$30000,5,FALSE),"")</f>
        <v>0</v>
      </c>
      <c r="N18" s="49">
        <f>IFERROR(VLOOKUP(TEXT($B$3,"yyyymmdd")&amp;"_"&amp;TEXT($B18*60+N$10,"0000"),RawData!$A$2:$G$30000,5,FALSE),"")</f>
        <v>0</v>
      </c>
      <c r="O18" s="49">
        <f>IFERROR(VLOOKUP(TEXT($B$3,"yyyymmdd")&amp;"_"&amp;TEXT($B18*60+O$10,"0000"),RawData!$A$2:$G$30000,5,FALSE),"")</f>
        <v>0</v>
      </c>
      <c r="P18" s="49">
        <f>IFERROR(VLOOKUP(TEXT($B$3,"yyyymmdd")&amp;"_"&amp;TEXT($B18*60+P$10,"0000"),RawData!$A$2:$G$30000,5,FALSE),"")</f>
        <v>0</v>
      </c>
      <c r="Q18" s="49">
        <f>IFERROR(VLOOKUP(TEXT($B$3,"yyyymmdd")&amp;"_"&amp;TEXT($B18*60+Q$10,"0000"),RawData!$A$2:$G$30000,5,FALSE),"")</f>
        <v>0</v>
      </c>
      <c r="R18" s="49">
        <f>IFERROR(VLOOKUP(TEXT($B$3,"yyyymmdd")&amp;"_"&amp;TEXT($B18*60+R$10,"0000"),RawData!$A$2:$G$30000,5,FALSE),"")</f>
        <v>0</v>
      </c>
      <c r="S18" s="49">
        <f>IFERROR(VLOOKUP(TEXT($B$3,"yyyymmdd")&amp;"_"&amp;TEXT($B18*60+S$10,"0000"),RawData!$A$2:$G$30000,5,FALSE),"")</f>
        <v>0</v>
      </c>
      <c r="T18" s="49">
        <f>IFERROR(VLOOKUP(TEXT($B$3,"yyyymmdd")&amp;"_"&amp;TEXT($B18*60+T$10,"0000"),RawData!$A$2:$G$30000,5,FALSE),"")</f>
        <v>0</v>
      </c>
      <c r="U18" s="49">
        <f>IFERROR(VLOOKUP(TEXT($B$3,"yyyymmdd")&amp;"_"&amp;TEXT($B18*60+U$10,"0000"),RawData!$A$2:$G$30000,5,FALSE),"")</f>
        <v>0</v>
      </c>
      <c r="V18" s="49">
        <f>IFERROR(VLOOKUP(TEXT($B$3,"yyyymmdd")&amp;"_"&amp;TEXT($B18*60+V$10,"0000"),RawData!$A$2:$G$30000,5,FALSE),"")</f>
        <v>0</v>
      </c>
      <c r="W18" s="49">
        <f>IFERROR(VLOOKUP(TEXT($B$3,"yyyymmdd")&amp;"_"&amp;TEXT($B18*60+W$10,"0000"),RawData!$A$2:$G$30000,5,FALSE),"")</f>
        <v>0</v>
      </c>
      <c r="X18" s="49">
        <f>IFERROR(VLOOKUP(TEXT($B$3,"yyyymmdd")&amp;"_"&amp;TEXT($B18*60+X$10,"0000"),RawData!$A$2:$G$30000,5,FALSE),"")</f>
        <v>0</v>
      </c>
      <c r="Y18" s="49">
        <f>IFERROR(VLOOKUP(TEXT($B$3,"yyyymmdd")&amp;"_"&amp;TEXT($B18*60+Y$10,"0000"),RawData!$A$2:$G$30000,5,FALSE),"")</f>
        <v>0</v>
      </c>
      <c r="Z18" s="49">
        <f>IFERROR(VLOOKUP(TEXT($B$3,"yyyymmdd")&amp;"_"&amp;TEXT($B18*60+Z$10,"0000"),RawData!$A$2:$G$30000,5,FALSE),"")</f>
        <v>0</v>
      </c>
      <c r="AA18" s="49">
        <f>IFERROR(VLOOKUP(TEXT($B$3,"yyyymmdd")&amp;"_"&amp;TEXT($B18*60+AA$10,"0000"),RawData!$A$2:$G$30000,5,FALSE),"")</f>
        <v>0</v>
      </c>
      <c r="AB18" s="49">
        <f>IFERROR(VLOOKUP(TEXT($B$3,"yyyymmdd")&amp;"_"&amp;TEXT($B18*60+AB$10,"0000"),RawData!$A$2:$G$30000,5,FALSE),"")</f>
        <v>0</v>
      </c>
      <c r="AC18" s="49">
        <f>IFERROR(VLOOKUP(TEXT($B$3,"yyyymmdd")&amp;"_"&amp;TEXT($B18*60+AC$10,"0000"),RawData!$A$2:$G$30000,5,FALSE),"")</f>
        <v>0</v>
      </c>
      <c r="AD18" s="49">
        <f>IFERROR(VLOOKUP(TEXT($B$3,"yyyymmdd")&amp;"_"&amp;TEXT($B18*60+AD$10,"0000"),RawData!$A$2:$G$30000,5,FALSE),"")</f>
        <v>0</v>
      </c>
      <c r="AE18" s="49">
        <f>IFERROR(VLOOKUP(TEXT($B$3,"yyyymmdd")&amp;"_"&amp;TEXT($B18*60+AE$10,"0000"),RawData!$A$2:$G$30000,5,FALSE),"")</f>
        <v>0</v>
      </c>
      <c r="AF18" s="49">
        <f>IFERROR(VLOOKUP(TEXT($B$3,"yyyymmdd")&amp;"_"&amp;TEXT($B18*60+AF$10,"0000"),RawData!$A$2:$G$30000,5,FALSE),"")</f>
        <v>0</v>
      </c>
      <c r="AG18" s="49">
        <f>IFERROR(VLOOKUP(TEXT($B$3,"yyyymmdd")&amp;"_"&amp;TEXT($B18*60+AG$10,"0000"),RawData!$A$2:$G$30000,5,FALSE),"")</f>
        <v>0</v>
      </c>
      <c r="AH18" s="49">
        <f>IFERROR(VLOOKUP(TEXT($B$3,"yyyymmdd")&amp;"_"&amp;TEXT($B18*60+AH$10,"0000"),RawData!$A$2:$G$30000,5,FALSE),"")</f>
        <v>0</v>
      </c>
      <c r="AI18" s="49">
        <f>IFERROR(VLOOKUP(TEXT($B$3,"yyyymmdd")&amp;"_"&amp;TEXT($B18*60+AI$10,"0000"),RawData!$A$2:$G$30000,5,FALSE),"")</f>
        <v>0</v>
      </c>
      <c r="AJ18" s="49">
        <f>IFERROR(VLOOKUP(TEXT($B$3,"yyyymmdd")&amp;"_"&amp;TEXT($B18*60+AJ$10,"0000"),RawData!$A$2:$G$30000,5,FALSE),"")</f>
        <v>0</v>
      </c>
      <c r="AK18" s="49">
        <f>IFERROR(VLOOKUP(TEXT($B$3,"yyyymmdd")&amp;"_"&amp;TEXT($B18*60+AK$10,"0000"),RawData!$A$2:$G$30000,5,FALSE),"")</f>
        <v>0</v>
      </c>
      <c r="AL18" s="49">
        <f>IFERROR(VLOOKUP(TEXT($B$3,"yyyymmdd")&amp;"_"&amp;TEXT($B18*60+AL$10,"0000"),RawData!$A$2:$G$30000,5,FALSE),"")</f>
        <v>0</v>
      </c>
      <c r="AM18" s="49">
        <f>IFERROR(VLOOKUP(TEXT($B$3,"yyyymmdd")&amp;"_"&amp;TEXT($B18*60+AM$10,"0000"),RawData!$A$2:$G$30000,5,FALSE),"")</f>
        <v>0</v>
      </c>
      <c r="AN18" s="49">
        <f>IFERROR(VLOOKUP(TEXT($B$3,"yyyymmdd")&amp;"_"&amp;TEXT($B18*60+AN$10,"0000"),RawData!$A$2:$G$30000,5,FALSE),"")</f>
        <v>0</v>
      </c>
      <c r="AO18" s="49">
        <f>IFERROR(VLOOKUP(TEXT($B$3,"yyyymmdd")&amp;"_"&amp;TEXT($B18*60+AO$10,"0000"),RawData!$A$2:$G$30000,5,FALSE),"")</f>
        <v>0</v>
      </c>
      <c r="AP18" s="49">
        <f>IFERROR(VLOOKUP(TEXT($B$3,"yyyymmdd")&amp;"_"&amp;TEXT($B18*60+AP$10,"0000"),RawData!$A$2:$G$30000,5,FALSE),"")</f>
        <v>0</v>
      </c>
      <c r="AQ18" s="49">
        <f>IFERROR(VLOOKUP(TEXT($B$3,"yyyymmdd")&amp;"_"&amp;TEXT($B18*60+AQ$10,"0000"),RawData!$A$2:$G$30000,5,FALSE),"")</f>
        <v>0</v>
      </c>
      <c r="AR18" s="49">
        <f>IFERROR(VLOOKUP(TEXT($B$3,"yyyymmdd")&amp;"_"&amp;TEXT($B18*60+AR$10,"0000"),RawData!$A$2:$G$30000,5,FALSE),"")</f>
        <v>0</v>
      </c>
      <c r="AS18" s="49">
        <f>IFERROR(VLOOKUP(TEXT($B$3,"yyyymmdd")&amp;"_"&amp;TEXT($B18*60+AS$10,"0000"),RawData!$A$2:$G$30000,5,FALSE),"")</f>
        <v>0</v>
      </c>
      <c r="AT18" s="49">
        <f>IFERROR(VLOOKUP(TEXT($B$3,"yyyymmdd")&amp;"_"&amp;TEXT($B18*60+AT$10,"0000"),RawData!$A$2:$G$30000,5,FALSE),"")</f>
        <v>0</v>
      </c>
      <c r="AU18" s="49">
        <f>IFERROR(VLOOKUP(TEXT($B$3,"yyyymmdd")&amp;"_"&amp;TEXT($B18*60+AU$10,"0000"),RawData!$A$2:$G$30000,5,FALSE),"")</f>
        <v>0</v>
      </c>
      <c r="AV18" s="49">
        <f>IFERROR(VLOOKUP(TEXT($B$3,"yyyymmdd")&amp;"_"&amp;TEXT($B18*60+AV$10,"0000"),RawData!$A$2:$G$30000,5,FALSE),"")</f>
        <v>0</v>
      </c>
      <c r="AW18" s="49">
        <f>IFERROR(VLOOKUP(TEXT($B$3,"yyyymmdd")&amp;"_"&amp;TEXT($B18*60+AW$10,"0000"),RawData!$A$2:$G$30000,5,FALSE),"")</f>
        <v>0</v>
      </c>
      <c r="AX18" s="49">
        <f>IFERROR(VLOOKUP(TEXT($B$3,"yyyymmdd")&amp;"_"&amp;TEXT($B18*60+AX$10,"0000"),RawData!$A$2:$G$30000,5,FALSE),"")</f>
        <v>0</v>
      </c>
      <c r="AY18" s="49">
        <f>IFERROR(VLOOKUP(TEXT($B$3,"yyyymmdd")&amp;"_"&amp;TEXT($B18*60+AY$10,"0000"),RawData!$A$2:$G$30000,5,FALSE),"")</f>
        <v>0</v>
      </c>
      <c r="AZ18" s="49">
        <f>IFERROR(VLOOKUP(TEXT($B$3,"yyyymmdd")&amp;"_"&amp;TEXT($B18*60+AZ$10,"0000"),RawData!$A$2:$G$30000,5,FALSE),"")</f>
        <v>0</v>
      </c>
      <c r="BA18" s="49">
        <f>IFERROR(VLOOKUP(TEXT($B$3,"yyyymmdd")&amp;"_"&amp;TEXT($B18*60+BA$10,"0000"),RawData!$A$2:$G$30000,5,FALSE),"")</f>
        <v>0</v>
      </c>
      <c r="BB18" s="49">
        <f>IFERROR(VLOOKUP(TEXT($B$3,"yyyymmdd")&amp;"_"&amp;TEXT($B18*60+BB$10,"0000"),RawData!$A$2:$G$30000,5,FALSE),"")</f>
        <v>0</v>
      </c>
      <c r="BC18" s="49">
        <f>IFERROR(VLOOKUP(TEXT($B$3,"yyyymmdd")&amp;"_"&amp;TEXT($B18*60+BC$10,"0000"),RawData!$A$2:$G$30000,5,FALSE),"")</f>
        <v>0</v>
      </c>
      <c r="BD18" s="49">
        <f>IFERROR(VLOOKUP(TEXT($B$3,"yyyymmdd")&amp;"_"&amp;TEXT($B18*60+BD$10,"0000"),RawData!$A$2:$G$30000,5,FALSE),"")</f>
        <v>0</v>
      </c>
      <c r="BE18" s="49">
        <f>IFERROR(VLOOKUP(TEXT($B$3,"yyyymmdd")&amp;"_"&amp;TEXT($B18*60+BE$10,"0000"),RawData!$A$2:$G$30000,5,FALSE),"")</f>
        <v>0</v>
      </c>
      <c r="BF18" s="49">
        <f>IFERROR(VLOOKUP(TEXT($B$3,"yyyymmdd")&amp;"_"&amp;TEXT($B18*60+BF$10,"0000"),RawData!$A$2:$G$30000,5,FALSE),"")</f>
        <v>0</v>
      </c>
      <c r="BG18" s="49">
        <f>IFERROR(VLOOKUP(TEXT($B$3,"yyyymmdd")&amp;"_"&amp;TEXT($B18*60+BG$10,"0000"),RawData!$A$2:$G$30000,5,FALSE),"")</f>
        <v>0</v>
      </c>
      <c r="BH18" s="49">
        <f>IFERROR(VLOOKUP(TEXT($B$3,"yyyymmdd")&amp;"_"&amp;TEXT($B18*60+BH$10,"0000"),RawData!$A$2:$G$30000,5,FALSE),"")</f>
        <v>0</v>
      </c>
      <c r="BI18" s="49">
        <f>IFERROR(VLOOKUP(TEXT($B$3,"yyyymmdd")&amp;"_"&amp;TEXT($B18*60+BI$10,"0000"),RawData!$A$2:$G$30000,5,FALSE),"")</f>
        <v>0</v>
      </c>
      <c r="BJ18" s="49">
        <f>IFERROR(VLOOKUP(TEXT($B$3,"yyyymmdd")&amp;"_"&amp;TEXT($B18*60+BJ$10,"0000"),RawData!$A$2:$G$30000,5,FALSE),"")</f>
        <v>0</v>
      </c>
      <c r="BK18" s="4" t="str">
        <f>IFERROR(VLOOKUP(TEXT($B$3,"yyyymmdd")&amp;"_"&amp;TEXT(7,"0000"),RawData!$A$2:$F$1441,4,FALSE),"")</f>
        <v>01</v>
      </c>
      <c r="BL18" s="19">
        <f>TIME(0,0,0)+7/1440</f>
        <v>4.8611111111111112E-3</v>
      </c>
      <c r="BM18" s="4">
        <f>IFERROR(VLOOKUP(TEXT($B$3,"yyyymmdd")&amp;"_"&amp;TEXT(7,"0000"),RawData!$A$2:$F$1441,5,FALSE),"")</f>
        <v>0</v>
      </c>
      <c r="BN18" s="4">
        <f t="shared" si="0"/>
        <v>0</v>
      </c>
    </row>
    <row r="19" spans="1:66" ht="18.399999999999999" customHeight="1" x14ac:dyDescent="0.6">
      <c r="B19" s="18">
        <v>8</v>
      </c>
      <c r="C19" s="49">
        <f>IFERROR(VLOOKUP(TEXT($B$3,"yyyymmdd")&amp;"_"&amp;TEXT($B19*60+C$10,"0000"),RawData!$A$2:$G$30000,5,FALSE),"")</f>
        <v>0</v>
      </c>
      <c r="D19" s="49">
        <f>IFERROR(VLOOKUP(TEXT($B$3,"yyyymmdd")&amp;"_"&amp;TEXT($B19*60+D$10,"0000"),RawData!$A$2:$G$30000,5,FALSE),"")</f>
        <v>0</v>
      </c>
      <c r="E19" s="49">
        <f>IFERROR(VLOOKUP(TEXT($B$3,"yyyymmdd")&amp;"_"&amp;TEXT($B19*60+E$10,"0000"),RawData!$A$2:$G$30000,5,FALSE),"")</f>
        <v>0</v>
      </c>
      <c r="F19" s="49">
        <f>IFERROR(VLOOKUP(TEXT($B$3,"yyyymmdd")&amp;"_"&amp;TEXT($B19*60+F$10,"0000"),RawData!$A$2:$G$30000,5,FALSE),"")</f>
        <v>0</v>
      </c>
      <c r="G19" s="49">
        <f>IFERROR(VLOOKUP(TEXT($B$3,"yyyymmdd")&amp;"_"&amp;TEXT($B19*60+G$10,"0000"),RawData!$A$2:$G$30000,5,FALSE),"")</f>
        <v>0</v>
      </c>
      <c r="H19" s="49">
        <f>IFERROR(VLOOKUP(TEXT($B$3,"yyyymmdd")&amp;"_"&amp;TEXT($B19*60+H$10,"0000"),RawData!$A$2:$G$30000,5,FALSE),"")</f>
        <v>0</v>
      </c>
      <c r="I19" s="49">
        <f>IFERROR(VLOOKUP(TEXT($B$3,"yyyymmdd")&amp;"_"&amp;TEXT($B19*60+I$10,"0000"),RawData!$A$2:$G$30000,5,FALSE),"")</f>
        <v>0</v>
      </c>
      <c r="J19" s="49">
        <f>IFERROR(VLOOKUP(TEXT($B$3,"yyyymmdd")&amp;"_"&amp;TEXT($B19*60+J$10,"0000"),RawData!$A$2:$G$30000,5,FALSE),"")</f>
        <v>0</v>
      </c>
      <c r="K19" s="49">
        <f>IFERROR(VLOOKUP(TEXT($B$3,"yyyymmdd")&amp;"_"&amp;TEXT($B19*60+K$10,"0000"),RawData!$A$2:$G$30000,5,FALSE),"")</f>
        <v>0</v>
      </c>
      <c r="L19" s="49">
        <f>IFERROR(VLOOKUP(TEXT($B$3,"yyyymmdd")&amp;"_"&amp;TEXT($B19*60+L$10,"0000"),RawData!$A$2:$G$30000,5,FALSE),"")</f>
        <v>0</v>
      </c>
      <c r="M19" s="49">
        <f>IFERROR(VLOOKUP(TEXT($B$3,"yyyymmdd")&amp;"_"&amp;TEXT($B19*60+M$10,"0000"),RawData!$A$2:$G$30000,5,FALSE),"")</f>
        <v>0</v>
      </c>
      <c r="N19" s="49">
        <f>IFERROR(VLOOKUP(TEXT($B$3,"yyyymmdd")&amp;"_"&amp;TEXT($B19*60+N$10,"0000"),RawData!$A$2:$G$30000,5,FALSE),"")</f>
        <v>0</v>
      </c>
      <c r="O19" s="49">
        <f>IFERROR(VLOOKUP(TEXT($B$3,"yyyymmdd")&amp;"_"&amp;TEXT($B19*60+O$10,"0000"),RawData!$A$2:$G$30000,5,FALSE),"")</f>
        <v>0</v>
      </c>
      <c r="P19" s="49">
        <f>IFERROR(VLOOKUP(TEXT($B$3,"yyyymmdd")&amp;"_"&amp;TEXT($B19*60+P$10,"0000"),RawData!$A$2:$G$30000,5,FALSE),"")</f>
        <v>0</v>
      </c>
      <c r="Q19" s="49">
        <f>IFERROR(VLOOKUP(TEXT($B$3,"yyyymmdd")&amp;"_"&amp;TEXT($B19*60+Q$10,"0000"),RawData!$A$2:$G$30000,5,FALSE),"")</f>
        <v>0</v>
      </c>
      <c r="R19" s="49">
        <f>IFERROR(VLOOKUP(TEXT($B$3,"yyyymmdd")&amp;"_"&amp;TEXT($B19*60+R$10,"0000"),RawData!$A$2:$G$30000,5,FALSE),"")</f>
        <v>0</v>
      </c>
      <c r="S19" s="49">
        <f>IFERROR(VLOOKUP(TEXT($B$3,"yyyymmdd")&amp;"_"&amp;TEXT($B19*60+S$10,"0000"),RawData!$A$2:$G$30000,5,FALSE),"")</f>
        <v>0</v>
      </c>
      <c r="T19" s="49">
        <f>IFERROR(VLOOKUP(TEXT($B$3,"yyyymmdd")&amp;"_"&amp;TEXT($B19*60+T$10,"0000"),RawData!$A$2:$G$30000,5,FALSE),"")</f>
        <v>0</v>
      </c>
      <c r="U19" s="49">
        <f>IFERROR(VLOOKUP(TEXT($B$3,"yyyymmdd")&amp;"_"&amp;TEXT($B19*60+U$10,"0000"),RawData!$A$2:$G$30000,5,FALSE),"")</f>
        <v>0</v>
      </c>
      <c r="V19" s="49">
        <f>IFERROR(VLOOKUP(TEXT($B$3,"yyyymmdd")&amp;"_"&amp;TEXT($B19*60+V$10,"0000"),RawData!$A$2:$G$30000,5,FALSE),"")</f>
        <v>0</v>
      </c>
      <c r="W19" s="49">
        <f>IFERROR(VLOOKUP(TEXT($B$3,"yyyymmdd")&amp;"_"&amp;TEXT($B19*60+W$10,"0000"),RawData!$A$2:$G$30000,5,FALSE),"")</f>
        <v>0</v>
      </c>
      <c r="X19" s="49">
        <f>IFERROR(VLOOKUP(TEXT($B$3,"yyyymmdd")&amp;"_"&amp;TEXT($B19*60+X$10,"0000"),RawData!$A$2:$G$30000,5,FALSE),"")</f>
        <v>0</v>
      </c>
      <c r="Y19" s="49">
        <f>IFERROR(VLOOKUP(TEXT($B$3,"yyyymmdd")&amp;"_"&amp;TEXT($B19*60+Y$10,"0000"),RawData!$A$2:$G$30000,5,FALSE),"")</f>
        <v>0</v>
      </c>
      <c r="Z19" s="49">
        <f>IFERROR(VLOOKUP(TEXT($B$3,"yyyymmdd")&amp;"_"&amp;TEXT($B19*60+Z$10,"0000"),RawData!$A$2:$G$30000,5,FALSE),"")</f>
        <v>0</v>
      </c>
      <c r="AA19" s="49">
        <f>IFERROR(VLOOKUP(TEXT($B$3,"yyyymmdd")&amp;"_"&amp;TEXT($B19*60+AA$10,"0000"),RawData!$A$2:$G$30000,5,FALSE),"")</f>
        <v>0</v>
      </c>
      <c r="AB19" s="49">
        <f>IFERROR(VLOOKUP(TEXT($B$3,"yyyymmdd")&amp;"_"&amp;TEXT($B19*60+AB$10,"0000"),RawData!$A$2:$G$30000,5,FALSE),"")</f>
        <v>0</v>
      </c>
      <c r="AC19" s="49">
        <f>IFERROR(VLOOKUP(TEXT($B$3,"yyyymmdd")&amp;"_"&amp;TEXT($B19*60+AC$10,"0000"),RawData!$A$2:$G$30000,5,FALSE),"")</f>
        <v>0</v>
      </c>
      <c r="AD19" s="49">
        <f>IFERROR(VLOOKUP(TEXT($B$3,"yyyymmdd")&amp;"_"&amp;TEXT($B19*60+AD$10,"0000"),RawData!$A$2:$G$30000,5,FALSE),"")</f>
        <v>0</v>
      </c>
      <c r="AE19" s="49">
        <f>IFERROR(VLOOKUP(TEXT($B$3,"yyyymmdd")&amp;"_"&amp;TEXT($B19*60+AE$10,"0000"),RawData!$A$2:$G$30000,5,FALSE),"")</f>
        <v>0</v>
      </c>
      <c r="AF19" s="49">
        <f>IFERROR(VLOOKUP(TEXT($B$3,"yyyymmdd")&amp;"_"&amp;TEXT($B19*60+AF$10,"0000"),RawData!$A$2:$G$30000,5,FALSE),"")</f>
        <v>0</v>
      </c>
      <c r="AG19" s="49">
        <f>IFERROR(VLOOKUP(TEXT($B$3,"yyyymmdd")&amp;"_"&amp;TEXT($B19*60+AG$10,"0000"),RawData!$A$2:$G$30000,5,FALSE),"")</f>
        <v>0</v>
      </c>
      <c r="AH19" s="49">
        <f>IFERROR(VLOOKUP(TEXT($B$3,"yyyymmdd")&amp;"_"&amp;TEXT($B19*60+AH$10,"0000"),RawData!$A$2:$G$30000,5,FALSE),"")</f>
        <v>0</v>
      </c>
      <c r="AI19" s="49">
        <f>IFERROR(VLOOKUP(TEXT($B$3,"yyyymmdd")&amp;"_"&amp;TEXT($B19*60+AI$10,"0000"),RawData!$A$2:$G$30000,5,FALSE),"")</f>
        <v>0</v>
      </c>
      <c r="AJ19" s="49">
        <f>IFERROR(VLOOKUP(TEXT($B$3,"yyyymmdd")&amp;"_"&amp;TEXT($B19*60+AJ$10,"0000"),RawData!$A$2:$G$30000,5,FALSE),"")</f>
        <v>0</v>
      </c>
      <c r="AK19" s="49">
        <f>IFERROR(VLOOKUP(TEXT($B$3,"yyyymmdd")&amp;"_"&amp;TEXT($B19*60+AK$10,"0000"),RawData!$A$2:$G$30000,5,FALSE),"")</f>
        <v>0</v>
      </c>
      <c r="AL19" s="49">
        <f>IFERROR(VLOOKUP(TEXT($B$3,"yyyymmdd")&amp;"_"&amp;TEXT($B19*60+AL$10,"0000"),RawData!$A$2:$G$30000,5,FALSE),"")</f>
        <v>0</v>
      </c>
      <c r="AM19" s="49">
        <f>IFERROR(VLOOKUP(TEXT($B$3,"yyyymmdd")&amp;"_"&amp;TEXT($B19*60+AM$10,"0000"),RawData!$A$2:$G$30000,5,FALSE),"")</f>
        <v>0</v>
      </c>
      <c r="AN19" s="49">
        <f>IFERROR(VLOOKUP(TEXT($B$3,"yyyymmdd")&amp;"_"&amp;TEXT($B19*60+AN$10,"0000"),RawData!$A$2:$G$30000,5,FALSE),"")</f>
        <v>0</v>
      </c>
      <c r="AO19" s="49">
        <f>IFERROR(VLOOKUP(TEXT($B$3,"yyyymmdd")&amp;"_"&amp;TEXT($B19*60+AO$10,"0000"),RawData!$A$2:$G$30000,5,FALSE),"")</f>
        <v>0</v>
      </c>
      <c r="AP19" s="49">
        <f>IFERROR(VLOOKUP(TEXT($B$3,"yyyymmdd")&amp;"_"&amp;TEXT($B19*60+AP$10,"0000"),RawData!$A$2:$G$30000,5,FALSE),"")</f>
        <v>0</v>
      </c>
      <c r="AQ19" s="49">
        <f>IFERROR(VLOOKUP(TEXT($B$3,"yyyymmdd")&amp;"_"&amp;TEXT($B19*60+AQ$10,"0000"),RawData!$A$2:$G$30000,5,FALSE),"")</f>
        <v>0</v>
      </c>
      <c r="AR19" s="49">
        <f>IFERROR(VLOOKUP(TEXT($B$3,"yyyymmdd")&amp;"_"&amp;TEXT($B19*60+AR$10,"0000"),RawData!$A$2:$G$30000,5,FALSE),"")</f>
        <v>0</v>
      </c>
      <c r="AS19" s="49">
        <f>IFERROR(VLOOKUP(TEXT($B$3,"yyyymmdd")&amp;"_"&amp;TEXT($B19*60+AS$10,"0000"),RawData!$A$2:$G$30000,5,FALSE),"")</f>
        <v>0</v>
      </c>
      <c r="AT19" s="49">
        <f>IFERROR(VLOOKUP(TEXT($B$3,"yyyymmdd")&amp;"_"&amp;TEXT($B19*60+AT$10,"0000"),RawData!$A$2:$G$30000,5,FALSE),"")</f>
        <v>0</v>
      </c>
      <c r="AU19" s="49">
        <f>IFERROR(VLOOKUP(TEXT($B$3,"yyyymmdd")&amp;"_"&amp;TEXT($B19*60+AU$10,"0000"),RawData!$A$2:$G$30000,5,FALSE),"")</f>
        <v>0</v>
      </c>
      <c r="AV19" s="49">
        <f>IFERROR(VLOOKUP(TEXT($B$3,"yyyymmdd")&amp;"_"&amp;TEXT($B19*60+AV$10,"0000"),RawData!$A$2:$G$30000,5,FALSE),"")</f>
        <v>0</v>
      </c>
      <c r="AW19" s="49">
        <f>IFERROR(VLOOKUP(TEXT($B$3,"yyyymmdd")&amp;"_"&amp;TEXT($B19*60+AW$10,"0000"),RawData!$A$2:$G$30000,5,FALSE),"")</f>
        <v>0</v>
      </c>
      <c r="AX19" s="49">
        <f>IFERROR(VLOOKUP(TEXT($B$3,"yyyymmdd")&amp;"_"&amp;TEXT($B19*60+AX$10,"0000"),RawData!$A$2:$G$30000,5,FALSE),"")</f>
        <v>0</v>
      </c>
      <c r="AY19" s="49">
        <f>IFERROR(VLOOKUP(TEXT($B$3,"yyyymmdd")&amp;"_"&amp;TEXT($B19*60+AY$10,"0000"),RawData!$A$2:$G$30000,5,FALSE),"")</f>
        <v>0</v>
      </c>
      <c r="AZ19" s="49">
        <f>IFERROR(VLOOKUP(TEXT($B$3,"yyyymmdd")&amp;"_"&amp;TEXT($B19*60+AZ$10,"0000"),RawData!$A$2:$G$30000,5,FALSE),"")</f>
        <v>0</v>
      </c>
      <c r="BA19" s="49">
        <f>IFERROR(VLOOKUP(TEXT($B$3,"yyyymmdd")&amp;"_"&amp;TEXT($B19*60+BA$10,"0000"),RawData!$A$2:$G$30000,5,FALSE),"")</f>
        <v>0</v>
      </c>
      <c r="BB19" s="49">
        <f>IFERROR(VLOOKUP(TEXT($B$3,"yyyymmdd")&amp;"_"&amp;TEXT($B19*60+BB$10,"0000"),RawData!$A$2:$G$30000,5,FALSE),"")</f>
        <v>0</v>
      </c>
      <c r="BC19" s="49">
        <f>IFERROR(VLOOKUP(TEXT($B$3,"yyyymmdd")&amp;"_"&amp;TEXT($B19*60+BC$10,"0000"),RawData!$A$2:$G$30000,5,FALSE),"")</f>
        <v>0</v>
      </c>
      <c r="BD19" s="49">
        <f>IFERROR(VLOOKUP(TEXT($B$3,"yyyymmdd")&amp;"_"&amp;TEXT($B19*60+BD$10,"0000"),RawData!$A$2:$G$30000,5,FALSE),"")</f>
        <v>0</v>
      </c>
      <c r="BE19" s="49">
        <f>IFERROR(VLOOKUP(TEXT($B$3,"yyyymmdd")&amp;"_"&amp;TEXT($B19*60+BE$10,"0000"),RawData!$A$2:$G$30000,5,FALSE),"")</f>
        <v>0</v>
      </c>
      <c r="BF19" s="49">
        <f>IFERROR(VLOOKUP(TEXT($B$3,"yyyymmdd")&amp;"_"&amp;TEXT($B19*60+BF$10,"0000"),RawData!$A$2:$G$30000,5,FALSE),"")</f>
        <v>0</v>
      </c>
      <c r="BG19" s="49">
        <f>IFERROR(VLOOKUP(TEXT($B$3,"yyyymmdd")&amp;"_"&amp;TEXT($B19*60+BG$10,"0000"),RawData!$A$2:$G$30000,5,FALSE),"")</f>
        <v>0</v>
      </c>
      <c r="BH19" s="49">
        <f>IFERROR(VLOOKUP(TEXT($B$3,"yyyymmdd")&amp;"_"&amp;TEXT($B19*60+BH$10,"0000"),RawData!$A$2:$G$30000,5,FALSE),"")</f>
        <v>0</v>
      </c>
      <c r="BI19" s="49">
        <f>IFERROR(VLOOKUP(TEXT($B$3,"yyyymmdd")&amp;"_"&amp;TEXT($B19*60+BI$10,"0000"),RawData!$A$2:$G$30000,5,FALSE),"")</f>
        <v>0</v>
      </c>
      <c r="BJ19" s="49">
        <f>IFERROR(VLOOKUP(TEXT($B$3,"yyyymmdd")&amp;"_"&amp;TEXT($B19*60+BJ$10,"0000"),RawData!$A$2:$G$30000,5,FALSE),"")</f>
        <v>0</v>
      </c>
      <c r="BK19" s="4" t="str">
        <f>IFERROR(VLOOKUP(TEXT($B$3,"yyyymmdd")&amp;"_"&amp;TEXT(8,"0000"),RawData!$A$2:$F$1441,4,FALSE),"")</f>
        <v>01</v>
      </c>
      <c r="BL19" s="19">
        <f>TIME(0,0,0)+8/1440</f>
        <v>5.5555555555555558E-3</v>
      </c>
      <c r="BM19" s="4">
        <f>IFERROR(VLOOKUP(TEXT($B$3,"yyyymmdd")&amp;"_"&amp;TEXT(8,"0000"),RawData!$A$2:$F$1441,5,FALSE),"")</f>
        <v>0</v>
      </c>
      <c r="BN19" s="4">
        <f t="shared" si="0"/>
        <v>0</v>
      </c>
    </row>
    <row r="20" spans="1:66" ht="18.399999999999999" customHeight="1" x14ac:dyDescent="0.6">
      <c r="B20" s="18">
        <v>9</v>
      </c>
      <c r="C20" s="49">
        <f>IFERROR(VLOOKUP(TEXT($B$3,"yyyymmdd")&amp;"_"&amp;TEXT($B20*60+C$10,"0000"),RawData!$A$2:$G$30000,5,FALSE),"")</f>
        <v>0</v>
      </c>
      <c r="D20" s="49">
        <f>IFERROR(VLOOKUP(TEXT($B$3,"yyyymmdd")&amp;"_"&amp;TEXT($B20*60+D$10,"0000"),RawData!$A$2:$G$30000,5,FALSE),"")</f>
        <v>0</v>
      </c>
      <c r="E20" s="49">
        <f>IFERROR(VLOOKUP(TEXT($B$3,"yyyymmdd")&amp;"_"&amp;TEXT($B20*60+E$10,"0000"),RawData!$A$2:$G$30000,5,FALSE),"")</f>
        <v>0</v>
      </c>
      <c r="F20" s="49">
        <f>IFERROR(VLOOKUP(TEXT($B$3,"yyyymmdd")&amp;"_"&amp;TEXT($B20*60+F$10,"0000"),RawData!$A$2:$G$30000,5,FALSE),"")</f>
        <v>0</v>
      </c>
      <c r="G20" s="49">
        <f>IFERROR(VLOOKUP(TEXT($B$3,"yyyymmdd")&amp;"_"&amp;TEXT($B20*60+G$10,"0000"),RawData!$A$2:$G$30000,5,FALSE),"")</f>
        <v>0</v>
      </c>
      <c r="H20" s="49">
        <f>IFERROR(VLOOKUP(TEXT($B$3,"yyyymmdd")&amp;"_"&amp;TEXT($B20*60+H$10,"0000"),RawData!$A$2:$G$30000,5,FALSE),"")</f>
        <v>0</v>
      </c>
      <c r="I20" s="49">
        <f>IFERROR(VLOOKUP(TEXT($B$3,"yyyymmdd")&amp;"_"&amp;TEXT($B20*60+I$10,"0000"),RawData!$A$2:$G$30000,5,FALSE),"")</f>
        <v>0</v>
      </c>
      <c r="J20" s="49">
        <f>IFERROR(VLOOKUP(TEXT($B$3,"yyyymmdd")&amp;"_"&amp;TEXT($B20*60+J$10,"0000"),RawData!$A$2:$G$30000,5,FALSE),"")</f>
        <v>0</v>
      </c>
      <c r="K20" s="49">
        <f>IFERROR(VLOOKUP(TEXT($B$3,"yyyymmdd")&amp;"_"&amp;TEXT($B20*60+K$10,"0000"),RawData!$A$2:$G$30000,5,FALSE),"")</f>
        <v>0</v>
      </c>
      <c r="L20" s="49">
        <f>IFERROR(VLOOKUP(TEXT($B$3,"yyyymmdd")&amp;"_"&amp;TEXT($B20*60+L$10,"0000"),RawData!$A$2:$G$30000,5,FALSE),"")</f>
        <v>0</v>
      </c>
      <c r="M20" s="49">
        <f>IFERROR(VLOOKUP(TEXT($B$3,"yyyymmdd")&amp;"_"&amp;TEXT($B20*60+M$10,"0000"),RawData!$A$2:$G$30000,5,FALSE),"")</f>
        <v>0</v>
      </c>
      <c r="N20" s="49">
        <f>IFERROR(VLOOKUP(TEXT($B$3,"yyyymmdd")&amp;"_"&amp;TEXT($B20*60+N$10,"0000"),RawData!$A$2:$G$30000,5,FALSE),"")</f>
        <v>0</v>
      </c>
      <c r="O20" s="49">
        <f>IFERROR(VLOOKUP(TEXT($B$3,"yyyymmdd")&amp;"_"&amp;TEXT($B20*60+O$10,"0000"),RawData!$A$2:$G$30000,5,FALSE),"")</f>
        <v>0</v>
      </c>
      <c r="P20" s="49">
        <f>IFERROR(VLOOKUP(TEXT($B$3,"yyyymmdd")&amp;"_"&amp;TEXT($B20*60+P$10,"0000"),RawData!$A$2:$G$30000,5,FALSE),"")</f>
        <v>0</v>
      </c>
      <c r="Q20" s="49">
        <f>IFERROR(VLOOKUP(TEXT($B$3,"yyyymmdd")&amp;"_"&amp;TEXT($B20*60+Q$10,"0000"),RawData!$A$2:$G$30000,5,FALSE),"")</f>
        <v>0</v>
      </c>
      <c r="R20" s="49">
        <f>IFERROR(VLOOKUP(TEXT($B$3,"yyyymmdd")&amp;"_"&amp;TEXT($B20*60+R$10,"0000"),RawData!$A$2:$G$30000,5,FALSE),"")</f>
        <v>0</v>
      </c>
      <c r="S20" s="49">
        <f>IFERROR(VLOOKUP(TEXT($B$3,"yyyymmdd")&amp;"_"&amp;TEXT($B20*60+S$10,"0000"),RawData!$A$2:$G$30000,5,FALSE),"")</f>
        <v>0</v>
      </c>
      <c r="T20" s="49">
        <f>IFERROR(VLOOKUP(TEXT($B$3,"yyyymmdd")&amp;"_"&amp;TEXT($B20*60+T$10,"0000"),RawData!$A$2:$G$30000,5,FALSE),"")</f>
        <v>0</v>
      </c>
      <c r="U20" s="49">
        <f>IFERROR(VLOOKUP(TEXT($B$3,"yyyymmdd")&amp;"_"&amp;TEXT($B20*60+U$10,"0000"),RawData!$A$2:$G$30000,5,FALSE),"")</f>
        <v>0</v>
      </c>
      <c r="V20" s="49">
        <f>IFERROR(VLOOKUP(TEXT($B$3,"yyyymmdd")&amp;"_"&amp;TEXT($B20*60+V$10,"0000"),RawData!$A$2:$G$30000,5,FALSE),"")</f>
        <v>0</v>
      </c>
      <c r="W20" s="49">
        <f>IFERROR(VLOOKUP(TEXT($B$3,"yyyymmdd")&amp;"_"&amp;TEXT($B20*60+W$10,"0000"),RawData!$A$2:$G$30000,5,FALSE),"")</f>
        <v>0</v>
      </c>
      <c r="X20" s="49">
        <f>IFERROR(VLOOKUP(TEXT($B$3,"yyyymmdd")&amp;"_"&amp;TEXT($B20*60+X$10,"0000"),RawData!$A$2:$G$30000,5,FALSE),"")</f>
        <v>0</v>
      </c>
      <c r="Y20" s="49">
        <f>IFERROR(VLOOKUP(TEXT($B$3,"yyyymmdd")&amp;"_"&amp;TEXT($B20*60+Y$10,"0000"),RawData!$A$2:$G$30000,5,FALSE),"")</f>
        <v>0</v>
      </c>
      <c r="Z20" s="49">
        <f>IFERROR(VLOOKUP(TEXT($B$3,"yyyymmdd")&amp;"_"&amp;TEXT($B20*60+Z$10,"0000"),RawData!$A$2:$G$30000,5,FALSE),"")</f>
        <v>0</v>
      </c>
      <c r="AA20" s="49">
        <f>IFERROR(VLOOKUP(TEXT($B$3,"yyyymmdd")&amp;"_"&amp;TEXT($B20*60+AA$10,"0000"),RawData!$A$2:$G$30000,5,FALSE),"")</f>
        <v>0</v>
      </c>
      <c r="AB20" s="49">
        <f>IFERROR(VLOOKUP(TEXT($B$3,"yyyymmdd")&amp;"_"&amp;TEXT($B20*60+AB$10,"0000"),RawData!$A$2:$G$30000,5,FALSE),"")</f>
        <v>0</v>
      </c>
      <c r="AC20" s="49">
        <f>IFERROR(VLOOKUP(TEXT($B$3,"yyyymmdd")&amp;"_"&amp;TEXT($B20*60+AC$10,"0000"),RawData!$A$2:$G$30000,5,FALSE),"")</f>
        <v>0</v>
      </c>
      <c r="AD20" s="49">
        <f>IFERROR(VLOOKUP(TEXT($B$3,"yyyymmdd")&amp;"_"&amp;TEXT($B20*60+AD$10,"0000"),RawData!$A$2:$G$30000,5,FALSE),"")</f>
        <v>0</v>
      </c>
      <c r="AE20" s="49">
        <f>IFERROR(VLOOKUP(TEXT($B$3,"yyyymmdd")&amp;"_"&amp;TEXT($B20*60+AE$10,"0000"),RawData!$A$2:$G$30000,5,FALSE),"")</f>
        <v>1.368050411</v>
      </c>
      <c r="AF20" s="49">
        <f>IFERROR(VLOOKUP(TEXT($B$3,"yyyymmdd")&amp;"_"&amp;TEXT($B20*60+AF$10,"0000"),RawData!$A$2:$G$30000,5,FALSE),"")</f>
        <v>0</v>
      </c>
      <c r="AG20" s="49">
        <f>IFERROR(VLOOKUP(TEXT($B$3,"yyyymmdd")&amp;"_"&amp;TEXT($B20*60+AG$10,"0000"),RawData!$A$2:$G$30000,5,FALSE),"")</f>
        <v>0</v>
      </c>
      <c r="AH20" s="49">
        <f>IFERROR(VLOOKUP(TEXT($B$3,"yyyymmdd")&amp;"_"&amp;TEXT($B20*60+AH$10,"0000"),RawData!$A$2:$G$30000,5,FALSE),"")</f>
        <v>0</v>
      </c>
      <c r="AI20" s="49">
        <f>IFERROR(VLOOKUP(TEXT($B$3,"yyyymmdd")&amp;"_"&amp;TEXT($B20*60+AI$10,"0000"),RawData!$A$2:$G$30000,5,FALSE),"")</f>
        <v>0</v>
      </c>
      <c r="AJ20" s="49">
        <f>IFERROR(VLOOKUP(TEXT($B$3,"yyyymmdd")&amp;"_"&amp;TEXT($B20*60+AJ$10,"0000"),RawData!$A$2:$G$30000,5,FALSE),"")</f>
        <v>0</v>
      </c>
      <c r="AK20" s="49">
        <f>IFERROR(VLOOKUP(TEXT($B$3,"yyyymmdd")&amp;"_"&amp;TEXT($B20*60+AK$10,"0000"),RawData!$A$2:$G$30000,5,FALSE),"")</f>
        <v>0</v>
      </c>
      <c r="AL20" s="49">
        <f>IFERROR(VLOOKUP(TEXT($B$3,"yyyymmdd")&amp;"_"&amp;TEXT($B20*60+AL$10,"0000"),RawData!$A$2:$G$30000,5,FALSE),"")</f>
        <v>0</v>
      </c>
      <c r="AM20" s="49">
        <f>IFERROR(VLOOKUP(TEXT($B$3,"yyyymmdd")&amp;"_"&amp;TEXT($B20*60+AM$10,"0000"),RawData!$A$2:$G$30000,5,FALSE),"")</f>
        <v>0</v>
      </c>
      <c r="AN20" s="49">
        <f>IFERROR(VLOOKUP(TEXT($B$3,"yyyymmdd")&amp;"_"&amp;TEXT($B20*60+AN$10,"0000"),RawData!$A$2:$G$30000,5,FALSE),"")</f>
        <v>0</v>
      </c>
      <c r="AO20" s="49">
        <f>IFERROR(VLOOKUP(TEXT($B$3,"yyyymmdd")&amp;"_"&amp;TEXT($B20*60+AO$10,"0000"),RawData!$A$2:$G$30000,5,FALSE),"")</f>
        <v>0</v>
      </c>
      <c r="AP20" s="49">
        <f>IFERROR(VLOOKUP(TEXT($B$3,"yyyymmdd")&amp;"_"&amp;TEXT($B20*60+AP$10,"0000"),RawData!$A$2:$G$30000,5,FALSE),"")</f>
        <v>0</v>
      </c>
      <c r="AQ20" s="49">
        <f>IFERROR(VLOOKUP(TEXT($B$3,"yyyymmdd")&amp;"_"&amp;TEXT($B20*60+AQ$10,"0000"),RawData!$A$2:$G$30000,5,FALSE),"")</f>
        <v>0</v>
      </c>
      <c r="AR20" s="49">
        <f>IFERROR(VLOOKUP(TEXT($B$3,"yyyymmdd")&amp;"_"&amp;TEXT($B20*60+AR$10,"0000"),RawData!$A$2:$G$30000,5,FALSE),"")</f>
        <v>0</v>
      </c>
      <c r="AS20" s="49">
        <f>IFERROR(VLOOKUP(TEXT($B$3,"yyyymmdd")&amp;"_"&amp;TEXT($B20*60+AS$10,"0000"),RawData!$A$2:$G$30000,5,FALSE),"")</f>
        <v>0</v>
      </c>
      <c r="AT20" s="49">
        <f>IFERROR(VLOOKUP(TEXT($B$3,"yyyymmdd")&amp;"_"&amp;TEXT($B20*60+AT$10,"0000"),RawData!$A$2:$G$30000,5,FALSE),"")</f>
        <v>0</v>
      </c>
      <c r="AU20" s="49">
        <f>IFERROR(VLOOKUP(TEXT($B$3,"yyyymmdd")&amp;"_"&amp;TEXT($B20*60+AU$10,"0000"),RawData!$A$2:$G$30000,5,FALSE),"")</f>
        <v>0</v>
      </c>
      <c r="AV20" s="49">
        <f>IFERROR(VLOOKUP(TEXT($B$3,"yyyymmdd")&amp;"_"&amp;TEXT($B20*60+AV$10,"0000"),RawData!$A$2:$G$30000,5,FALSE),"")</f>
        <v>0</v>
      </c>
      <c r="AW20" s="49">
        <f>IFERROR(VLOOKUP(TEXT($B$3,"yyyymmdd")&amp;"_"&amp;TEXT($B20*60+AW$10,"0000"),RawData!$A$2:$G$30000,5,FALSE),"")</f>
        <v>0</v>
      </c>
      <c r="AX20" s="49">
        <f>IFERROR(VLOOKUP(TEXT($B$3,"yyyymmdd")&amp;"_"&amp;TEXT($B20*60+AX$10,"0000"),RawData!$A$2:$G$30000,5,FALSE),"")</f>
        <v>0</v>
      </c>
      <c r="AY20" s="49">
        <f>IFERROR(VLOOKUP(TEXT($B$3,"yyyymmdd")&amp;"_"&amp;TEXT($B20*60+AY$10,"0000"),RawData!$A$2:$G$30000,5,FALSE),"")</f>
        <v>0</v>
      </c>
      <c r="AZ20" s="49">
        <f>IFERROR(VLOOKUP(TEXT($B$3,"yyyymmdd")&amp;"_"&amp;TEXT($B20*60+AZ$10,"0000"),RawData!$A$2:$G$30000,5,FALSE),"")</f>
        <v>0</v>
      </c>
      <c r="BA20" s="49">
        <f>IFERROR(VLOOKUP(TEXT($B$3,"yyyymmdd")&amp;"_"&amp;TEXT($B20*60+BA$10,"0000"),RawData!$A$2:$G$30000,5,FALSE),"")</f>
        <v>0</v>
      </c>
      <c r="BB20" s="49">
        <f>IFERROR(VLOOKUP(TEXT($B$3,"yyyymmdd")&amp;"_"&amp;TEXT($B20*60+BB$10,"0000"),RawData!$A$2:$G$30000,5,FALSE),"")</f>
        <v>0</v>
      </c>
      <c r="BC20" s="49">
        <f>IFERROR(VLOOKUP(TEXT($B$3,"yyyymmdd")&amp;"_"&amp;TEXT($B20*60+BC$10,"0000"),RawData!$A$2:$G$30000,5,FALSE),"")</f>
        <v>0</v>
      </c>
      <c r="BD20" s="49">
        <f>IFERROR(VLOOKUP(TEXT($B$3,"yyyymmdd")&amp;"_"&amp;TEXT($B20*60+BD$10,"0000"),RawData!$A$2:$G$30000,5,FALSE),"")</f>
        <v>0</v>
      </c>
      <c r="BE20" s="49">
        <f>IFERROR(VLOOKUP(TEXT($B$3,"yyyymmdd")&amp;"_"&amp;TEXT($B20*60+BE$10,"0000"),RawData!$A$2:$G$30000,5,FALSE),"")</f>
        <v>0</v>
      </c>
      <c r="BF20" s="49">
        <f>IFERROR(VLOOKUP(TEXT($B$3,"yyyymmdd")&amp;"_"&amp;TEXT($B20*60+BF$10,"0000"),RawData!$A$2:$G$30000,5,FALSE),"")</f>
        <v>0</v>
      </c>
      <c r="BG20" s="49">
        <f>IFERROR(VLOOKUP(TEXT($B$3,"yyyymmdd")&amp;"_"&amp;TEXT($B20*60+BG$10,"0000"),RawData!$A$2:$G$30000,5,FALSE),"")</f>
        <v>0</v>
      </c>
      <c r="BH20" s="49">
        <f>IFERROR(VLOOKUP(TEXT($B$3,"yyyymmdd")&amp;"_"&amp;TEXT($B20*60+BH$10,"0000"),RawData!$A$2:$G$30000,5,FALSE),"")</f>
        <v>0</v>
      </c>
      <c r="BI20" s="49">
        <f>IFERROR(VLOOKUP(TEXT($B$3,"yyyymmdd")&amp;"_"&amp;TEXT($B20*60+BI$10,"0000"),RawData!$A$2:$G$30000,5,FALSE),"")</f>
        <v>0</v>
      </c>
      <c r="BJ20" s="49">
        <f>IFERROR(VLOOKUP(TEXT($B$3,"yyyymmdd")&amp;"_"&amp;TEXT($B20*60+BJ$10,"0000"),RawData!$A$2:$G$30000,5,FALSE),"")</f>
        <v>0</v>
      </c>
      <c r="BK20" s="4" t="str">
        <f>IFERROR(VLOOKUP(TEXT($B$3,"yyyymmdd")&amp;"_"&amp;TEXT(9,"0000"),RawData!$A$2:$F$1441,4,FALSE),"")</f>
        <v>01</v>
      </c>
      <c r="BL20" s="19">
        <f>TIME(0,0,0)+9/1440</f>
        <v>6.2500000000000003E-3</v>
      </c>
      <c r="BM20" s="4">
        <f>IFERROR(VLOOKUP(TEXT($B$3,"yyyymmdd")&amp;"_"&amp;TEXT(9,"0000"),RawData!$A$2:$F$1441,5,FALSE),"")</f>
        <v>0</v>
      </c>
      <c r="BN20" s="4">
        <f t="shared" si="0"/>
        <v>0</v>
      </c>
    </row>
    <row r="21" spans="1:66" ht="18.399999999999999" customHeight="1" x14ac:dyDescent="0.6">
      <c r="B21" s="18">
        <v>10</v>
      </c>
      <c r="C21" s="49">
        <f>IFERROR(VLOOKUP(TEXT($B$3,"yyyymmdd")&amp;"_"&amp;TEXT($B21*60+C$10,"0000"),RawData!$A$2:$G$30000,5,FALSE),"")</f>
        <v>0</v>
      </c>
      <c r="D21" s="49">
        <f>IFERROR(VLOOKUP(TEXT($B$3,"yyyymmdd")&amp;"_"&amp;TEXT($B21*60+D$10,"0000"),RawData!$A$2:$G$30000,5,FALSE),"")</f>
        <v>0</v>
      </c>
      <c r="E21" s="49">
        <f>IFERROR(VLOOKUP(TEXT($B$3,"yyyymmdd")&amp;"_"&amp;TEXT($B21*60+E$10,"0000"),RawData!$A$2:$G$30000,5,FALSE),"")</f>
        <v>0</v>
      </c>
      <c r="F21" s="49">
        <f>IFERROR(VLOOKUP(TEXT($B$3,"yyyymmdd")&amp;"_"&amp;TEXT($B21*60+F$10,"0000"),RawData!$A$2:$G$30000,5,FALSE),"")</f>
        <v>0</v>
      </c>
      <c r="G21" s="49">
        <f>IFERROR(VLOOKUP(TEXT($B$3,"yyyymmdd")&amp;"_"&amp;TEXT($B21*60+G$10,"0000"),RawData!$A$2:$G$30000,5,FALSE),"")</f>
        <v>0</v>
      </c>
      <c r="H21" s="49">
        <f>IFERROR(VLOOKUP(TEXT($B$3,"yyyymmdd")&amp;"_"&amp;TEXT($B21*60+H$10,"0000"),RawData!$A$2:$G$30000,5,FALSE),"")</f>
        <v>0</v>
      </c>
      <c r="I21" s="49">
        <f>IFERROR(VLOOKUP(TEXT($B$3,"yyyymmdd")&amp;"_"&amp;TEXT($B21*60+I$10,"0000"),RawData!$A$2:$G$30000,5,FALSE),"")</f>
        <v>0</v>
      </c>
      <c r="J21" s="49">
        <f>IFERROR(VLOOKUP(TEXT($B$3,"yyyymmdd")&amp;"_"&amp;TEXT($B21*60+J$10,"0000"),RawData!$A$2:$G$30000,5,FALSE),"")</f>
        <v>0</v>
      </c>
      <c r="K21" s="49">
        <f>IFERROR(VLOOKUP(TEXT($B$3,"yyyymmdd")&amp;"_"&amp;TEXT($B21*60+K$10,"0000"),RawData!$A$2:$G$30000,5,FALSE),"")</f>
        <v>0</v>
      </c>
      <c r="L21" s="49">
        <f>IFERROR(VLOOKUP(TEXT($B$3,"yyyymmdd")&amp;"_"&amp;TEXT($B21*60+L$10,"0000"),RawData!$A$2:$G$30000,5,FALSE),"")</f>
        <v>0</v>
      </c>
      <c r="M21" s="49">
        <f>IFERROR(VLOOKUP(TEXT($B$3,"yyyymmdd")&amp;"_"&amp;TEXT($B21*60+M$10,"0000"),RawData!$A$2:$G$30000,5,FALSE),"")</f>
        <v>0</v>
      </c>
      <c r="N21" s="49">
        <f>IFERROR(VLOOKUP(TEXT($B$3,"yyyymmdd")&amp;"_"&amp;TEXT($B21*60+N$10,"0000"),RawData!$A$2:$G$30000,5,FALSE),"")</f>
        <v>0</v>
      </c>
      <c r="O21" s="49">
        <f>IFERROR(VLOOKUP(TEXT($B$3,"yyyymmdd")&amp;"_"&amp;TEXT($B21*60+O$10,"0000"),RawData!$A$2:$G$30000,5,FALSE),"")</f>
        <v>0</v>
      </c>
      <c r="P21" s="49">
        <f>IFERROR(VLOOKUP(TEXT($B$3,"yyyymmdd")&amp;"_"&amp;TEXT($B21*60+P$10,"0000"),RawData!$A$2:$G$30000,5,FALSE),"")</f>
        <v>0</v>
      </c>
      <c r="Q21" s="49">
        <f>IFERROR(VLOOKUP(TEXT($B$3,"yyyymmdd")&amp;"_"&amp;TEXT($B21*60+Q$10,"0000"),RawData!$A$2:$G$30000,5,FALSE),"")</f>
        <v>0</v>
      </c>
      <c r="R21" s="49">
        <f>IFERROR(VLOOKUP(TEXT($B$3,"yyyymmdd")&amp;"_"&amp;TEXT($B21*60+R$10,"0000"),RawData!$A$2:$G$30000,5,FALSE),"")</f>
        <v>0</v>
      </c>
      <c r="S21" s="49">
        <f>IFERROR(VLOOKUP(TEXT($B$3,"yyyymmdd")&amp;"_"&amp;TEXT($B21*60+S$10,"0000"),RawData!$A$2:$G$30000,5,FALSE),"")</f>
        <v>0</v>
      </c>
      <c r="T21" s="49">
        <f>IFERROR(VLOOKUP(TEXT($B$3,"yyyymmdd")&amp;"_"&amp;TEXT($B21*60+T$10,"0000"),RawData!$A$2:$G$30000,5,FALSE),"")</f>
        <v>0</v>
      </c>
      <c r="U21" s="49">
        <f>IFERROR(VLOOKUP(TEXT($B$3,"yyyymmdd")&amp;"_"&amp;TEXT($B21*60+U$10,"0000"),RawData!$A$2:$G$30000,5,FALSE),"")</f>
        <v>0</v>
      </c>
      <c r="V21" s="49">
        <f>IFERROR(VLOOKUP(TEXT($B$3,"yyyymmdd")&amp;"_"&amp;TEXT($B21*60+V$10,"0000"),RawData!$A$2:$G$30000,5,FALSE),"")</f>
        <v>0</v>
      </c>
      <c r="W21" s="49">
        <f>IFERROR(VLOOKUP(TEXT($B$3,"yyyymmdd")&amp;"_"&amp;TEXT($B21*60+W$10,"0000"),RawData!$A$2:$G$30000,5,FALSE),"")</f>
        <v>0</v>
      </c>
      <c r="X21" s="49">
        <f>IFERROR(VLOOKUP(TEXT($B$3,"yyyymmdd")&amp;"_"&amp;TEXT($B21*60+X$10,"0000"),RawData!$A$2:$G$30000,5,FALSE),"")</f>
        <v>0</v>
      </c>
      <c r="Y21" s="49">
        <f>IFERROR(VLOOKUP(TEXT($B$3,"yyyymmdd")&amp;"_"&amp;TEXT($B21*60+Y$10,"0000"),RawData!$A$2:$G$30000,5,FALSE),"")</f>
        <v>0</v>
      </c>
      <c r="Z21" s="49">
        <f>IFERROR(VLOOKUP(TEXT($B$3,"yyyymmdd")&amp;"_"&amp;TEXT($B21*60+Z$10,"0000"),RawData!$A$2:$G$30000,5,FALSE),"")</f>
        <v>0</v>
      </c>
      <c r="AA21" s="49">
        <f>IFERROR(VLOOKUP(TEXT($B$3,"yyyymmdd")&amp;"_"&amp;TEXT($B21*60+AA$10,"0000"),RawData!$A$2:$G$30000,5,FALSE),"")</f>
        <v>0</v>
      </c>
      <c r="AB21" s="49">
        <f>IFERROR(VLOOKUP(TEXT($B$3,"yyyymmdd")&amp;"_"&amp;TEXT($B21*60+AB$10,"0000"),RawData!$A$2:$G$30000,5,FALSE),"")</f>
        <v>0.10603757799999999</v>
      </c>
      <c r="AC21" s="49">
        <f>IFERROR(VLOOKUP(TEXT($B$3,"yyyymmdd")&amp;"_"&amp;TEXT($B21*60+AC$10,"0000"),RawData!$A$2:$G$30000,5,FALSE),"")</f>
        <v>1.932421505</v>
      </c>
      <c r="AD21" s="49">
        <f>IFERROR(VLOOKUP(TEXT($B$3,"yyyymmdd")&amp;"_"&amp;TEXT($B21*60+AD$10,"0000"),RawData!$A$2:$G$30000,5,FALSE),"")</f>
        <v>3.1300000000000002E-4</v>
      </c>
      <c r="AE21" s="49">
        <f>IFERROR(VLOOKUP(TEXT($B$3,"yyyymmdd")&amp;"_"&amp;TEXT($B21*60+AE$10,"0000"),RawData!$A$2:$G$30000,5,FALSE),"")</f>
        <v>0</v>
      </c>
      <c r="AF21" s="49">
        <f>IFERROR(VLOOKUP(TEXT($B$3,"yyyymmdd")&amp;"_"&amp;TEXT($B21*60+AF$10,"0000"),RawData!$A$2:$G$30000,5,FALSE),"")</f>
        <v>0</v>
      </c>
      <c r="AG21" s="49">
        <f>IFERROR(VLOOKUP(TEXT($B$3,"yyyymmdd")&amp;"_"&amp;TEXT($B21*60+AG$10,"0000"),RawData!$A$2:$G$30000,5,FALSE),"")</f>
        <v>0</v>
      </c>
      <c r="AH21" s="49">
        <f>IFERROR(VLOOKUP(TEXT($B$3,"yyyymmdd")&amp;"_"&amp;TEXT($B21*60+AH$10,"0000"),RawData!$A$2:$G$30000,5,FALSE),"")</f>
        <v>6.8599999999999998E-4</v>
      </c>
      <c r="AI21" s="49">
        <f>IFERROR(VLOOKUP(TEXT($B$3,"yyyymmdd")&amp;"_"&amp;TEXT($B21*60+AI$10,"0000"),RawData!$A$2:$G$30000,5,FALSE),"")</f>
        <v>5.0100000000000003E-4</v>
      </c>
      <c r="AJ21" s="49">
        <f>IFERROR(VLOOKUP(TEXT($B$3,"yyyymmdd")&amp;"_"&amp;TEXT($B21*60+AJ$10,"0000"),RawData!$A$2:$G$30000,5,FALSE),"")</f>
        <v>0</v>
      </c>
      <c r="AK21" s="49">
        <f>IFERROR(VLOOKUP(TEXT($B$3,"yyyymmdd")&amp;"_"&amp;TEXT($B21*60+AK$10,"0000"),RawData!$A$2:$G$30000,5,FALSE),"")</f>
        <v>0</v>
      </c>
      <c r="AL21" s="49">
        <f>IFERROR(VLOOKUP(TEXT($B$3,"yyyymmdd")&amp;"_"&amp;TEXT($B21*60+AL$10,"0000"),RawData!$A$2:$G$30000,5,FALSE),"")</f>
        <v>0</v>
      </c>
      <c r="AM21" s="49">
        <f>IFERROR(VLOOKUP(TEXT($B$3,"yyyymmdd")&amp;"_"&amp;TEXT($B21*60+AM$10,"0000"),RawData!$A$2:$G$30000,5,FALSE),"")</f>
        <v>4.35E-4</v>
      </c>
      <c r="AN21" s="49">
        <f>IFERROR(VLOOKUP(TEXT($B$3,"yyyymmdd")&amp;"_"&amp;TEXT($B21*60+AN$10,"0000"),RawData!$A$2:$G$30000,5,FALSE),"")</f>
        <v>7.9000000000000001E-4</v>
      </c>
      <c r="AO21" s="49">
        <f>IFERROR(VLOOKUP(TEXT($B$3,"yyyymmdd")&amp;"_"&amp;TEXT($B21*60+AO$10,"0000"),RawData!$A$2:$G$30000,5,FALSE),"")</f>
        <v>3.4699999999999998E-4</v>
      </c>
      <c r="AP21" s="49">
        <f>IFERROR(VLOOKUP(TEXT($B$3,"yyyymmdd")&amp;"_"&amp;TEXT($B21*60+AP$10,"0000"),RawData!$A$2:$G$30000,5,FALSE),"")</f>
        <v>0</v>
      </c>
      <c r="AQ21" s="49">
        <f>IFERROR(VLOOKUP(TEXT($B$3,"yyyymmdd")&amp;"_"&amp;TEXT($B21*60+AQ$10,"0000"),RawData!$A$2:$G$30000,5,FALSE),"")</f>
        <v>0</v>
      </c>
      <c r="AR21" s="49">
        <f>IFERROR(VLOOKUP(TEXT($B$3,"yyyymmdd")&amp;"_"&amp;TEXT($B21*60+AR$10,"0000"),RawData!$A$2:$G$30000,5,FALSE),"")</f>
        <v>0</v>
      </c>
      <c r="AS21" s="49">
        <f>IFERROR(VLOOKUP(TEXT($B$3,"yyyymmdd")&amp;"_"&amp;TEXT($B21*60+AS$10,"0000"),RawData!$A$2:$G$30000,5,FALSE),"")</f>
        <v>3.4600000000000001E-4</v>
      </c>
      <c r="AT21" s="49">
        <f>IFERROR(VLOOKUP(TEXT($B$3,"yyyymmdd")&amp;"_"&amp;TEXT($B21*60+AT$10,"0000"),RawData!$A$2:$G$30000,5,FALSE),"")</f>
        <v>0</v>
      </c>
      <c r="AU21" s="49">
        <f>IFERROR(VLOOKUP(TEXT($B$3,"yyyymmdd")&amp;"_"&amp;TEXT($B21*60+AU$10,"0000"),RawData!$A$2:$G$30000,5,FALSE),"")</f>
        <v>0</v>
      </c>
      <c r="AV21" s="49">
        <f>IFERROR(VLOOKUP(TEXT($B$3,"yyyymmdd")&amp;"_"&amp;TEXT($B21*60+AV$10,"0000"),RawData!$A$2:$G$30000,5,FALSE),"")</f>
        <v>0</v>
      </c>
      <c r="AW21" s="49">
        <f>IFERROR(VLOOKUP(TEXT($B$3,"yyyymmdd")&amp;"_"&amp;TEXT($B21*60+AW$10,"0000"),RawData!$A$2:$G$30000,5,FALSE),"")</f>
        <v>0</v>
      </c>
      <c r="AX21" s="49">
        <f>IFERROR(VLOOKUP(TEXT($B$3,"yyyymmdd")&amp;"_"&amp;TEXT($B21*60+AX$10,"0000"),RawData!$A$2:$G$30000,5,FALSE),"")</f>
        <v>0</v>
      </c>
      <c r="AY21" s="49">
        <f>IFERROR(VLOOKUP(TEXT($B$3,"yyyymmdd")&amp;"_"&amp;TEXT($B21*60+AY$10,"0000"),RawData!$A$2:$G$30000,5,FALSE),"")</f>
        <v>0</v>
      </c>
      <c r="AZ21" s="49">
        <f>IFERROR(VLOOKUP(TEXT($B$3,"yyyymmdd")&amp;"_"&amp;TEXT($B21*60+AZ$10,"0000"),RawData!$A$2:$G$30000,5,FALSE),"")</f>
        <v>0</v>
      </c>
      <c r="BA21" s="49">
        <f>IFERROR(VLOOKUP(TEXT($B$3,"yyyymmdd")&amp;"_"&amp;TEXT($B21*60+BA$10,"0000"),RawData!$A$2:$G$30000,5,FALSE),"")</f>
        <v>0</v>
      </c>
      <c r="BB21" s="49">
        <f>IFERROR(VLOOKUP(TEXT($B$3,"yyyymmdd")&amp;"_"&amp;TEXT($B21*60+BB$10,"0000"),RawData!$A$2:$G$30000,5,FALSE),"")</f>
        <v>0</v>
      </c>
      <c r="BC21" s="49">
        <f>IFERROR(VLOOKUP(TEXT($B$3,"yyyymmdd")&amp;"_"&amp;TEXT($B21*60+BC$10,"0000"),RawData!$A$2:$G$30000,5,FALSE),"")</f>
        <v>2.8600000000000001E-4</v>
      </c>
      <c r="BD21" s="49">
        <f>IFERROR(VLOOKUP(TEXT($B$3,"yyyymmdd")&amp;"_"&amp;TEXT($B21*60+BD$10,"0000"),RawData!$A$2:$G$30000,5,FALSE),"")</f>
        <v>0</v>
      </c>
      <c r="BE21" s="49">
        <f>IFERROR(VLOOKUP(TEXT($B$3,"yyyymmdd")&amp;"_"&amp;TEXT($B21*60+BE$10,"0000"),RawData!$A$2:$G$30000,5,FALSE),"")</f>
        <v>7.9799999999999999E-4</v>
      </c>
      <c r="BF21" s="49">
        <f>IFERROR(VLOOKUP(TEXT($B$3,"yyyymmdd")&amp;"_"&amp;TEXT($B21*60+BF$10,"0000"),RawData!$A$2:$G$30000,5,FALSE),"")</f>
        <v>0</v>
      </c>
      <c r="BG21" s="49">
        <f>IFERROR(VLOOKUP(TEXT($B$3,"yyyymmdd")&amp;"_"&amp;TEXT($B21*60+BG$10,"0000"),RawData!$A$2:$G$30000,5,FALSE),"")</f>
        <v>5.5800000000000001E-4</v>
      </c>
      <c r="BH21" s="49">
        <f>IFERROR(VLOOKUP(TEXT($B$3,"yyyymmdd")&amp;"_"&amp;TEXT($B21*60+BH$10,"0000"),RawData!$A$2:$G$30000,5,FALSE),"")</f>
        <v>1.85E-4</v>
      </c>
      <c r="BI21" s="49">
        <f>IFERROR(VLOOKUP(TEXT($B$3,"yyyymmdd")&amp;"_"&amp;TEXT($B21*60+BI$10,"0000"),RawData!$A$2:$G$30000,5,FALSE),"")</f>
        <v>0</v>
      </c>
      <c r="BJ21" s="49">
        <f>IFERROR(VLOOKUP(TEXT($B$3,"yyyymmdd")&amp;"_"&amp;TEXT($B21*60+BJ$10,"0000"),RawData!$A$2:$G$30000,5,FALSE),"")</f>
        <v>0</v>
      </c>
      <c r="BK21" s="4" t="str">
        <f>IFERROR(VLOOKUP(TEXT($B$3,"yyyymmdd")&amp;"_"&amp;TEXT(10,"0000"),RawData!$A$2:$F$1441,4,FALSE),"")</f>
        <v>00</v>
      </c>
      <c r="BL21" s="19">
        <f>TIME(0,0,0)+10/1440</f>
        <v>6.9444444444444441E-3</v>
      </c>
      <c r="BM21" s="4">
        <f>IFERROR(VLOOKUP(TEXT($B$3,"yyyymmdd")&amp;"_"&amp;TEXT(10,"0000"),RawData!$A$2:$F$1441,5,FALSE),"")</f>
        <v>0</v>
      </c>
      <c r="BN21" s="4">
        <f t="shared" si="0"/>
        <v>1</v>
      </c>
    </row>
    <row r="22" spans="1:66" ht="18.399999999999999" customHeight="1" x14ac:dyDescent="0.6">
      <c r="B22" s="18">
        <v>11</v>
      </c>
      <c r="C22" s="49">
        <f>IFERROR(VLOOKUP(TEXT($B$3,"yyyymmdd")&amp;"_"&amp;TEXT($B22*60+C$10,"0000"),RawData!$A$2:$G$30000,5,FALSE),"")</f>
        <v>0</v>
      </c>
      <c r="D22" s="49">
        <f>IFERROR(VLOOKUP(TEXT($B$3,"yyyymmdd")&amp;"_"&amp;TEXT($B22*60+D$10,"0000"),RawData!$A$2:$G$30000,5,FALSE),"")</f>
        <v>0</v>
      </c>
      <c r="E22" s="49">
        <f>IFERROR(VLOOKUP(TEXT($B$3,"yyyymmdd")&amp;"_"&amp;TEXT($B22*60+E$10,"0000"),RawData!$A$2:$G$30000,5,FALSE),"")</f>
        <v>0</v>
      </c>
      <c r="F22" s="49">
        <f>IFERROR(VLOOKUP(TEXT($B$3,"yyyymmdd")&amp;"_"&amp;TEXT($B22*60+F$10,"0000"),RawData!$A$2:$G$30000,5,FALSE),"")</f>
        <v>0</v>
      </c>
      <c r="G22" s="49">
        <f>IFERROR(VLOOKUP(TEXT($B$3,"yyyymmdd")&amp;"_"&amp;TEXT($B22*60+G$10,"0000"),RawData!$A$2:$G$30000,5,FALSE),"")</f>
        <v>0</v>
      </c>
      <c r="H22" s="49">
        <f>IFERROR(VLOOKUP(TEXT($B$3,"yyyymmdd")&amp;"_"&amp;TEXT($B22*60+H$10,"0000"),RawData!$A$2:$G$30000,5,FALSE),"")</f>
        <v>0</v>
      </c>
      <c r="I22" s="49">
        <f>IFERROR(VLOOKUP(TEXT($B$3,"yyyymmdd")&amp;"_"&amp;TEXT($B22*60+I$10,"0000"),RawData!$A$2:$G$30000,5,FALSE),"")</f>
        <v>0</v>
      </c>
      <c r="J22" s="49">
        <f>IFERROR(VLOOKUP(TEXT($B$3,"yyyymmdd")&amp;"_"&amp;TEXT($B22*60+J$10,"0000"),RawData!$A$2:$G$30000,5,FALSE),"")</f>
        <v>0</v>
      </c>
      <c r="K22" s="49">
        <f>IFERROR(VLOOKUP(TEXT($B$3,"yyyymmdd")&amp;"_"&amp;TEXT($B22*60+K$10,"0000"),RawData!$A$2:$G$30000,5,FALSE),"")</f>
        <v>0</v>
      </c>
      <c r="L22" s="49">
        <f>IFERROR(VLOOKUP(TEXT($B$3,"yyyymmdd")&amp;"_"&amp;TEXT($B22*60+L$10,"0000"),RawData!$A$2:$G$30000,5,FALSE),"")</f>
        <v>5.3899999999999998E-4</v>
      </c>
      <c r="M22" s="49">
        <f>IFERROR(VLOOKUP(TEXT($B$3,"yyyymmdd")&amp;"_"&amp;TEXT($B22*60+M$10,"0000"),RawData!$A$2:$G$30000,5,FALSE),"")</f>
        <v>0</v>
      </c>
      <c r="N22" s="49">
        <f>IFERROR(VLOOKUP(TEXT($B$3,"yyyymmdd")&amp;"_"&amp;TEXT($B22*60+N$10,"0000"),RawData!$A$2:$G$30000,5,FALSE),"")</f>
        <v>0</v>
      </c>
      <c r="O22" s="49">
        <f>IFERROR(VLOOKUP(TEXT($B$3,"yyyymmdd")&amp;"_"&amp;TEXT($B22*60+O$10,"0000"),RawData!$A$2:$G$30000,5,FALSE),"")</f>
        <v>4.2499999999999998E-4</v>
      </c>
      <c r="P22" s="49">
        <f>IFERROR(VLOOKUP(TEXT($B$3,"yyyymmdd")&amp;"_"&amp;TEXT($B22*60+P$10,"0000"),RawData!$A$2:$G$30000,5,FALSE),"")</f>
        <v>4.5600000000000003E-4</v>
      </c>
      <c r="Q22" s="49">
        <f>IFERROR(VLOOKUP(TEXT($B$3,"yyyymmdd")&amp;"_"&amp;TEXT($B22*60+Q$10,"0000"),RawData!$A$2:$G$30000,5,FALSE),"")</f>
        <v>3.8900000000000002E-4</v>
      </c>
      <c r="R22" s="49">
        <f>IFERROR(VLOOKUP(TEXT($B$3,"yyyymmdd")&amp;"_"&amp;TEXT($B22*60+R$10,"0000"),RawData!$A$2:$G$30000,5,FALSE),"")</f>
        <v>3.6499999999999998E-4</v>
      </c>
      <c r="S22" s="49">
        <f>IFERROR(VLOOKUP(TEXT($B$3,"yyyymmdd")&amp;"_"&amp;TEXT($B22*60+S$10,"0000"),RawData!$A$2:$G$30000,5,FALSE),"")</f>
        <v>3.0699999999999998E-4</v>
      </c>
      <c r="T22" s="49">
        <f>IFERROR(VLOOKUP(TEXT($B$3,"yyyymmdd")&amp;"_"&amp;TEXT($B22*60+T$10,"0000"),RawData!$A$2:$G$30000,5,FALSE),"")</f>
        <v>0</v>
      </c>
      <c r="U22" s="49">
        <f>IFERROR(VLOOKUP(TEXT($B$3,"yyyymmdd")&amp;"_"&amp;TEXT($B22*60+U$10,"0000"),RawData!$A$2:$G$30000,5,FALSE),"")</f>
        <v>5.7399999999999997E-4</v>
      </c>
      <c r="V22" s="49">
        <f>IFERROR(VLOOKUP(TEXT($B$3,"yyyymmdd")&amp;"_"&amp;TEXT($B22*60+V$10,"0000"),RawData!$A$2:$G$30000,5,FALSE),"")</f>
        <v>0</v>
      </c>
      <c r="W22" s="49">
        <f>IFERROR(VLOOKUP(TEXT($B$3,"yyyymmdd")&amp;"_"&amp;TEXT($B22*60+W$10,"0000"),RawData!$A$2:$G$30000,5,FALSE),"")</f>
        <v>3.2600000000000001E-4</v>
      </c>
      <c r="X22" s="49">
        <f>IFERROR(VLOOKUP(TEXT($B$3,"yyyymmdd")&amp;"_"&amp;TEXT($B22*60+X$10,"0000"),RawData!$A$2:$G$30000,5,FALSE),"")</f>
        <v>4.8299999999999998E-4</v>
      </c>
      <c r="Y22" s="49">
        <f>IFERROR(VLOOKUP(TEXT($B$3,"yyyymmdd")&amp;"_"&amp;TEXT($B22*60+Y$10,"0000"),RawData!$A$2:$G$30000,5,FALSE),"")</f>
        <v>0</v>
      </c>
      <c r="Z22" s="49">
        <f>IFERROR(VLOOKUP(TEXT($B$3,"yyyymmdd")&amp;"_"&amp;TEXT($B22*60+Z$10,"0000"),RawData!$A$2:$G$30000,5,FALSE),"")</f>
        <v>0</v>
      </c>
      <c r="AA22" s="49">
        <f>IFERROR(VLOOKUP(TEXT($B$3,"yyyymmdd")&amp;"_"&amp;TEXT($B22*60+AA$10,"0000"),RawData!$A$2:$G$30000,5,FALSE),"")</f>
        <v>7.1000000000000002E-4</v>
      </c>
      <c r="AB22" s="49">
        <f>IFERROR(VLOOKUP(TEXT($B$3,"yyyymmdd")&amp;"_"&amp;TEXT($B22*60+AB$10,"0000"),RawData!$A$2:$G$30000,5,FALSE),"")</f>
        <v>0</v>
      </c>
      <c r="AC22" s="49">
        <f>IFERROR(VLOOKUP(TEXT($B$3,"yyyymmdd")&amp;"_"&amp;TEXT($B22*60+AC$10,"0000"),RawData!$A$2:$G$30000,5,FALSE),"")</f>
        <v>0</v>
      </c>
      <c r="AD22" s="49">
        <f>IFERROR(VLOOKUP(TEXT($B$3,"yyyymmdd")&amp;"_"&amp;TEXT($B22*60+AD$10,"0000"),RawData!$A$2:$G$30000,5,FALSE),"")</f>
        <v>0</v>
      </c>
      <c r="AE22" s="49">
        <f>IFERROR(VLOOKUP(TEXT($B$3,"yyyymmdd")&amp;"_"&amp;TEXT($B22*60+AE$10,"0000"),RawData!$A$2:$G$30000,5,FALSE),"")</f>
        <v>0</v>
      </c>
      <c r="AF22" s="49">
        <f>IFERROR(VLOOKUP(TEXT($B$3,"yyyymmdd")&amp;"_"&amp;TEXT($B22*60+AF$10,"0000"),RawData!$A$2:$G$30000,5,FALSE),"")</f>
        <v>0</v>
      </c>
      <c r="AG22" s="49">
        <f>IFERROR(VLOOKUP(TEXT($B$3,"yyyymmdd")&amp;"_"&amp;TEXT($B22*60+AG$10,"0000"),RawData!$A$2:$G$30000,5,FALSE),"")</f>
        <v>0</v>
      </c>
      <c r="AH22" s="49">
        <f>IFERROR(VLOOKUP(TEXT($B$3,"yyyymmdd")&amp;"_"&amp;TEXT($B22*60+AH$10,"0000"),RawData!$A$2:$G$30000,5,FALSE),"")</f>
        <v>4.8500000000000003E-4</v>
      </c>
      <c r="AI22" s="49">
        <f>IFERROR(VLOOKUP(TEXT($B$3,"yyyymmdd")&amp;"_"&amp;TEXT($B22*60+AI$10,"0000"),RawData!$A$2:$G$30000,5,FALSE),"")</f>
        <v>0</v>
      </c>
      <c r="AJ22" s="49">
        <f>IFERROR(VLOOKUP(TEXT($B$3,"yyyymmdd")&amp;"_"&amp;TEXT($B22*60+AJ$10,"0000"),RawData!$A$2:$G$30000,5,FALSE),"")</f>
        <v>0</v>
      </c>
      <c r="AK22" s="49">
        <f>IFERROR(VLOOKUP(TEXT($B$3,"yyyymmdd")&amp;"_"&amp;TEXT($B22*60+AK$10,"0000"),RawData!$A$2:$G$30000,5,FALSE),"")</f>
        <v>0</v>
      </c>
      <c r="AL22" s="49">
        <f>IFERROR(VLOOKUP(TEXT($B$3,"yyyymmdd")&amp;"_"&amp;TEXT($B22*60+AL$10,"0000"),RawData!$A$2:$G$30000,5,FALSE),"")</f>
        <v>3.2200000000000002E-4</v>
      </c>
      <c r="AM22" s="49">
        <f>IFERROR(VLOOKUP(TEXT($B$3,"yyyymmdd")&amp;"_"&amp;TEXT($B22*60+AM$10,"0000"),RawData!$A$2:$G$30000,5,FALSE),"")</f>
        <v>0</v>
      </c>
      <c r="AN22" s="49">
        <f>IFERROR(VLOOKUP(TEXT($B$3,"yyyymmdd")&amp;"_"&amp;TEXT($B22*60+AN$10,"0000"),RawData!$A$2:$G$30000,5,FALSE),"")</f>
        <v>0</v>
      </c>
      <c r="AO22" s="49">
        <f>IFERROR(VLOOKUP(TEXT($B$3,"yyyymmdd")&amp;"_"&amp;TEXT($B22*60+AO$10,"0000"),RawData!$A$2:$G$30000,5,FALSE),"")</f>
        <v>5.3300000000000005E-4</v>
      </c>
      <c r="AP22" s="49">
        <f>IFERROR(VLOOKUP(TEXT($B$3,"yyyymmdd")&amp;"_"&amp;TEXT($B22*60+AP$10,"0000"),RawData!$A$2:$G$30000,5,FALSE),"")</f>
        <v>0</v>
      </c>
      <c r="AQ22" s="49">
        <f>IFERROR(VLOOKUP(TEXT($B$3,"yyyymmdd")&amp;"_"&amp;TEXT($B22*60+AQ$10,"0000"),RawData!$A$2:$G$30000,5,FALSE),"")</f>
        <v>0</v>
      </c>
      <c r="AR22" s="49">
        <f>IFERROR(VLOOKUP(TEXT($B$3,"yyyymmdd")&amp;"_"&amp;TEXT($B22*60+AR$10,"0000"),RawData!$A$2:$G$30000,5,FALSE),"")</f>
        <v>0</v>
      </c>
      <c r="AS22" s="49">
        <f>IFERROR(VLOOKUP(TEXT($B$3,"yyyymmdd")&amp;"_"&amp;TEXT($B22*60+AS$10,"0000"),RawData!$A$2:$G$30000,5,FALSE),"")</f>
        <v>0</v>
      </c>
      <c r="AT22" s="49">
        <f>IFERROR(VLOOKUP(TEXT($B$3,"yyyymmdd")&amp;"_"&amp;TEXT($B22*60+AT$10,"0000"),RawData!$A$2:$G$30000,5,FALSE),"")</f>
        <v>0</v>
      </c>
      <c r="AU22" s="49">
        <f>IFERROR(VLOOKUP(TEXT($B$3,"yyyymmdd")&amp;"_"&amp;TEXT($B22*60+AU$10,"0000"),RawData!$A$2:$G$30000,5,FALSE),"")</f>
        <v>5.0900000000000001E-4</v>
      </c>
      <c r="AV22" s="49">
        <f>IFERROR(VLOOKUP(TEXT($B$3,"yyyymmdd")&amp;"_"&amp;TEXT($B22*60+AV$10,"0000"),RawData!$A$2:$G$30000,5,FALSE),"")</f>
        <v>2.32E-4</v>
      </c>
      <c r="AW22" s="49">
        <f>IFERROR(VLOOKUP(TEXT($B$3,"yyyymmdd")&amp;"_"&amp;TEXT($B22*60+AW$10,"0000"),RawData!$A$2:$G$30000,5,FALSE),"")</f>
        <v>3.6099999999999999E-4</v>
      </c>
      <c r="AX22" s="49">
        <f>IFERROR(VLOOKUP(TEXT($B$3,"yyyymmdd")&amp;"_"&amp;TEXT($B22*60+AX$10,"0000"),RawData!$A$2:$G$30000,5,FALSE),"")</f>
        <v>0</v>
      </c>
      <c r="AY22" s="49">
        <f>IFERROR(VLOOKUP(TEXT($B$3,"yyyymmdd")&amp;"_"&amp;TEXT($B22*60+AY$10,"0000"),RawData!$A$2:$G$30000,5,FALSE),"")</f>
        <v>0</v>
      </c>
      <c r="AZ22" s="49">
        <f>IFERROR(VLOOKUP(TEXT($B$3,"yyyymmdd")&amp;"_"&amp;TEXT($B22*60+AZ$10,"0000"),RawData!$A$2:$G$30000,5,FALSE),"")</f>
        <v>0</v>
      </c>
      <c r="BA22" s="49">
        <f>IFERROR(VLOOKUP(TEXT($B$3,"yyyymmdd")&amp;"_"&amp;TEXT($B22*60+BA$10,"0000"),RawData!$A$2:$G$30000,5,FALSE),"")</f>
        <v>0</v>
      </c>
      <c r="BB22" s="49">
        <f>IFERROR(VLOOKUP(TEXT($B$3,"yyyymmdd")&amp;"_"&amp;TEXT($B22*60+BB$10,"0000"),RawData!$A$2:$G$30000,5,FALSE),"")</f>
        <v>4.3199999999999998E-4</v>
      </c>
      <c r="BC22" s="49">
        <f>IFERROR(VLOOKUP(TEXT($B$3,"yyyymmdd")&amp;"_"&amp;TEXT($B22*60+BC$10,"0000"),RawData!$A$2:$G$30000,5,FALSE),"")</f>
        <v>0</v>
      </c>
      <c r="BD22" s="49">
        <f>IFERROR(VLOOKUP(TEXT($B$3,"yyyymmdd")&amp;"_"&amp;TEXT($B22*60+BD$10,"0000"),RawData!$A$2:$G$30000,5,FALSE),"")</f>
        <v>0</v>
      </c>
      <c r="BE22" s="49">
        <f>IFERROR(VLOOKUP(TEXT($B$3,"yyyymmdd")&amp;"_"&amp;TEXT($B22*60+BE$10,"0000"),RawData!$A$2:$G$30000,5,FALSE),"")</f>
        <v>0</v>
      </c>
      <c r="BF22" s="49">
        <f>IFERROR(VLOOKUP(TEXT($B$3,"yyyymmdd")&amp;"_"&amp;TEXT($B22*60+BF$10,"0000"),RawData!$A$2:$G$30000,5,FALSE),"")</f>
        <v>0</v>
      </c>
      <c r="BG22" s="49">
        <f>IFERROR(VLOOKUP(TEXT($B$3,"yyyymmdd")&amp;"_"&amp;TEXT($B22*60+BG$10,"0000"),RawData!$A$2:$G$30000,5,FALSE),"")</f>
        <v>0</v>
      </c>
      <c r="BH22" s="49">
        <f>IFERROR(VLOOKUP(TEXT($B$3,"yyyymmdd")&amp;"_"&amp;TEXT($B22*60+BH$10,"0000"),RawData!$A$2:$G$30000,5,FALSE),"")</f>
        <v>0</v>
      </c>
      <c r="BI22" s="49">
        <f>IFERROR(VLOOKUP(TEXT($B$3,"yyyymmdd")&amp;"_"&amp;TEXT($B22*60+BI$10,"0000"),RawData!$A$2:$G$30000,5,FALSE),"")</f>
        <v>0</v>
      </c>
      <c r="BJ22" s="49">
        <f>IFERROR(VLOOKUP(TEXT($B$3,"yyyymmdd")&amp;"_"&amp;TEXT($B22*60+BJ$10,"0000"),RawData!$A$2:$G$30000,5,FALSE),"")</f>
        <v>0</v>
      </c>
      <c r="BK22" s="4" t="str">
        <f>IFERROR(VLOOKUP(TEXT($B$3,"yyyymmdd")&amp;"_"&amp;TEXT(11,"0000"),RawData!$A$2:$F$1441,4,FALSE),"")</f>
        <v>00</v>
      </c>
      <c r="BL22" s="19">
        <f>TIME(0,0,0)+11/1440</f>
        <v>7.6388888888888886E-3</v>
      </c>
      <c r="BM22" s="4">
        <f>IFERROR(VLOOKUP(TEXT($B$3,"yyyymmdd")&amp;"_"&amp;TEXT(11,"0000"),RawData!$A$2:$F$1441,5,FALSE),"")</f>
        <v>0</v>
      </c>
      <c r="BN22" s="4">
        <f t="shared" si="0"/>
        <v>0</v>
      </c>
    </row>
    <row r="23" spans="1:66" ht="18.399999999999999" customHeight="1" x14ac:dyDescent="0.6">
      <c r="B23" s="18">
        <v>12</v>
      </c>
      <c r="C23" s="49">
        <f>IFERROR(VLOOKUP(TEXT($B$3,"yyyymmdd")&amp;"_"&amp;TEXT($B23*60+C$10,"0000"),RawData!$A$2:$G$30000,5,FALSE),"")</f>
        <v>4.1199999999999999E-4</v>
      </c>
      <c r="D23" s="49">
        <f>IFERROR(VLOOKUP(TEXT($B$3,"yyyymmdd")&amp;"_"&amp;TEXT($B23*60+D$10,"0000"),RawData!$A$2:$G$30000,5,FALSE),"")</f>
        <v>0</v>
      </c>
      <c r="E23" s="49">
        <f>IFERROR(VLOOKUP(TEXT($B$3,"yyyymmdd")&amp;"_"&amp;TEXT($B23*60+E$10,"0000"),RawData!$A$2:$G$30000,5,FALSE),"")</f>
        <v>0</v>
      </c>
      <c r="F23" s="49">
        <f>IFERROR(VLOOKUP(TEXT($B$3,"yyyymmdd")&amp;"_"&amp;TEXT($B23*60+F$10,"0000"),RawData!$A$2:$G$30000,5,FALSE),"")</f>
        <v>0</v>
      </c>
      <c r="G23" s="49">
        <f>IFERROR(VLOOKUP(TEXT($B$3,"yyyymmdd")&amp;"_"&amp;TEXT($B23*60+G$10,"0000"),RawData!$A$2:$G$30000,5,FALSE),"")</f>
        <v>0</v>
      </c>
      <c r="H23" s="49">
        <f>IFERROR(VLOOKUP(TEXT($B$3,"yyyymmdd")&amp;"_"&amp;TEXT($B23*60+H$10,"0000"),RawData!$A$2:$G$30000,5,FALSE),"")</f>
        <v>0</v>
      </c>
      <c r="I23" s="49">
        <f>IFERROR(VLOOKUP(TEXT($B$3,"yyyymmdd")&amp;"_"&amp;TEXT($B23*60+I$10,"0000"),RawData!$A$2:$G$30000,5,FALSE),"")</f>
        <v>0</v>
      </c>
      <c r="J23" s="49">
        <f>IFERROR(VLOOKUP(TEXT($B$3,"yyyymmdd")&amp;"_"&amp;TEXT($B23*60+J$10,"0000"),RawData!$A$2:$G$30000,5,FALSE),"")</f>
        <v>5.6700000000000001E-4</v>
      </c>
      <c r="K23" s="49">
        <f>IFERROR(VLOOKUP(TEXT($B$3,"yyyymmdd")&amp;"_"&amp;TEXT($B23*60+K$10,"0000"),RawData!$A$2:$G$30000,5,FALSE),"")</f>
        <v>0</v>
      </c>
      <c r="L23" s="49">
        <f>IFERROR(VLOOKUP(TEXT($B$3,"yyyymmdd")&amp;"_"&amp;TEXT($B23*60+L$10,"0000"),RawData!$A$2:$G$30000,5,FALSE),"")</f>
        <v>0</v>
      </c>
      <c r="M23" s="49">
        <f>IFERROR(VLOOKUP(TEXT($B$3,"yyyymmdd")&amp;"_"&amp;TEXT($B23*60+M$10,"0000"),RawData!$A$2:$G$30000,5,FALSE),"")</f>
        <v>2.6699999999999998E-4</v>
      </c>
      <c r="N23" s="49">
        <f>IFERROR(VLOOKUP(TEXT($B$3,"yyyymmdd")&amp;"_"&amp;TEXT($B23*60+N$10,"0000"),RawData!$A$2:$G$30000,5,FALSE),"")</f>
        <v>0</v>
      </c>
      <c r="O23" s="49">
        <f>IFERROR(VLOOKUP(TEXT($B$3,"yyyymmdd")&amp;"_"&amp;TEXT($B23*60+O$10,"0000"),RawData!$A$2:$G$30000,5,FALSE),"")</f>
        <v>0</v>
      </c>
      <c r="P23" s="49">
        <f>IFERROR(VLOOKUP(TEXT($B$3,"yyyymmdd")&amp;"_"&amp;TEXT($B23*60+P$10,"0000"),RawData!$A$2:$G$30000,5,FALSE),"")</f>
        <v>0</v>
      </c>
      <c r="Q23" s="49">
        <f>IFERROR(VLOOKUP(TEXT($B$3,"yyyymmdd")&amp;"_"&amp;TEXT($B23*60+Q$10,"0000"),RawData!$A$2:$G$30000,5,FALSE),"")</f>
        <v>0</v>
      </c>
      <c r="R23" s="49">
        <f>IFERROR(VLOOKUP(TEXT($B$3,"yyyymmdd")&amp;"_"&amp;TEXT($B23*60+R$10,"0000"),RawData!$A$2:$G$30000,5,FALSE),"")</f>
        <v>0</v>
      </c>
      <c r="S23" s="49">
        <f>IFERROR(VLOOKUP(TEXT($B$3,"yyyymmdd")&amp;"_"&amp;TEXT($B23*60+S$10,"0000"),RawData!$A$2:$G$30000,5,FALSE),"")</f>
        <v>0</v>
      </c>
      <c r="T23" s="49">
        <f>IFERROR(VLOOKUP(TEXT($B$3,"yyyymmdd")&amp;"_"&amp;TEXT($B23*60+T$10,"0000"),RawData!$A$2:$G$30000,5,FALSE),"")</f>
        <v>5.2300000000000003E-4</v>
      </c>
      <c r="U23" s="49">
        <f>IFERROR(VLOOKUP(TEXT($B$3,"yyyymmdd")&amp;"_"&amp;TEXT($B23*60+U$10,"0000"),RawData!$A$2:$G$30000,5,FALSE),"")</f>
        <v>0</v>
      </c>
      <c r="V23" s="49">
        <f>IFERROR(VLOOKUP(TEXT($B$3,"yyyymmdd")&amp;"_"&amp;TEXT($B23*60+V$10,"0000"),RawData!$A$2:$G$30000,5,FALSE),"")</f>
        <v>0</v>
      </c>
      <c r="W23" s="49">
        <f>IFERROR(VLOOKUP(TEXT($B$3,"yyyymmdd")&amp;"_"&amp;TEXT($B23*60+W$10,"0000"),RawData!$A$2:$G$30000,5,FALSE),"")</f>
        <v>3.9899999999999999E-4</v>
      </c>
      <c r="X23" s="49">
        <f>IFERROR(VLOOKUP(TEXT($B$3,"yyyymmdd")&amp;"_"&amp;TEXT($B23*60+X$10,"0000"),RawData!$A$2:$G$30000,5,FALSE),"")</f>
        <v>0</v>
      </c>
      <c r="Y23" s="49">
        <f>IFERROR(VLOOKUP(TEXT($B$3,"yyyymmdd")&amp;"_"&amp;TEXT($B23*60+Y$10,"0000"),RawData!$A$2:$G$30000,5,FALSE),"")</f>
        <v>0</v>
      </c>
      <c r="Z23" s="49">
        <f>IFERROR(VLOOKUP(TEXT($B$3,"yyyymmdd")&amp;"_"&amp;TEXT($B23*60+Z$10,"0000"),RawData!$A$2:$G$30000,5,FALSE),"")</f>
        <v>0</v>
      </c>
      <c r="AA23" s="49">
        <f>IFERROR(VLOOKUP(TEXT($B$3,"yyyymmdd")&amp;"_"&amp;TEXT($B23*60+AA$10,"0000"),RawData!$A$2:$G$30000,5,FALSE),"")</f>
        <v>4.9700000000000005E-4</v>
      </c>
      <c r="AB23" s="49">
        <f>IFERROR(VLOOKUP(TEXT($B$3,"yyyymmdd")&amp;"_"&amp;TEXT($B23*60+AB$10,"0000"),RawData!$A$2:$G$30000,5,FALSE),"")</f>
        <v>0</v>
      </c>
      <c r="AC23" s="49">
        <f>IFERROR(VLOOKUP(TEXT($B$3,"yyyymmdd")&amp;"_"&amp;TEXT($B23*60+AC$10,"0000"),RawData!$A$2:$G$30000,5,FALSE),"")</f>
        <v>2.6600000000000001E-4</v>
      </c>
      <c r="AD23" s="49">
        <f>IFERROR(VLOOKUP(TEXT($B$3,"yyyymmdd")&amp;"_"&amp;TEXT($B23*60+AD$10,"0000"),RawData!$A$2:$G$30000,5,FALSE),"")</f>
        <v>9.6799999999999995E-5</v>
      </c>
      <c r="AE23" s="49">
        <f>IFERROR(VLOOKUP(TEXT($B$3,"yyyymmdd")&amp;"_"&amp;TEXT($B23*60+AE$10,"0000"),RawData!$A$2:$G$30000,5,FALSE),"")</f>
        <v>2.0100000000000001E-4</v>
      </c>
      <c r="AF23" s="49">
        <f>IFERROR(VLOOKUP(TEXT($B$3,"yyyymmdd")&amp;"_"&amp;TEXT($B23*60+AF$10,"0000"),RawData!$A$2:$G$30000,5,FALSE),"")</f>
        <v>0</v>
      </c>
      <c r="AG23" s="49">
        <f>IFERROR(VLOOKUP(TEXT($B$3,"yyyymmdd")&amp;"_"&amp;TEXT($B23*60+AG$10,"0000"),RawData!$A$2:$G$30000,5,FALSE),"")</f>
        <v>0</v>
      </c>
      <c r="AH23" s="49">
        <f>IFERROR(VLOOKUP(TEXT($B$3,"yyyymmdd")&amp;"_"&amp;TEXT($B23*60+AH$10,"0000"),RawData!$A$2:$G$30000,5,FALSE),"")</f>
        <v>4.1599999999999997E-4</v>
      </c>
      <c r="AI23" s="49">
        <f>IFERROR(VLOOKUP(TEXT($B$3,"yyyymmdd")&amp;"_"&amp;TEXT($B23*60+AI$10,"0000"),RawData!$A$2:$G$30000,5,FALSE),"")</f>
        <v>0</v>
      </c>
      <c r="AJ23" s="49">
        <f>IFERROR(VLOOKUP(TEXT($B$3,"yyyymmdd")&amp;"_"&amp;TEXT($B23*60+AJ$10,"0000"),RawData!$A$2:$G$30000,5,FALSE),"")</f>
        <v>0</v>
      </c>
      <c r="AK23" s="49">
        <f>IFERROR(VLOOKUP(TEXT($B$3,"yyyymmdd")&amp;"_"&amp;TEXT($B23*60+AK$10,"0000"),RawData!$A$2:$G$30000,5,FALSE),"")</f>
        <v>0</v>
      </c>
      <c r="AL23" s="49">
        <f>IFERROR(VLOOKUP(TEXT($B$3,"yyyymmdd")&amp;"_"&amp;TEXT($B23*60+AL$10,"0000"),RawData!$A$2:$G$30000,5,FALSE),"")</f>
        <v>4.3300000000000001E-4</v>
      </c>
      <c r="AM23" s="49">
        <f>IFERROR(VLOOKUP(TEXT($B$3,"yyyymmdd")&amp;"_"&amp;TEXT($B23*60+AM$10,"0000"),RawData!$A$2:$G$30000,5,FALSE),"")</f>
        <v>0</v>
      </c>
      <c r="AN23" s="49">
        <f>IFERROR(VLOOKUP(TEXT($B$3,"yyyymmdd")&amp;"_"&amp;TEXT($B23*60+AN$10,"0000"),RawData!$A$2:$G$30000,5,FALSE),"")</f>
        <v>0</v>
      </c>
      <c r="AO23" s="49">
        <f>IFERROR(VLOOKUP(TEXT($B$3,"yyyymmdd")&amp;"_"&amp;TEXT($B23*60+AO$10,"0000"),RawData!$A$2:$G$30000,5,FALSE),"")</f>
        <v>2.61E-4</v>
      </c>
      <c r="AP23" s="49">
        <f>IFERROR(VLOOKUP(TEXT($B$3,"yyyymmdd")&amp;"_"&amp;TEXT($B23*60+AP$10,"0000"),RawData!$A$2:$G$30000,5,FALSE),"")</f>
        <v>0</v>
      </c>
      <c r="AQ23" s="49">
        <f>IFERROR(VLOOKUP(TEXT($B$3,"yyyymmdd")&amp;"_"&amp;TEXT($B23*60+AQ$10,"0000"),RawData!$A$2:$G$30000,5,FALSE),"")</f>
        <v>0</v>
      </c>
      <c r="AR23" s="49">
        <f>IFERROR(VLOOKUP(TEXT($B$3,"yyyymmdd")&amp;"_"&amp;TEXT($B23*60+AR$10,"0000"),RawData!$A$2:$G$30000,5,FALSE),"")</f>
        <v>0</v>
      </c>
      <c r="AS23" s="49">
        <f>IFERROR(VLOOKUP(TEXT($B$3,"yyyymmdd")&amp;"_"&amp;TEXT($B23*60+AS$10,"0000"),RawData!$A$2:$G$30000,5,FALSE),"")</f>
        <v>0</v>
      </c>
      <c r="AT23" s="49">
        <f>IFERROR(VLOOKUP(TEXT($B$3,"yyyymmdd")&amp;"_"&amp;TEXT($B23*60+AT$10,"0000"),RawData!$A$2:$G$30000,5,FALSE),"")</f>
        <v>1.1193900000000001E-3</v>
      </c>
      <c r="AU23" s="49">
        <f>IFERROR(VLOOKUP(TEXT($B$3,"yyyymmdd")&amp;"_"&amp;TEXT($B23*60+AU$10,"0000"),RawData!$A$2:$G$30000,5,FALSE),"")</f>
        <v>0</v>
      </c>
      <c r="AV23" s="49">
        <f>IFERROR(VLOOKUP(TEXT($B$3,"yyyymmdd")&amp;"_"&amp;TEXT($B23*60+AV$10,"0000"),RawData!$A$2:$G$30000,5,FALSE),"")</f>
        <v>0</v>
      </c>
      <c r="AW23" s="49">
        <f>IFERROR(VLOOKUP(TEXT($B$3,"yyyymmdd")&amp;"_"&amp;TEXT($B23*60+AW$10,"0000"),RawData!$A$2:$G$30000,5,FALSE),"")</f>
        <v>6.4800000000000003E-4</v>
      </c>
      <c r="AX23" s="49">
        <f>IFERROR(VLOOKUP(TEXT($B$3,"yyyymmdd")&amp;"_"&amp;TEXT($B23*60+AX$10,"0000"),RawData!$A$2:$G$30000,5,FALSE),"")</f>
        <v>4.0700000000000003E-4</v>
      </c>
      <c r="AY23" s="49">
        <f>IFERROR(VLOOKUP(TEXT($B$3,"yyyymmdd")&amp;"_"&amp;TEXT($B23*60+AY$10,"0000"),RawData!$A$2:$G$30000,5,FALSE),"")</f>
        <v>0</v>
      </c>
      <c r="AZ23" s="49">
        <f>IFERROR(VLOOKUP(TEXT($B$3,"yyyymmdd")&amp;"_"&amp;TEXT($B23*60+AZ$10,"0000"),RawData!$A$2:$G$30000,5,FALSE),"")</f>
        <v>0</v>
      </c>
      <c r="BA23" s="49">
        <f>IFERROR(VLOOKUP(TEXT($B$3,"yyyymmdd")&amp;"_"&amp;TEXT($B23*60+BA$10,"0000"),RawData!$A$2:$G$30000,5,FALSE),"")</f>
        <v>0</v>
      </c>
      <c r="BB23" s="49">
        <f>IFERROR(VLOOKUP(TEXT($B$3,"yyyymmdd")&amp;"_"&amp;TEXT($B23*60+BB$10,"0000"),RawData!$A$2:$G$30000,5,FALSE),"")</f>
        <v>4.5300000000000001E-4</v>
      </c>
      <c r="BC23" s="49">
        <f>IFERROR(VLOOKUP(TEXT($B$3,"yyyymmdd")&amp;"_"&amp;TEXT($B23*60+BC$10,"0000"),RawData!$A$2:$G$30000,5,FALSE),"")</f>
        <v>0</v>
      </c>
      <c r="BD23" s="49">
        <f>IFERROR(VLOOKUP(TEXT($B$3,"yyyymmdd")&amp;"_"&amp;TEXT($B23*60+BD$10,"0000"),RawData!$A$2:$G$30000,5,FALSE),"")</f>
        <v>0</v>
      </c>
      <c r="BE23" s="49">
        <f>IFERROR(VLOOKUP(TEXT($B$3,"yyyymmdd")&amp;"_"&amp;TEXT($B23*60+BE$10,"0000"),RawData!$A$2:$G$30000,5,FALSE),"")</f>
        <v>0</v>
      </c>
      <c r="BF23" s="49">
        <f>IFERROR(VLOOKUP(TEXT($B$3,"yyyymmdd")&amp;"_"&amp;TEXT($B23*60+BF$10,"0000"),RawData!$A$2:$G$30000,5,FALSE),"")</f>
        <v>0</v>
      </c>
      <c r="BG23" s="49">
        <f>IFERROR(VLOOKUP(TEXT($B$3,"yyyymmdd")&amp;"_"&amp;TEXT($B23*60+BG$10,"0000"),RawData!$A$2:$G$30000,5,FALSE),"")</f>
        <v>0</v>
      </c>
      <c r="BH23" s="49">
        <f>IFERROR(VLOOKUP(TEXT($B$3,"yyyymmdd")&amp;"_"&amp;TEXT($B23*60+BH$10,"0000"),RawData!$A$2:$G$30000,5,FALSE),"")</f>
        <v>0</v>
      </c>
      <c r="BI23" s="49">
        <f>IFERROR(VLOOKUP(TEXT($B$3,"yyyymmdd")&amp;"_"&amp;TEXT($B23*60+BI$10,"0000"),RawData!$A$2:$G$30000,5,FALSE),"")</f>
        <v>0</v>
      </c>
      <c r="BJ23" s="49">
        <f>IFERROR(VLOOKUP(TEXT($B$3,"yyyymmdd")&amp;"_"&amp;TEXT($B23*60+BJ$10,"0000"),RawData!$A$2:$G$30000,5,FALSE),"")</f>
        <v>0</v>
      </c>
      <c r="BK23" s="4" t="str">
        <f>IFERROR(VLOOKUP(TEXT($B$3,"yyyymmdd")&amp;"_"&amp;TEXT(12,"0000"),RawData!$A$2:$F$1441,4,FALSE),"")</f>
        <v>00</v>
      </c>
      <c r="BL23" s="19">
        <f>TIME(0,0,0)+12/1440</f>
        <v>8.3333333333333332E-3</v>
      </c>
      <c r="BM23" s="4">
        <f>IFERROR(VLOOKUP(TEXT($B$3,"yyyymmdd")&amp;"_"&amp;TEXT(12,"0000"),RawData!$A$2:$F$1441,5,FALSE),"")</f>
        <v>0</v>
      </c>
      <c r="BN23" s="4">
        <f t="shared" si="0"/>
        <v>0</v>
      </c>
    </row>
    <row r="24" spans="1:66" ht="18.399999999999999" customHeight="1" x14ac:dyDescent="0.6">
      <c r="B24" s="18">
        <v>13</v>
      </c>
      <c r="C24" s="49">
        <f>IFERROR(VLOOKUP(TEXT($B$3,"yyyymmdd")&amp;"_"&amp;TEXT($B24*60+C$10,"0000"),RawData!$A$2:$G$30000,5,FALSE),"")</f>
        <v>0</v>
      </c>
      <c r="D24" s="49">
        <f>IFERROR(VLOOKUP(TEXT($B$3,"yyyymmdd")&amp;"_"&amp;TEXT($B24*60+D$10,"0000"),RawData!$A$2:$G$30000,5,FALSE),"")</f>
        <v>0</v>
      </c>
      <c r="E24" s="49">
        <f>IFERROR(VLOOKUP(TEXT($B$3,"yyyymmdd")&amp;"_"&amp;TEXT($B24*60+E$10,"0000"),RawData!$A$2:$G$30000,5,FALSE),"")</f>
        <v>0</v>
      </c>
      <c r="F24" s="49">
        <f>IFERROR(VLOOKUP(TEXT($B$3,"yyyymmdd")&amp;"_"&amp;TEXT($B24*60+F$10,"0000"),RawData!$A$2:$G$30000,5,FALSE),"")</f>
        <v>2.63E-4</v>
      </c>
      <c r="G24" s="49">
        <f>IFERROR(VLOOKUP(TEXT($B$3,"yyyymmdd")&amp;"_"&amp;TEXT($B24*60+G$10,"0000"),RawData!$A$2:$G$30000,5,FALSE),"")</f>
        <v>0</v>
      </c>
      <c r="H24" s="49">
        <f>IFERROR(VLOOKUP(TEXT($B$3,"yyyymmdd")&amp;"_"&amp;TEXT($B24*60+H$10,"0000"),RawData!$A$2:$G$30000,5,FALSE),"")</f>
        <v>0</v>
      </c>
      <c r="I24" s="49">
        <f>IFERROR(VLOOKUP(TEXT($B$3,"yyyymmdd")&amp;"_"&amp;TEXT($B24*60+I$10,"0000"),RawData!$A$2:$G$30000,5,FALSE),"")</f>
        <v>0</v>
      </c>
      <c r="J24" s="49">
        <f>IFERROR(VLOOKUP(TEXT($B$3,"yyyymmdd")&amp;"_"&amp;TEXT($B24*60+J$10,"0000"),RawData!$A$2:$G$30000,5,FALSE),"")</f>
        <v>0</v>
      </c>
      <c r="K24" s="49">
        <f>IFERROR(VLOOKUP(TEXT($B$3,"yyyymmdd")&amp;"_"&amp;TEXT($B24*60+K$10,"0000"),RawData!$A$2:$G$30000,5,FALSE),"")</f>
        <v>0</v>
      </c>
      <c r="L24" s="49">
        <f>IFERROR(VLOOKUP(TEXT($B$3,"yyyymmdd")&amp;"_"&amp;TEXT($B24*60+L$10,"0000"),RawData!$A$2:$G$30000,5,FALSE),"")</f>
        <v>0</v>
      </c>
      <c r="M24" s="49">
        <f>IFERROR(VLOOKUP(TEXT($B$3,"yyyymmdd")&amp;"_"&amp;TEXT($B24*60+M$10,"0000"),RawData!$A$2:$G$30000,5,FALSE),"")</f>
        <v>0</v>
      </c>
      <c r="N24" s="49">
        <f>IFERROR(VLOOKUP(TEXT($B$3,"yyyymmdd")&amp;"_"&amp;TEXT($B24*60+N$10,"0000"),RawData!$A$2:$G$30000,5,FALSE),"")</f>
        <v>0</v>
      </c>
      <c r="O24" s="49">
        <f>IFERROR(VLOOKUP(TEXT($B$3,"yyyymmdd")&amp;"_"&amp;TEXT($B24*60+O$10,"0000"),RawData!$A$2:$G$30000,5,FALSE),"")</f>
        <v>0</v>
      </c>
      <c r="P24" s="49">
        <f>IFERROR(VLOOKUP(TEXT($B$3,"yyyymmdd")&amp;"_"&amp;TEXT($B24*60+P$10,"0000"),RawData!$A$2:$G$30000,5,FALSE),"")</f>
        <v>0</v>
      </c>
      <c r="Q24" s="49">
        <f>IFERROR(VLOOKUP(TEXT($B$3,"yyyymmdd")&amp;"_"&amp;TEXT($B24*60+Q$10,"0000"),RawData!$A$2:$G$30000,5,FALSE),"")</f>
        <v>8.92E-4</v>
      </c>
      <c r="R24" s="49">
        <f>IFERROR(VLOOKUP(TEXT($B$3,"yyyymmdd")&amp;"_"&amp;TEXT($B24*60+R$10,"0000"),RawData!$A$2:$G$30000,5,FALSE),"")</f>
        <v>2.8600000000000001E-4</v>
      </c>
      <c r="S24" s="49">
        <f>IFERROR(VLOOKUP(TEXT($B$3,"yyyymmdd")&amp;"_"&amp;TEXT($B24*60+S$10,"0000"),RawData!$A$2:$G$30000,5,FALSE),"")</f>
        <v>0</v>
      </c>
      <c r="T24" s="49">
        <f>IFERROR(VLOOKUP(TEXT($B$3,"yyyymmdd")&amp;"_"&amp;TEXT($B24*60+T$10,"0000"),RawData!$A$2:$G$30000,5,FALSE),"")</f>
        <v>0</v>
      </c>
      <c r="U24" s="49">
        <f>IFERROR(VLOOKUP(TEXT($B$3,"yyyymmdd")&amp;"_"&amp;TEXT($B24*60+U$10,"0000"),RawData!$A$2:$G$30000,5,FALSE),"")</f>
        <v>0</v>
      </c>
      <c r="V24" s="49">
        <f>IFERROR(VLOOKUP(TEXT($B$3,"yyyymmdd")&amp;"_"&amp;TEXT($B24*60+V$10,"0000"),RawData!$A$2:$G$30000,5,FALSE),"")</f>
        <v>5.6999999999999998E-4</v>
      </c>
      <c r="W24" s="49">
        <f>IFERROR(VLOOKUP(TEXT($B$3,"yyyymmdd")&amp;"_"&amp;TEXT($B24*60+W$10,"0000"),RawData!$A$2:$G$30000,5,FALSE),"")</f>
        <v>0</v>
      </c>
      <c r="X24" s="49">
        <f>IFERROR(VLOOKUP(TEXT($B$3,"yyyymmdd")&amp;"_"&amp;TEXT($B24*60+X$10,"0000"),RawData!$A$2:$G$30000,5,FALSE),"")</f>
        <v>0</v>
      </c>
      <c r="Y24" s="49">
        <f>IFERROR(VLOOKUP(TEXT($B$3,"yyyymmdd")&amp;"_"&amp;TEXT($B24*60+Y$10,"0000"),RawData!$A$2:$G$30000,5,FALSE),"")</f>
        <v>0</v>
      </c>
      <c r="Z24" s="49">
        <f>IFERROR(VLOOKUP(TEXT($B$3,"yyyymmdd")&amp;"_"&amp;TEXT($B24*60+Z$10,"0000"),RawData!$A$2:$G$30000,5,FALSE),"")</f>
        <v>0</v>
      </c>
      <c r="AA24" s="49">
        <f>IFERROR(VLOOKUP(TEXT($B$3,"yyyymmdd")&amp;"_"&amp;TEXT($B24*60+AA$10,"0000"),RawData!$A$2:$G$30000,5,FALSE),"")</f>
        <v>5.5199999999999997E-4</v>
      </c>
      <c r="AB24" s="49">
        <f>IFERROR(VLOOKUP(TEXT($B$3,"yyyymmdd")&amp;"_"&amp;TEXT($B24*60+AB$10,"0000"),RawData!$A$2:$G$30000,5,FALSE),"")</f>
        <v>0</v>
      </c>
      <c r="AC24" s="49">
        <f>IFERROR(VLOOKUP(TEXT($B$3,"yyyymmdd")&amp;"_"&amp;TEXT($B24*60+AC$10,"0000"),RawData!$A$2:$G$30000,5,FALSE),"")</f>
        <v>1.5200000000000001E-4</v>
      </c>
      <c r="AD24" s="49">
        <f>IFERROR(VLOOKUP(TEXT($B$3,"yyyymmdd")&amp;"_"&amp;TEXT($B24*60+AD$10,"0000"),RawData!$A$2:$G$30000,5,FALSE),"")</f>
        <v>0</v>
      </c>
      <c r="AE24" s="49">
        <f>IFERROR(VLOOKUP(TEXT($B$3,"yyyymmdd")&amp;"_"&amp;TEXT($B24*60+AE$10,"0000"),RawData!$A$2:$G$30000,5,FALSE),"")</f>
        <v>0</v>
      </c>
      <c r="AF24" s="49">
        <f>IFERROR(VLOOKUP(TEXT($B$3,"yyyymmdd")&amp;"_"&amp;TEXT($B24*60+AF$10,"0000"),RawData!$A$2:$G$30000,5,FALSE),"")</f>
        <v>0</v>
      </c>
      <c r="AG24" s="49">
        <f>IFERROR(VLOOKUP(TEXT($B$3,"yyyymmdd")&amp;"_"&amp;TEXT($B24*60+AG$10,"0000"),RawData!$A$2:$G$30000,5,FALSE),"")</f>
        <v>0</v>
      </c>
      <c r="AH24" s="49">
        <f>IFERROR(VLOOKUP(TEXT($B$3,"yyyymmdd")&amp;"_"&amp;TEXT($B24*60+AH$10,"0000"),RawData!$A$2:$G$30000,5,FALSE),"")</f>
        <v>0</v>
      </c>
      <c r="AI24" s="49">
        <f>IFERROR(VLOOKUP(TEXT($B$3,"yyyymmdd")&amp;"_"&amp;TEXT($B24*60+AI$10,"0000"),RawData!$A$2:$G$30000,5,FALSE),"")</f>
        <v>0</v>
      </c>
      <c r="AJ24" s="49">
        <f>IFERROR(VLOOKUP(TEXT($B$3,"yyyymmdd")&amp;"_"&amp;TEXT($B24*60+AJ$10,"0000"),RawData!$A$2:$G$30000,5,FALSE),"")</f>
        <v>2.5399999999999999E-4</v>
      </c>
      <c r="AK24" s="49">
        <f>IFERROR(VLOOKUP(TEXT($B$3,"yyyymmdd")&amp;"_"&amp;TEXT($B24*60+AK$10,"0000"),RawData!$A$2:$G$30000,5,FALSE),"")</f>
        <v>4.28E-4</v>
      </c>
      <c r="AL24" s="49">
        <f>IFERROR(VLOOKUP(TEXT($B$3,"yyyymmdd")&amp;"_"&amp;TEXT($B24*60+AL$10,"0000"),RawData!$A$2:$G$30000,5,FALSE),"")</f>
        <v>0</v>
      </c>
      <c r="AM24" s="49">
        <f>IFERROR(VLOOKUP(TEXT($B$3,"yyyymmdd")&amp;"_"&amp;TEXT($B24*60+AM$10,"0000"),RawData!$A$2:$G$30000,5,FALSE),"")</f>
        <v>0</v>
      </c>
      <c r="AN24" s="49">
        <f>IFERROR(VLOOKUP(TEXT($B$3,"yyyymmdd")&amp;"_"&amp;TEXT($B24*60+AN$10,"0000"),RawData!$A$2:$G$30000,5,FALSE),"")</f>
        <v>0</v>
      </c>
      <c r="AO24" s="49">
        <f>IFERROR(VLOOKUP(TEXT($B$3,"yyyymmdd")&amp;"_"&amp;TEXT($B24*60+AO$10,"0000"),RawData!$A$2:$G$30000,5,FALSE),"")</f>
        <v>4.44E-4</v>
      </c>
      <c r="AP24" s="49">
        <f>IFERROR(VLOOKUP(TEXT($B$3,"yyyymmdd")&amp;"_"&amp;TEXT($B24*60+AP$10,"0000"),RawData!$A$2:$G$30000,5,FALSE),"")</f>
        <v>0</v>
      </c>
      <c r="AQ24" s="49">
        <f>IFERROR(VLOOKUP(TEXT($B$3,"yyyymmdd")&amp;"_"&amp;TEXT($B24*60+AQ$10,"0000"),RawData!$A$2:$G$30000,5,FALSE),"")</f>
        <v>0</v>
      </c>
      <c r="AR24" s="49">
        <f>IFERROR(VLOOKUP(TEXT($B$3,"yyyymmdd")&amp;"_"&amp;TEXT($B24*60+AR$10,"0000"),RawData!$A$2:$G$30000,5,FALSE),"")</f>
        <v>0</v>
      </c>
      <c r="AS24" s="49">
        <f>IFERROR(VLOOKUP(TEXT($B$3,"yyyymmdd")&amp;"_"&amp;TEXT($B24*60+AS$10,"0000"),RawData!$A$2:$G$30000,5,FALSE),"")</f>
        <v>0</v>
      </c>
      <c r="AT24" s="49">
        <f>IFERROR(VLOOKUP(TEXT($B$3,"yyyymmdd")&amp;"_"&amp;TEXT($B24*60+AT$10,"0000"),RawData!$A$2:$G$30000,5,FALSE),"")</f>
        <v>0</v>
      </c>
      <c r="AU24" s="49">
        <f>IFERROR(VLOOKUP(TEXT($B$3,"yyyymmdd")&amp;"_"&amp;TEXT($B24*60+AU$10,"0000"),RawData!$A$2:$G$30000,5,FALSE),"")</f>
        <v>0</v>
      </c>
      <c r="AV24" s="49">
        <f>IFERROR(VLOOKUP(TEXT($B$3,"yyyymmdd")&amp;"_"&amp;TEXT($B24*60+AV$10,"0000"),RawData!$A$2:$G$30000,5,FALSE),"")</f>
        <v>0</v>
      </c>
      <c r="AW24" s="49">
        <f>IFERROR(VLOOKUP(TEXT($B$3,"yyyymmdd")&amp;"_"&amp;TEXT($B24*60+AW$10,"0000"),RawData!$A$2:$G$30000,5,FALSE),"")</f>
        <v>0</v>
      </c>
      <c r="AX24" s="49">
        <f>IFERROR(VLOOKUP(TEXT($B$3,"yyyymmdd")&amp;"_"&amp;TEXT($B24*60+AX$10,"0000"),RawData!$A$2:$G$30000,5,FALSE),"")</f>
        <v>4.1199999999999999E-5</v>
      </c>
      <c r="AY24" s="49">
        <f>IFERROR(VLOOKUP(TEXT($B$3,"yyyymmdd")&amp;"_"&amp;TEXT($B24*60+AY$10,"0000"),RawData!$A$2:$G$30000,5,FALSE),"")</f>
        <v>1.27E-4</v>
      </c>
      <c r="AZ24" s="49">
        <f>IFERROR(VLOOKUP(TEXT($B$3,"yyyymmdd")&amp;"_"&amp;TEXT($B24*60+AZ$10,"0000"),RawData!$A$2:$G$30000,5,FALSE),"")</f>
        <v>3.3E-4</v>
      </c>
      <c r="BA24" s="49">
        <f>IFERROR(VLOOKUP(TEXT($B$3,"yyyymmdd")&amp;"_"&amp;TEXT($B24*60+BA$10,"0000"),RawData!$A$2:$G$30000,5,FALSE),"")</f>
        <v>0</v>
      </c>
      <c r="BB24" s="49">
        <f>IFERROR(VLOOKUP(TEXT($B$3,"yyyymmdd")&amp;"_"&amp;TEXT($B24*60+BB$10,"0000"),RawData!$A$2:$G$30000,5,FALSE),"")</f>
        <v>3.7100000000000002E-4</v>
      </c>
      <c r="BC24" s="49">
        <f>IFERROR(VLOOKUP(TEXT($B$3,"yyyymmdd")&amp;"_"&amp;TEXT($B24*60+BC$10,"0000"),RawData!$A$2:$G$30000,5,FALSE),"")</f>
        <v>0</v>
      </c>
      <c r="BD24" s="49">
        <f>IFERROR(VLOOKUP(TEXT($B$3,"yyyymmdd")&amp;"_"&amp;TEXT($B24*60+BD$10,"0000"),RawData!$A$2:$G$30000,5,FALSE),"")</f>
        <v>0</v>
      </c>
      <c r="BE24" s="49">
        <f>IFERROR(VLOOKUP(TEXT($B$3,"yyyymmdd")&amp;"_"&amp;TEXT($B24*60+BE$10,"0000"),RawData!$A$2:$G$30000,5,FALSE),"")</f>
        <v>0</v>
      </c>
      <c r="BF24" s="49">
        <f>IFERROR(VLOOKUP(TEXT($B$3,"yyyymmdd")&amp;"_"&amp;TEXT($B24*60+BF$10,"0000"),RawData!$A$2:$G$30000,5,FALSE),"")</f>
        <v>0</v>
      </c>
      <c r="BG24" s="49">
        <f>IFERROR(VLOOKUP(TEXT($B$3,"yyyymmdd")&amp;"_"&amp;TEXT($B24*60+BG$10,"0000"),RawData!$A$2:$G$30000,5,FALSE),"")</f>
        <v>4.6500000000000003E-4</v>
      </c>
      <c r="BH24" s="49">
        <f>IFERROR(VLOOKUP(TEXT($B$3,"yyyymmdd")&amp;"_"&amp;TEXT($B24*60+BH$10,"0000"),RawData!$A$2:$G$30000,5,FALSE),"")</f>
        <v>4.37E-4</v>
      </c>
      <c r="BI24" s="49">
        <f>IFERROR(VLOOKUP(TEXT($B$3,"yyyymmdd")&amp;"_"&amp;TEXT($B24*60+BI$10,"0000"),RawData!$A$2:$G$30000,5,FALSE),"")</f>
        <v>0</v>
      </c>
      <c r="BJ24" s="49">
        <f>IFERROR(VLOOKUP(TEXT($B$3,"yyyymmdd")&amp;"_"&amp;TEXT($B24*60+BJ$10,"0000"),RawData!$A$2:$G$30000,5,FALSE),"")</f>
        <v>0</v>
      </c>
      <c r="BK24" s="4" t="str">
        <f>IFERROR(VLOOKUP(TEXT($B$3,"yyyymmdd")&amp;"_"&amp;TEXT(13,"0000"),RawData!$A$2:$F$1441,4,FALSE),"")</f>
        <v>01</v>
      </c>
      <c r="BL24" s="19">
        <f>TIME(0,0,0)+13/1440</f>
        <v>9.0277777777777769E-3</v>
      </c>
      <c r="BM24" s="4">
        <f>IFERROR(VLOOKUP(TEXT($B$3,"yyyymmdd")&amp;"_"&amp;TEXT(13,"0000"),RawData!$A$2:$F$1441,5,FALSE),"")</f>
        <v>0</v>
      </c>
      <c r="BN24" s="4">
        <f t="shared" si="0"/>
        <v>1</v>
      </c>
    </row>
    <row r="25" spans="1:66" ht="18.399999999999999" customHeight="1" x14ac:dyDescent="0.6">
      <c r="B25" s="18">
        <v>14</v>
      </c>
      <c r="C25" s="49">
        <f>IFERROR(VLOOKUP(TEXT($B$3,"yyyymmdd")&amp;"_"&amp;TEXT($B25*60+C$10,"0000"),RawData!$A$2:$G$30000,5,FALSE),"")</f>
        <v>0</v>
      </c>
      <c r="D25" s="49">
        <f>IFERROR(VLOOKUP(TEXT($B$3,"yyyymmdd")&amp;"_"&amp;TEXT($B25*60+D$10,"0000"),RawData!$A$2:$G$30000,5,FALSE),"")</f>
        <v>0</v>
      </c>
      <c r="E25" s="49">
        <f>IFERROR(VLOOKUP(TEXT($B$3,"yyyymmdd")&amp;"_"&amp;TEXT($B25*60+E$10,"0000"),RawData!$A$2:$G$30000,5,FALSE),"")</f>
        <v>0</v>
      </c>
      <c r="F25" s="49">
        <f>IFERROR(VLOOKUP(TEXT($B$3,"yyyymmdd")&amp;"_"&amp;TEXT($B25*60+F$10,"0000"),RawData!$A$2:$G$30000,5,FALSE),"")</f>
        <v>0</v>
      </c>
      <c r="G25" s="49">
        <f>IFERROR(VLOOKUP(TEXT($B$3,"yyyymmdd")&amp;"_"&amp;TEXT($B25*60+G$10,"0000"),RawData!$A$2:$G$30000,5,FALSE),"")</f>
        <v>0</v>
      </c>
      <c r="H25" s="49">
        <f>IFERROR(VLOOKUP(TEXT($B$3,"yyyymmdd")&amp;"_"&amp;TEXT($B25*60+H$10,"0000"),RawData!$A$2:$G$30000,5,FALSE),"")</f>
        <v>0</v>
      </c>
      <c r="I25" s="49">
        <f>IFERROR(VLOOKUP(TEXT($B$3,"yyyymmdd")&amp;"_"&amp;TEXT($B25*60+I$10,"0000"),RawData!$A$2:$G$30000,5,FALSE),"")</f>
        <v>0</v>
      </c>
      <c r="J25" s="49">
        <f>IFERROR(VLOOKUP(TEXT($B$3,"yyyymmdd")&amp;"_"&amp;TEXT($B25*60+J$10,"0000"),RawData!$A$2:$G$30000,5,FALSE),"")</f>
        <v>0</v>
      </c>
      <c r="K25" s="49">
        <f>IFERROR(VLOOKUP(TEXT($B$3,"yyyymmdd")&amp;"_"&amp;TEXT($B25*60+K$10,"0000"),RawData!$A$2:$G$30000,5,FALSE),"")</f>
        <v>0</v>
      </c>
      <c r="L25" s="49">
        <f>IFERROR(VLOOKUP(TEXT($B$3,"yyyymmdd")&amp;"_"&amp;TEXT($B25*60+L$10,"0000"),RawData!$A$2:$G$30000,5,FALSE),"")</f>
        <v>2.5500000000000002E-4</v>
      </c>
      <c r="M25" s="49">
        <f>IFERROR(VLOOKUP(TEXT($B$3,"yyyymmdd")&amp;"_"&amp;TEXT($B25*60+M$10,"0000"),RawData!$A$2:$G$30000,5,FALSE),"")</f>
        <v>0</v>
      </c>
      <c r="N25" s="49">
        <f>IFERROR(VLOOKUP(TEXT($B$3,"yyyymmdd")&amp;"_"&amp;TEXT($B25*60+N$10,"0000"),RawData!$A$2:$G$30000,5,FALSE),"")</f>
        <v>0</v>
      </c>
      <c r="O25" s="49">
        <f>IFERROR(VLOOKUP(TEXT($B$3,"yyyymmdd")&amp;"_"&amp;TEXT($B25*60+O$10,"0000"),RawData!$A$2:$G$30000,5,FALSE),"")</f>
        <v>0</v>
      </c>
      <c r="P25" s="49">
        <f>IFERROR(VLOOKUP(TEXT($B$3,"yyyymmdd")&amp;"_"&amp;TEXT($B25*60+P$10,"0000"),RawData!$A$2:$G$30000,5,FALSE),"")</f>
        <v>0</v>
      </c>
      <c r="Q25" s="49">
        <f>IFERROR(VLOOKUP(TEXT($B$3,"yyyymmdd")&amp;"_"&amp;TEXT($B25*60+Q$10,"0000"),RawData!$A$2:$G$30000,5,FALSE),"")</f>
        <v>0</v>
      </c>
      <c r="R25" s="49">
        <f>IFERROR(VLOOKUP(TEXT($B$3,"yyyymmdd")&amp;"_"&amp;TEXT($B25*60+R$10,"0000"),RawData!$A$2:$G$30000,5,FALSE),"")</f>
        <v>0</v>
      </c>
      <c r="S25" s="49">
        <f>IFERROR(VLOOKUP(TEXT($B$3,"yyyymmdd")&amp;"_"&amp;TEXT($B25*60+S$10,"0000"),RawData!$A$2:$G$30000,5,FALSE),"")</f>
        <v>0</v>
      </c>
      <c r="T25" s="49">
        <f>IFERROR(VLOOKUP(TEXT($B$3,"yyyymmdd")&amp;"_"&amp;TEXT($B25*60+T$10,"0000"),RawData!$A$2:$G$30000,5,FALSE),"")</f>
        <v>0</v>
      </c>
      <c r="U25" s="49">
        <f>IFERROR(VLOOKUP(TEXT($B$3,"yyyymmdd")&amp;"_"&amp;TEXT($B25*60+U$10,"0000"),RawData!$A$2:$G$30000,5,FALSE),"")</f>
        <v>0</v>
      </c>
      <c r="V25" s="49">
        <f>IFERROR(VLOOKUP(TEXT($B$3,"yyyymmdd")&amp;"_"&amp;TEXT($B25*60+V$10,"0000"),RawData!$A$2:$G$30000,5,FALSE),"")</f>
        <v>0</v>
      </c>
      <c r="W25" s="49">
        <f>IFERROR(VLOOKUP(TEXT($B$3,"yyyymmdd")&amp;"_"&amp;TEXT($B25*60+W$10,"0000"),RawData!$A$2:$G$30000,5,FALSE),"")</f>
        <v>6.11E-4</v>
      </c>
      <c r="X25" s="49">
        <f>IFERROR(VLOOKUP(TEXT($B$3,"yyyymmdd")&amp;"_"&amp;TEXT($B25*60+X$10,"0000"),RawData!$A$2:$G$30000,5,FALSE),"")</f>
        <v>0</v>
      </c>
      <c r="Y25" s="49">
        <f>IFERROR(VLOOKUP(TEXT($B$3,"yyyymmdd")&amp;"_"&amp;TEXT($B25*60+Y$10,"0000"),RawData!$A$2:$G$30000,5,FALSE),"")</f>
        <v>0</v>
      </c>
      <c r="Z25" s="49">
        <f>IFERROR(VLOOKUP(TEXT($B$3,"yyyymmdd")&amp;"_"&amp;TEXT($B25*60+Z$10,"0000"),RawData!$A$2:$G$30000,5,FALSE),"")</f>
        <v>0</v>
      </c>
      <c r="AA25" s="49">
        <f>IFERROR(VLOOKUP(TEXT($B$3,"yyyymmdd")&amp;"_"&amp;TEXT($B25*60+AA$10,"0000"),RawData!$A$2:$G$30000,5,FALSE),"")</f>
        <v>0</v>
      </c>
      <c r="AB25" s="49">
        <f>IFERROR(VLOOKUP(TEXT($B$3,"yyyymmdd")&amp;"_"&amp;TEXT($B25*60+AB$10,"0000"),RawData!$A$2:$G$30000,5,FALSE),"")</f>
        <v>0</v>
      </c>
      <c r="AC25" s="49">
        <f>IFERROR(VLOOKUP(TEXT($B$3,"yyyymmdd")&amp;"_"&amp;TEXT($B25*60+AC$10,"0000"),RawData!$A$2:$G$30000,5,FALSE),"")</f>
        <v>0</v>
      </c>
      <c r="AD25" s="49">
        <f>IFERROR(VLOOKUP(TEXT($B$3,"yyyymmdd")&amp;"_"&amp;TEXT($B25*60+AD$10,"0000"),RawData!$A$2:$G$30000,5,FALSE),"")</f>
        <v>0</v>
      </c>
      <c r="AE25" s="49">
        <f>IFERROR(VLOOKUP(TEXT($B$3,"yyyymmdd")&amp;"_"&amp;TEXT($B25*60+AE$10,"0000"),RawData!$A$2:$G$30000,5,FALSE),"")</f>
        <v>0</v>
      </c>
      <c r="AF25" s="49">
        <f>IFERROR(VLOOKUP(TEXT($B$3,"yyyymmdd")&amp;"_"&amp;TEXT($B25*60+AF$10,"0000"),RawData!$A$2:$G$30000,5,FALSE),"")</f>
        <v>0</v>
      </c>
      <c r="AG25" s="49">
        <f>IFERROR(VLOOKUP(TEXT($B$3,"yyyymmdd")&amp;"_"&amp;TEXT($B25*60+AG$10,"0000"),RawData!$A$2:$G$30000,5,FALSE),"")</f>
        <v>0</v>
      </c>
      <c r="AH25" s="49">
        <f>IFERROR(VLOOKUP(TEXT($B$3,"yyyymmdd")&amp;"_"&amp;TEXT($B25*60+AH$10,"0000"),RawData!$A$2:$G$30000,5,FALSE),"")</f>
        <v>2.5900000000000001E-4</v>
      </c>
      <c r="AI25" s="49">
        <f>IFERROR(VLOOKUP(TEXT($B$3,"yyyymmdd")&amp;"_"&amp;TEXT($B25*60+AI$10,"0000"),RawData!$A$2:$G$30000,5,FALSE),"")</f>
        <v>0</v>
      </c>
      <c r="AJ25" s="49">
        <f>IFERROR(VLOOKUP(TEXT($B$3,"yyyymmdd")&amp;"_"&amp;TEXT($B25*60+AJ$10,"0000"),RawData!$A$2:$G$30000,5,FALSE),"")</f>
        <v>6.2799999999999998E-4</v>
      </c>
      <c r="AK25" s="49">
        <f>IFERROR(VLOOKUP(TEXT($B$3,"yyyymmdd")&amp;"_"&amp;TEXT($B25*60+AK$10,"0000"),RawData!$A$2:$G$30000,5,FALSE),"")</f>
        <v>0</v>
      </c>
      <c r="AL25" s="49">
        <f>IFERROR(VLOOKUP(TEXT($B$3,"yyyymmdd")&amp;"_"&amp;TEXT($B25*60+AL$10,"0000"),RawData!$A$2:$G$30000,5,FALSE),"")</f>
        <v>0</v>
      </c>
      <c r="AM25" s="49">
        <f>IFERROR(VLOOKUP(TEXT($B$3,"yyyymmdd")&amp;"_"&amp;TEXT($B25*60+AM$10,"0000"),RawData!$A$2:$G$30000,5,FALSE),"")</f>
        <v>0</v>
      </c>
      <c r="AN25" s="49">
        <f>IFERROR(VLOOKUP(TEXT($B$3,"yyyymmdd")&amp;"_"&amp;TEXT($B25*60+AN$10,"0000"),RawData!$A$2:$G$30000,5,FALSE),"")</f>
        <v>0</v>
      </c>
      <c r="AO25" s="49">
        <f>IFERROR(VLOOKUP(TEXT($B$3,"yyyymmdd")&amp;"_"&amp;TEXT($B25*60+AO$10,"0000"),RawData!$A$2:$G$30000,5,FALSE),"")</f>
        <v>0</v>
      </c>
      <c r="AP25" s="49">
        <f>IFERROR(VLOOKUP(TEXT($B$3,"yyyymmdd")&amp;"_"&amp;TEXT($B25*60+AP$10,"0000"),RawData!$A$2:$G$30000,5,FALSE),"")</f>
        <v>0</v>
      </c>
      <c r="AQ25" s="49">
        <f>IFERROR(VLOOKUP(TEXT($B$3,"yyyymmdd")&amp;"_"&amp;TEXT($B25*60+AQ$10,"0000"),RawData!$A$2:$G$30000,5,FALSE),"")</f>
        <v>0</v>
      </c>
      <c r="AR25" s="49">
        <f>IFERROR(VLOOKUP(TEXT($B$3,"yyyymmdd")&amp;"_"&amp;TEXT($B25*60+AR$10,"0000"),RawData!$A$2:$G$30000,5,FALSE),"")</f>
        <v>0</v>
      </c>
      <c r="AS25" s="49">
        <f>IFERROR(VLOOKUP(TEXT($B$3,"yyyymmdd")&amp;"_"&amp;TEXT($B25*60+AS$10,"0000"),RawData!$A$2:$G$30000,5,FALSE),"")</f>
        <v>2.6499999999999999E-4</v>
      </c>
      <c r="AT25" s="49">
        <f>IFERROR(VLOOKUP(TEXT($B$3,"yyyymmdd")&amp;"_"&amp;TEXT($B25*60+AT$10,"0000"),RawData!$A$2:$G$30000,5,FALSE),"")</f>
        <v>0</v>
      </c>
      <c r="AU25" s="49">
        <f>IFERROR(VLOOKUP(TEXT($B$3,"yyyymmdd")&amp;"_"&amp;TEXT($B25*60+AU$10,"0000"),RawData!$A$2:$G$30000,5,FALSE),"")</f>
        <v>0</v>
      </c>
      <c r="AV25" s="49">
        <f>IFERROR(VLOOKUP(TEXT($B$3,"yyyymmdd")&amp;"_"&amp;TEXT($B25*60+AV$10,"0000"),RawData!$A$2:$G$30000,5,FALSE),"")</f>
        <v>0</v>
      </c>
      <c r="AW25" s="49">
        <f>IFERROR(VLOOKUP(TEXT($B$3,"yyyymmdd")&amp;"_"&amp;TEXT($B25*60+AW$10,"0000"),RawData!$A$2:$G$30000,5,FALSE),"")</f>
        <v>0.63801920099999998</v>
      </c>
      <c r="AX25" s="49">
        <f>IFERROR(VLOOKUP(TEXT($B$3,"yyyymmdd")&amp;"_"&amp;TEXT($B25*60+AX$10,"0000"),RawData!$A$2:$G$30000,5,FALSE),"")</f>
        <v>2.4041655450000001</v>
      </c>
      <c r="AY25" s="49">
        <f>IFERROR(VLOOKUP(TEXT($B$3,"yyyymmdd")&amp;"_"&amp;TEXT($B25*60+AY$10,"0000"),RawData!$A$2:$G$30000,5,FALSE),"")</f>
        <v>1.7959820000000001E-2</v>
      </c>
      <c r="AZ25" s="49">
        <f>IFERROR(VLOOKUP(TEXT($B$3,"yyyymmdd")&amp;"_"&amp;TEXT($B25*60+AZ$10,"0000"),RawData!$A$2:$G$30000,5,FALSE),"")</f>
        <v>2.4399999999999999E-4</v>
      </c>
      <c r="BA25" s="49">
        <f>IFERROR(VLOOKUP(TEXT($B$3,"yyyymmdd")&amp;"_"&amp;TEXT($B25*60+BA$10,"0000"),RawData!$A$2:$G$30000,5,FALSE),"")</f>
        <v>0</v>
      </c>
      <c r="BB25" s="49">
        <f>IFERROR(VLOOKUP(TEXT($B$3,"yyyymmdd")&amp;"_"&amp;TEXT($B25*60+BB$10,"0000"),RawData!$A$2:$G$30000,5,FALSE),"")</f>
        <v>0</v>
      </c>
      <c r="BC25" s="49">
        <f>IFERROR(VLOOKUP(TEXT($B$3,"yyyymmdd")&amp;"_"&amp;TEXT($B25*60+BC$10,"0000"),RawData!$A$2:$G$30000,5,FALSE),"")</f>
        <v>0</v>
      </c>
      <c r="BD25" s="49">
        <f>IFERROR(VLOOKUP(TEXT($B$3,"yyyymmdd")&amp;"_"&amp;TEXT($B25*60+BD$10,"0000"),RawData!$A$2:$G$30000,5,FALSE),"")</f>
        <v>1.7200000000000001E-4</v>
      </c>
      <c r="BE25" s="49">
        <f>IFERROR(VLOOKUP(TEXT($B$3,"yyyymmdd")&amp;"_"&amp;TEXT($B25*60+BE$10,"0000"),RawData!$A$2:$G$30000,5,FALSE),"")</f>
        <v>4.26E-4</v>
      </c>
      <c r="BF25" s="49">
        <f>IFERROR(VLOOKUP(TEXT($B$3,"yyyymmdd")&amp;"_"&amp;TEXT($B25*60+BF$10,"0000"),RawData!$A$2:$G$30000,5,FALSE),"")</f>
        <v>0</v>
      </c>
      <c r="BG25" s="49">
        <f>IFERROR(VLOOKUP(TEXT($B$3,"yyyymmdd")&amp;"_"&amp;TEXT($B25*60+BG$10,"0000"),RawData!$A$2:$G$30000,5,FALSE),"")</f>
        <v>0</v>
      </c>
      <c r="BH25" s="49">
        <f>IFERROR(VLOOKUP(TEXT($B$3,"yyyymmdd")&amp;"_"&amp;TEXT($B25*60+BH$10,"0000"),RawData!$A$2:$G$30000,5,FALSE),"")</f>
        <v>0</v>
      </c>
      <c r="BI25" s="49">
        <f>IFERROR(VLOOKUP(TEXT($B$3,"yyyymmdd")&amp;"_"&amp;TEXT($B25*60+BI$10,"0000"),RawData!$A$2:$G$30000,5,FALSE),"")</f>
        <v>0</v>
      </c>
      <c r="BJ25" s="49">
        <f>IFERROR(VLOOKUP(TEXT($B$3,"yyyymmdd")&amp;"_"&amp;TEXT($B25*60+BJ$10,"0000"),RawData!$A$2:$G$30000,5,FALSE),"")</f>
        <v>0</v>
      </c>
      <c r="BK25" s="4" t="str">
        <f>IFERROR(VLOOKUP(TEXT($B$3,"yyyymmdd")&amp;"_"&amp;TEXT(14,"0000"),RawData!$A$2:$F$1441,4,FALSE),"")</f>
        <v>01</v>
      </c>
      <c r="BL25" s="19">
        <f>TIME(0,0,0)+14/1440</f>
        <v>9.7222222222222224E-3</v>
      </c>
      <c r="BM25" s="4">
        <f>IFERROR(VLOOKUP(TEXT($B$3,"yyyymmdd")&amp;"_"&amp;TEXT(14,"0000"),RawData!$A$2:$F$1441,5,FALSE),"")</f>
        <v>0</v>
      </c>
      <c r="BN25" s="4">
        <f t="shared" si="0"/>
        <v>0</v>
      </c>
    </row>
    <row r="26" spans="1:66" ht="18.399999999999999" customHeight="1" x14ac:dyDescent="0.6">
      <c r="B26" s="18">
        <v>15</v>
      </c>
      <c r="C26" s="49">
        <f>IFERROR(VLOOKUP(TEXT($B$3,"yyyymmdd")&amp;"_"&amp;TEXT($B26*60+C$10,"0000"),RawData!$A$2:$G$30000,5,FALSE),"")</f>
        <v>0</v>
      </c>
      <c r="D26" s="49">
        <f>IFERROR(VLOOKUP(TEXT($B$3,"yyyymmdd")&amp;"_"&amp;TEXT($B26*60+D$10,"0000"),RawData!$A$2:$G$30000,5,FALSE),"")</f>
        <v>0</v>
      </c>
      <c r="E26" s="49">
        <f>IFERROR(VLOOKUP(TEXT($B$3,"yyyymmdd")&amp;"_"&amp;TEXT($B26*60+E$10,"0000"),RawData!$A$2:$G$30000,5,FALSE),"")</f>
        <v>0</v>
      </c>
      <c r="F26" s="49">
        <f>IFERROR(VLOOKUP(TEXT($B$3,"yyyymmdd")&amp;"_"&amp;TEXT($B26*60+F$10,"0000"),RawData!$A$2:$G$30000,5,FALSE),"")</f>
        <v>0</v>
      </c>
      <c r="G26" s="49">
        <f>IFERROR(VLOOKUP(TEXT($B$3,"yyyymmdd")&amp;"_"&amp;TEXT($B26*60+G$10,"0000"),RawData!$A$2:$G$30000,5,FALSE),"")</f>
        <v>0</v>
      </c>
      <c r="H26" s="49">
        <f>IFERROR(VLOOKUP(TEXT($B$3,"yyyymmdd")&amp;"_"&amp;TEXT($B26*60+H$10,"0000"),RawData!$A$2:$G$30000,5,FALSE),"")</f>
        <v>0</v>
      </c>
      <c r="I26" s="49">
        <f>IFERROR(VLOOKUP(TEXT($B$3,"yyyymmdd")&amp;"_"&amp;TEXT($B26*60+I$10,"0000"),RawData!$A$2:$G$30000,5,FALSE),"")</f>
        <v>0</v>
      </c>
      <c r="J26" s="49">
        <f>IFERROR(VLOOKUP(TEXT($B$3,"yyyymmdd")&amp;"_"&amp;TEXT($B26*60+J$10,"0000"),RawData!$A$2:$G$30000,5,FALSE),"")</f>
        <v>0</v>
      </c>
      <c r="K26" s="49">
        <f>IFERROR(VLOOKUP(TEXT($B$3,"yyyymmdd")&amp;"_"&amp;TEXT($B26*60+K$10,"0000"),RawData!$A$2:$G$30000,5,FALSE),"")</f>
        <v>0</v>
      </c>
      <c r="L26" s="49">
        <f>IFERROR(VLOOKUP(TEXT($B$3,"yyyymmdd")&amp;"_"&amp;TEXT($B26*60+L$10,"0000"),RawData!$A$2:$G$30000,5,FALSE),"")</f>
        <v>0</v>
      </c>
      <c r="M26" s="49">
        <f>IFERROR(VLOOKUP(TEXT($B$3,"yyyymmdd")&amp;"_"&amp;TEXT($B26*60+M$10,"0000"),RawData!$A$2:$G$30000,5,FALSE),"")</f>
        <v>0</v>
      </c>
      <c r="N26" s="49">
        <f>IFERROR(VLOOKUP(TEXT($B$3,"yyyymmdd")&amp;"_"&amp;TEXT($B26*60+N$10,"0000"),RawData!$A$2:$G$30000,5,FALSE),"")</f>
        <v>3.5799999999999997E-4</v>
      </c>
      <c r="O26" s="49">
        <f>IFERROR(VLOOKUP(TEXT($B$3,"yyyymmdd")&amp;"_"&amp;TEXT($B26*60+O$10,"0000"),RawData!$A$2:$G$30000,5,FALSE),"")</f>
        <v>0</v>
      </c>
      <c r="P26" s="49">
        <f>IFERROR(VLOOKUP(TEXT($B$3,"yyyymmdd")&amp;"_"&amp;TEXT($B26*60+P$10,"0000"),RawData!$A$2:$G$30000,5,FALSE),"")</f>
        <v>0</v>
      </c>
      <c r="Q26" s="49">
        <f>IFERROR(VLOOKUP(TEXT($B$3,"yyyymmdd")&amp;"_"&amp;TEXT($B26*60+Q$10,"0000"),RawData!$A$2:$G$30000,5,FALSE),"")</f>
        <v>4.9600000000000002E-4</v>
      </c>
      <c r="R26" s="49">
        <f>IFERROR(VLOOKUP(TEXT($B$3,"yyyymmdd")&amp;"_"&amp;TEXT($B26*60+R$10,"0000"),RawData!$A$2:$G$30000,5,FALSE),"")</f>
        <v>4.35E-4</v>
      </c>
      <c r="S26" s="49">
        <f>IFERROR(VLOOKUP(TEXT($B$3,"yyyymmdd")&amp;"_"&amp;TEXT($B26*60+S$10,"0000"),RawData!$A$2:$G$30000,5,FALSE),"")</f>
        <v>2.5799999999999998E-4</v>
      </c>
      <c r="T26" s="49">
        <f>IFERROR(VLOOKUP(TEXT($B$3,"yyyymmdd")&amp;"_"&amp;TEXT($B26*60+T$10,"0000"),RawData!$A$2:$G$30000,5,FALSE),"")</f>
        <v>0</v>
      </c>
      <c r="U26" s="49">
        <f>IFERROR(VLOOKUP(TEXT($B$3,"yyyymmdd")&amp;"_"&amp;TEXT($B26*60+U$10,"0000"),RawData!$A$2:$G$30000,5,FALSE),"")</f>
        <v>0</v>
      </c>
      <c r="V26" s="49">
        <f>IFERROR(VLOOKUP(TEXT($B$3,"yyyymmdd")&amp;"_"&amp;TEXT($B26*60+V$10,"0000"),RawData!$A$2:$G$30000,5,FALSE),"")</f>
        <v>0</v>
      </c>
      <c r="W26" s="49">
        <f>IFERROR(VLOOKUP(TEXT($B$3,"yyyymmdd")&amp;"_"&amp;TEXT($B26*60+W$10,"0000"),RawData!$A$2:$G$30000,5,FALSE),"")</f>
        <v>0</v>
      </c>
      <c r="X26" s="49">
        <f>IFERROR(VLOOKUP(TEXT($B$3,"yyyymmdd")&amp;"_"&amp;TEXT($B26*60+X$10,"0000"),RawData!$A$2:$G$30000,5,FALSE),"")</f>
        <v>0</v>
      </c>
      <c r="Y26" s="49">
        <f>IFERROR(VLOOKUP(TEXT($B$3,"yyyymmdd")&amp;"_"&amp;TEXT($B26*60+Y$10,"0000"),RawData!$A$2:$G$30000,5,FALSE),"")</f>
        <v>2.7500000000000002E-4</v>
      </c>
      <c r="Z26" s="49">
        <f>IFERROR(VLOOKUP(TEXT($B$3,"yyyymmdd")&amp;"_"&amp;TEXT($B26*60+Z$10,"0000"),RawData!$A$2:$G$30000,5,FALSE),"")</f>
        <v>0</v>
      </c>
      <c r="AA26" s="49">
        <f>IFERROR(VLOOKUP(TEXT($B$3,"yyyymmdd")&amp;"_"&amp;TEXT($B26*60+AA$10,"0000"),RawData!$A$2:$G$30000,5,FALSE),"")</f>
        <v>0</v>
      </c>
      <c r="AB26" s="49">
        <f>IFERROR(VLOOKUP(TEXT($B$3,"yyyymmdd")&amp;"_"&amp;TEXT($B26*60+AB$10,"0000"),RawData!$A$2:$G$30000,5,FALSE),"")</f>
        <v>0</v>
      </c>
      <c r="AC26" s="49">
        <f>IFERROR(VLOOKUP(TEXT($B$3,"yyyymmdd")&amp;"_"&amp;TEXT($B26*60+AC$10,"0000"),RawData!$A$2:$G$30000,5,FALSE),"")</f>
        <v>3.28E-4</v>
      </c>
      <c r="AD26" s="49">
        <f>IFERROR(VLOOKUP(TEXT($B$3,"yyyymmdd")&amp;"_"&amp;TEXT($B26*60+AD$10,"0000"),RawData!$A$2:$G$30000,5,FALSE),"")</f>
        <v>0</v>
      </c>
      <c r="AE26" s="49">
        <f>IFERROR(VLOOKUP(TEXT($B$3,"yyyymmdd")&amp;"_"&amp;TEXT($B26*60+AE$10,"0000"),RawData!$A$2:$G$30000,5,FALSE),"")</f>
        <v>0</v>
      </c>
      <c r="AF26" s="49">
        <f>IFERROR(VLOOKUP(TEXT($B$3,"yyyymmdd")&amp;"_"&amp;TEXT($B26*60+AF$10,"0000"),RawData!$A$2:$G$30000,5,FALSE),"")</f>
        <v>0</v>
      </c>
      <c r="AG26" s="49">
        <f>IFERROR(VLOOKUP(TEXT($B$3,"yyyymmdd")&amp;"_"&amp;TEXT($B26*60+AG$10,"0000"),RawData!$A$2:$G$30000,5,FALSE),"")</f>
        <v>0</v>
      </c>
      <c r="AH26" s="49">
        <f>IFERROR(VLOOKUP(TEXT($B$3,"yyyymmdd")&amp;"_"&amp;TEXT($B26*60+AH$10,"0000"),RawData!$A$2:$G$30000,5,FALSE),"")</f>
        <v>0</v>
      </c>
      <c r="AI26" s="49">
        <f>IFERROR(VLOOKUP(TEXT($B$3,"yyyymmdd")&amp;"_"&amp;TEXT($B26*60+AI$10,"0000"),RawData!$A$2:$G$30000,5,FALSE),"")</f>
        <v>0</v>
      </c>
      <c r="AJ26" s="49">
        <f>IFERROR(VLOOKUP(TEXT($B$3,"yyyymmdd")&amp;"_"&amp;TEXT($B26*60+AJ$10,"0000"),RawData!$A$2:$G$30000,5,FALSE),"")</f>
        <v>0</v>
      </c>
      <c r="AK26" s="49">
        <f>IFERROR(VLOOKUP(TEXT($B$3,"yyyymmdd")&amp;"_"&amp;TEXT($B26*60+AK$10,"0000"),RawData!$A$2:$G$30000,5,FALSE),"")</f>
        <v>4.6200000000000001E-4</v>
      </c>
      <c r="AL26" s="49">
        <f>IFERROR(VLOOKUP(TEXT($B$3,"yyyymmdd")&amp;"_"&amp;TEXT($B26*60+AL$10,"0000"),RawData!$A$2:$G$30000,5,FALSE),"")</f>
        <v>0</v>
      </c>
      <c r="AM26" s="49">
        <f>IFERROR(VLOOKUP(TEXT($B$3,"yyyymmdd")&amp;"_"&amp;TEXT($B26*60+AM$10,"0000"),RawData!$A$2:$G$30000,5,FALSE),"")</f>
        <v>0</v>
      </c>
      <c r="AN26" s="49">
        <f>IFERROR(VLOOKUP(TEXT($B$3,"yyyymmdd")&amp;"_"&amp;TEXT($B26*60+AN$10,"0000"),RawData!$A$2:$G$30000,5,FALSE),"")</f>
        <v>0</v>
      </c>
      <c r="AO26" s="49">
        <f>IFERROR(VLOOKUP(TEXT($B$3,"yyyymmdd")&amp;"_"&amp;TEXT($B26*60+AO$10,"0000"),RawData!$A$2:$G$30000,5,FALSE),"")</f>
        <v>0</v>
      </c>
      <c r="AP26" s="49">
        <f>IFERROR(VLOOKUP(TEXT($B$3,"yyyymmdd")&amp;"_"&amp;TEXT($B26*60+AP$10,"0000"),RawData!$A$2:$G$30000,5,FALSE),"")</f>
        <v>4.0900000000000002E-4</v>
      </c>
      <c r="AQ26" s="49">
        <f>IFERROR(VLOOKUP(TEXT($B$3,"yyyymmdd")&amp;"_"&amp;TEXT($B26*60+AQ$10,"0000"),RawData!$A$2:$G$30000,5,FALSE),"")</f>
        <v>0</v>
      </c>
      <c r="AR26" s="49">
        <f>IFERROR(VLOOKUP(TEXT($B$3,"yyyymmdd")&amp;"_"&amp;TEXT($B26*60+AR$10,"0000"),RawData!$A$2:$G$30000,5,FALSE),"")</f>
        <v>0</v>
      </c>
      <c r="AS26" s="49">
        <f>IFERROR(VLOOKUP(TEXT($B$3,"yyyymmdd")&amp;"_"&amp;TEXT($B26*60+AS$10,"0000"),RawData!$A$2:$G$30000,5,FALSE),"")</f>
        <v>0</v>
      </c>
      <c r="AT26" s="49">
        <f>IFERROR(VLOOKUP(TEXT($B$3,"yyyymmdd")&amp;"_"&amp;TEXT($B26*60+AT$10,"0000"),RawData!$A$2:$G$30000,5,FALSE),"")</f>
        <v>0</v>
      </c>
      <c r="AU26" s="49">
        <f>IFERROR(VLOOKUP(TEXT($B$3,"yyyymmdd")&amp;"_"&amp;TEXT($B26*60+AU$10,"0000"),RawData!$A$2:$G$30000,5,FALSE),"")</f>
        <v>0</v>
      </c>
      <c r="AV26" s="49">
        <f>IFERROR(VLOOKUP(TEXT($B$3,"yyyymmdd")&amp;"_"&amp;TEXT($B26*60+AV$10,"0000"),RawData!$A$2:$G$30000,5,FALSE),"")</f>
        <v>0</v>
      </c>
      <c r="AW26" s="49">
        <f>IFERROR(VLOOKUP(TEXT($B$3,"yyyymmdd")&amp;"_"&amp;TEXT($B26*60+AW$10,"0000"),RawData!$A$2:$G$30000,5,FALSE),"")</f>
        <v>0</v>
      </c>
      <c r="AX26" s="49">
        <f>IFERROR(VLOOKUP(TEXT($B$3,"yyyymmdd")&amp;"_"&amp;TEXT($B26*60+AX$10,"0000"),RawData!$A$2:$G$30000,5,FALSE),"")</f>
        <v>0</v>
      </c>
      <c r="AY26" s="49">
        <f>IFERROR(VLOOKUP(TEXT($B$3,"yyyymmdd")&amp;"_"&amp;TEXT($B26*60+AY$10,"0000"),RawData!$A$2:$G$30000,5,FALSE),"")</f>
        <v>0</v>
      </c>
      <c r="AZ26" s="49">
        <f>IFERROR(VLOOKUP(TEXT($B$3,"yyyymmdd")&amp;"_"&amp;TEXT($B26*60+AZ$10,"0000"),RawData!$A$2:$G$30000,5,FALSE),"")</f>
        <v>0</v>
      </c>
      <c r="BA26" s="49">
        <f>IFERROR(VLOOKUP(TEXT($B$3,"yyyymmdd")&amp;"_"&amp;TEXT($B26*60+BA$10,"0000"),RawData!$A$2:$G$30000,5,FALSE),"")</f>
        <v>0</v>
      </c>
      <c r="BB26" s="49">
        <f>IFERROR(VLOOKUP(TEXT($B$3,"yyyymmdd")&amp;"_"&amp;TEXT($B26*60+BB$10,"0000"),RawData!$A$2:$G$30000,5,FALSE),"")</f>
        <v>0</v>
      </c>
      <c r="BC26" s="49">
        <f>IFERROR(VLOOKUP(TEXT($B$3,"yyyymmdd")&amp;"_"&amp;TEXT($B26*60+BC$10,"0000"),RawData!$A$2:$G$30000,5,FALSE),"")</f>
        <v>2.8800000000000001E-4</v>
      </c>
      <c r="BD26" s="49">
        <f>IFERROR(VLOOKUP(TEXT($B$3,"yyyymmdd")&amp;"_"&amp;TEXT($B26*60+BD$10,"0000"),RawData!$A$2:$G$30000,5,FALSE),"")</f>
        <v>0</v>
      </c>
      <c r="BE26" s="49">
        <f>IFERROR(VLOOKUP(TEXT($B$3,"yyyymmdd")&amp;"_"&amp;TEXT($B26*60+BE$10,"0000"),RawData!$A$2:$G$30000,5,FALSE),"")</f>
        <v>0</v>
      </c>
      <c r="BF26" s="49">
        <f>IFERROR(VLOOKUP(TEXT($B$3,"yyyymmdd")&amp;"_"&amp;TEXT($B26*60+BF$10,"0000"),RawData!$A$2:$G$30000,5,FALSE),"")</f>
        <v>3.9800000000000002E-4</v>
      </c>
      <c r="BG26" s="49">
        <f>IFERROR(VLOOKUP(TEXT($B$3,"yyyymmdd")&amp;"_"&amp;TEXT($B26*60+BG$10,"0000"),RawData!$A$2:$G$30000,5,FALSE),"")</f>
        <v>0</v>
      </c>
      <c r="BH26" s="49">
        <f>IFERROR(VLOOKUP(TEXT($B$3,"yyyymmdd")&amp;"_"&amp;TEXT($B26*60+BH$10,"0000"),RawData!$A$2:$G$30000,5,FALSE),"")</f>
        <v>0</v>
      </c>
      <c r="BI26" s="49">
        <f>IFERROR(VLOOKUP(TEXT($B$3,"yyyymmdd")&amp;"_"&amp;TEXT($B26*60+BI$10,"0000"),RawData!$A$2:$G$30000,5,FALSE),"")</f>
        <v>0</v>
      </c>
      <c r="BJ26" s="49">
        <f>IFERROR(VLOOKUP(TEXT($B$3,"yyyymmdd")&amp;"_"&amp;TEXT($B26*60+BJ$10,"0000"),RawData!$A$2:$G$30000,5,FALSE),"")</f>
        <v>0</v>
      </c>
      <c r="BK26" s="4" t="str">
        <f>IFERROR(VLOOKUP(TEXT($B$3,"yyyymmdd")&amp;"_"&amp;TEXT(15,"0000"),RawData!$A$2:$F$1441,4,FALSE),"")</f>
        <v>01</v>
      </c>
      <c r="BL26" s="19">
        <f>TIME(0,0,0)+15/1440</f>
        <v>1.0416666666666666E-2</v>
      </c>
      <c r="BM26" s="4">
        <f>IFERROR(VLOOKUP(TEXT($B$3,"yyyymmdd")&amp;"_"&amp;TEXT(15,"0000"),RawData!$A$2:$F$1441,5,FALSE),"")</f>
        <v>0</v>
      </c>
      <c r="BN26" s="4">
        <f t="shared" si="0"/>
        <v>0</v>
      </c>
    </row>
    <row r="27" spans="1:66" ht="18.399999999999999" customHeight="1" x14ac:dyDescent="0.6">
      <c r="B27" s="18">
        <v>16</v>
      </c>
      <c r="C27" s="49">
        <f>IFERROR(VLOOKUP(TEXT($B$3,"yyyymmdd")&amp;"_"&amp;TEXT($B27*60+C$10,"0000"),RawData!$A$2:$G$30000,5,FALSE),"")</f>
        <v>0</v>
      </c>
      <c r="D27" s="49">
        <f>IFERROR(VLOOKUP(TEXT($B$3,"yyyymmdd")&amp;"_"&amp;TEXT($B27*60+D$10,"0000"),RawData!$A$2:$G$30000,5,FALSE),"")</f>
        <v>0</v>
      </c>
      <c r="E27" s="49">
        <f>IFERROR(VLOOKUP(TEXT($B$3,"yyyymmdd")&amp;"_"&amp;TEXT($B27*60+E$10,"0000"),RawData!$A$2:$G$30000,5,FALSE),"")</f>
        <v>3.3599999999999998E-4</v>
      </c>
      <c r="F27" s="49">
        <f>IFERROR(VLOOKUP(TEXT($B$3,"yyyymmdd")&amp;"_"&amp;TEXT($B27*60+F$10,"0000"),RawData!$A$2:$G$30000,5,FALSE),"")</f>
        <v>5.1099999999999995E-4</v>
      </c>
      <c r="G27" s="49">
        <f>IFERROR(VLOOKUP(TEXT($B$3,"yyyymmdd")&amp;"_"&amp;TEXT($B27*60+G$10,"0000"),RawData!$A$2:$G$30000,5,FALSE),"")</f>
        <v>0</v>
      </c>
      <c r="H27" s="49">
        <f>IFERROR(VLOOKUP(TEXT($B$3,"yyyymmdd")&amp;"_"&amp;TEXT($B27*60+H$10,"0000"),RawData!$A$2:$G$30000,5,FALSE),"")</f>
        <v>0</v>
      </c>
      <c r="I27" s="49">
        <f>IFERROR(VLOOKUP(TEXT($B$3,"yyyymmdd")&amp;"_"&amp;TEXT($B27*60+I$10,"0000"),RawData!$A$2:$G$30000,5,FALSE),"")</f>
        <v>5.3399999999999997E-4</v>
      </c>
      <c r="J27" s="49">
        <f>IFERROR(VLOOKUP(TEXT($B$3,"yyyymmdd")&amp;"_"&amp;TEXT($B27*60+J$10,"0000"),RawData!$A$2:$G$30000,5,FALSE),"")</f>
        <v>3.57E-4</v>
      </c>
      <c r="K27" s="49">
        <f>IFERROR(VLOOKUP(TEXT($B$3,"yyyymmdd")&amp;"_"&amp;TEXT($B27*60+K$10,"0000"),RawData!$A$2:$G$30000,5,FALSE),"")</f>
        <v>0</v>
      </c>
      <c r="L27" s="49">
        <f>IFERROR(VLOOKUP(TEXT($B$3,"yyyymmdd")&amp;"_"&amp;TEXT($B27*60+L$10,"0000"),RawData!$A$2:$G$30000,5,FALSE),"")</f>
        <v>0</v>
      </c>
      <c r="M27" s="49">
        <f>IFERROR(VLOOKUP(TEXT($B$3,"yyyymmdd")&amp;"_"&amp;TEXT($B27*60+M$10,"0000"),RawData!$A$2:$G$30000,5,FALSE),"")</f>
        <v>0</v>
      </c>
      <c r="N27" s="49">
        <f>IFERROR(VLOOKUP(TEXT($B$3,"yyyymmdd")&amp;"_"&amp;TEXT($B27*60+N$10,"0000"),RawData!$A$2:$G$30000,5,FALSE),"")</f>
        <v>0</v>
      </c>
      <c r="O27" s="49">
        <f>IFERROR(VLOOKUP(TEXT($B$3,"yyyymmdd")&amp;"_"&amp;TEXT($B27*60+O$10,"0000"),RawData!$A$2:$G$30000,5,FALSE),"")</f>
        <v>0</v>
      </c>
      <c r="P27" s="49">
        <f>IFERROR(VLOOKUP(TEXT($B$3,"yyyymmdd")&amp;"_"&amp;TEXT($B27*60+P$10,"0000"),RawData!$A$2:$G$30000,5,FALSE),"")</f>
        <v>0</v>
      </c>
      <c r="Q27" s="49">
        <f>IFERROR(VLOOKUP(TEXT($B$3,"yyyymmdd")&amp;"_"&amp;TEXT($B27*60+Q$10,"0000"),RawData!$A$2:$G$30000,5,FALSE),"")</f>
        <v>3.4600000000000001E-4</v>
      </c>
      <c r="R27" s="49">
        <f>IFERROR(VLOOKUP(TEXT($B$3,"yyyymmdd")&amp;"_"&amp;TEXT($B27*60+R$10,"0000"),RawData!$A$2:$G$30000,5,FALSE),"")</f>
        <v>0</v>
      </c>
      <c r="S27" s="49">
        <f>IFERROR(VLOOKUP(TEXT($B$3,"yyyymmdd")&amp;"_"&amp;TEXT($B27*60+S$10,"0000"),RawData!$A$2:$G$30000,5,FALSE),"")</f>
        <v>0</v>
      </c>
      <c r="T27" s="49">
        <f>IFERROR(VLOOKUP(TEXT($B$3,"yyyymmdd")&amp;"_"&amp;TEXT($B27*60+T$10,"0000"),RawData!$A$2:$G$30000,5,FALSE),"")</f>
        <v>0</v>
      </c>
      <c r="U27" s="49">
        <f>IFERROR(VLOOKUP(TEXT($B$3,"yyyymmdd")&amp;"_"&amp;TEXT($B27*60+U$10,"0000"),RawData!$A$2:$G$30000,5,FALSE),"")</f>
        <v>7.4100000000000001E-4</v>
      </c>
      <c r="V27" s="49">
        <f>IFERROR(VLOOKUP(TEXT($B$3,"yyyymmdd")&amp;"_"&amp;TEXT($B27*60+V$10,"0000"),RawData!$A$2:$G$30000,5,FALSE),"")</f>
        <v>4.3199999999999998E-4</v>
      </c>
      <c r="W27" s="49">
        <f>IFERROR(VLOOKUP(TEXT($B$3,"yyyymmdd")&amp;"_"&amp;TEXT($B27*60+W$10,"0000"),RawData!$A$2:$G$30000,5,FALSE),"")</f>
        <v>3.7599999999999998E-4</v>
      </c>
      <c r="X27" s="49">
        <f>IFERROR(VLOOKUP(TEXT($B$3,"yyyymmdd")&amp;"_"&amp;TEXT($B27*60+X$10,"0000"),RawData!$A$2:$G$30000,5,FALSE),"")</f>
        <v>0</v>
      </c>
      <c r="Y27" s="49">
        <f>IFERROR(VLOOKUP(TEXT($B$3,"yyyymmdd")&amp;"_"&amp;TEXT($B27*60+Y$10,"0000"),RawData!$A$2:$G$30000,5,FALSE),"")</f>
        <v>0</v>
      </c>
      <c r="Z27" s="49">
        <f>IFERROR(VLOOKUP(TEXT($B$3,"yyyymmdd")&amp;"_"&amp;TEXT($B27*60+Z$10,"0000"),RawData!$A$2:$G$30000,5,FALSE),"")</f>
        <v>0</v>
      </c>
      <c r="AA27" s="49">
        <f>IFERROR(VLOOKUP(TEXT($B$3,"yyyymmdd")&amp;"_"&amp;TEXT($B27*60+AA$10,"0000"),RawData!$A$2:$G$30000,5,FALSE),"")</f>
        <v>0</v>
      </c>
      <c r="AB27" s="49">
        <f>IFERROR(VLOOKUP(TEXT($B$3,"yyyymmdd")&amp;"_"&amp;TEXT($B27*60+AB$10,"0000"),RawData!$A$2:$G$30000,5,FALSE),"")</f>
        <v>2.6699999999999998E-4</v>
      </c>
      <c r="AC27" s="49">
        <f>IFERROR(VLOOKUP(TEXT($B$3,"yyyymmdd")&amp;"_"&amp;TEXT($B27*60+AC$10,"0000"),RawData!$A$2:$G$30000,5,FALSE),"")</f>
        <v>0</v>
      </c>
      <c r="AD27" s="49">
        <f>IFERROR(VLOOKUP(TEXT($B$3,"yyyymmdd")&amp;"_"&amp;TEXT($B27*60+AD$10,"0000"),RawData!$A$2:$G$30000,5,FALSE),"")</f>
        <v>0</v>
      </c>
      <c r="AE27" s="49">
        <f>IFERROR(VLOOKUP(TEXT($B$3,"yyyymmdd")&amp;"_"&amp;TEXT($B27*60+AE$10,"0000"),RawData!$A$2:$G$30000,5,FALSE),"")</f>
        <v>0</v>
      </c>
      <c r="AF27" s="49">
        <f>IFERROR(VLOOKUP(TEXT($B$3,"yyyymmdd")&amp;"_"&amp;TEXT($B27*60+AF$10,"0000"),RawData!$A$2:$G$30000,5,FALSE),"")</f>
        <v>4.37E-4</v>
      </c>
      <c r="AG27" s="49">
        <f>IFERROR(VLOOKUP(TEXT($B$3,"yyyymmdd")&amp;"_"&amp;TEXT($B27*60+AG$10,"0000"),RawData!$A$2:$G$30000,5,FALSE),"")</f>
        <v>0</v>
      </c>
      <c r="AH27" s="49">
        <f>IFERROR(VLOOKUP(TEXT($B$3,"yyyymmdd")&amp;"_"&amp;TEXT($B27*60+AH$10,"0000"),RawData!$A$2:$G$30000,5,FALSE),"")</f>
        <v>0</v>
      </c>
      <c r="AI27" s="49">
        <f>IFERROR(VLOOKUP(TEXT($B$3,"yyyymmdd")&amp;"_"&amp;TEXT($B27*60+AI$10,"0000"),RawData!$A$2:$G$30000,5,FALSE),"")</f>
        <v>0</v>
      </c>
      <c r="AJ27" s="49">
        <f>IFERROR(VLOOKUP(TEXT($B$3,"yyyymmdd")&amp;"_"&amp;TEXT($B27*60+AJ$10,"0000"),RawData!$A$2:$G$30000,5,FALSE),"")</f>
        <v>5.2300000000000003E-4</v>
      </c>
      <c r="AK27" s="49">
        <f>IFERROR(VLOOKUP(TEXT($B$3,"yyyymmdd")&amp;"_"&amp;TEXT($B27*60+AK$10,"0000"),RawData!$A$2:$G$30000,5,FALSE),"")</f>
        <v>0</v>
      </c>
      <c r="AL27" s="49">
        <f>IFERROR(VLOOKUP(TEXT($B$3,"yyyymmdd")&amp;"_"&amp;TEXT($B27*60+AL$10,"0000"),RawData!$A$2:$G$30000,5,FALSE),"")</f>
        <v>0</v>
      </c>
      <c r="AM27" s="49">
        <f>IFERROR(VLOOKUP(TEXT($B$3,"yyyymmdd")&amp;"_"&amp;TEXT($B27*60+AM$10,"0000"),RawData!$A$2:$G$30000,5,FALSE),"")</f>
        <v>3.5E-4</v>
      </c>
      <c r="AN27" s="49">
        <f>IFERROR(VLOOKUP(TEXT($B$3,"yyyymmdd")&amp;"_"&amp;TEXT($B27*60+AN$10,"0000"),RawData!$A$2:$G$30000,5,FALSE),"")</f>
        <v>8.3900000000000001E-4</v>
      </c>
      <c r="AO27" s="49">
        <f>IFERROR(VLOOKUP(TEXT($B$3,"yyyymmdd")&amp;"_"&amp;TEXT($B27*60+AO$10,"0000"),RawData!$A$2:$G$30000,5,FALSE),"")</f>
        <v>2.6800000000000001E-4</v>
      </c>
      <c r="AP27" s="49">
        <f>IFERROR(VLOOKUP(TEXT($B$3,"yyyymmdd")&amp;"_"&amp;TEXT($B27*60+AP$10,"0000"),RawData!$A$2:$G$30000,5,FALSE),"")</f>
        <v>0</v>
      </c>
      <c r="AQ27" s="49">
        <f>IFERROR(VLOOKUP(TEXT($B$3,"yyyymmdd")&amp;"_"&amp;TEXT($B27*60+AQ$10,"0000"),RawData!$A$2:$G$30000,5,FALSE),"")</f>
        <v>2.7300000000000002E-4</v>
      </c>
      <c r="AR27" s="49">
        <f>IFERROR(VLOOKUP(TEXT($B$3,"yyyymmdd")&amp;"_"&amp;TEXT($B27*60+AR$10,"0000"),RawData!$A$2:$G$30000,5,FALSE),"")</f>
        <v>5.5599999999999996E-4</v>
      </c>
      <c r="AS27" s="49">
        <f>IFERROR(VLOOKUP(TEXT($B$3,"yyyymmdd")&amp;"_"&amp;TEXT($B27*60+AS$10,"0000"),RawData!$A$2:$G$30000,5,FALSE),"")</f>
        <v>3.4299999999999999E-4</v>
      </c>
      <c r="AT27" s="49">
        <f>IFERROR(VLOOKUP(TEXT($B$3,"yyyymmdd")&amp;"_"&amp;TEXT($B27*60+AT$10,"0000"),RawData!$A$2:$G$30000,5,FALSE),"")</f>
        <v>1.185937E-3</v>
      </c>
      <c r="AU27" s="49">
        <f>IFERROR(VLOOKUP(TEXT($B$3,"yyyymmdd")&amp;"_"&amp;TEXT($B27*60+AU$10,"0000"),RawData!$A$2:$G$30000,5,FALSE),"")</f>
        <v>7.2999999999999996E-4</v>
      </c>
      <c r="AV27" s="49">
        <f>IFERROR(VLOOKUP(TEXT($B$3,"yyyymmdd")&amp;"_"&amp;TEXT($B27*60+AV$10,"0000"),RawData!$A$2:$G$30000,5,FALSE),"")</f>
        <v>0</v>
      </c>
      <c r="AW27" s="49">
        <f>IFERROR(VLOOKUP(TEXT($B$3,"yyyymmdd")&amp;"_"&amp;TEXT($B27*60+AW$10,"0000"),RawData!$A$2:$G$30000,5,FALSE),"")</f>
        <v>4.4499999999999997E-4</v>
      </c>
      <c r="AX27" s="49">
        <f>IFERROR(VLOOKUP(TEXT($B$3,"yyyymmdd")&amp;"_"&amp;TEXT($B27*60+AX$10,"0000"),RawData!$A$2:$G$30000,5,FALSE),"")</f>
        <v>0</v>
      </c>
      <c r="AY27" s="49">
        <f>IFERROR(VLOOKUP(TEXT($B$3,"yyyymmdd")&amp;"_"&amp;TEXT($B27*60+AY$10,"0000"),RawData!$A$2:$G$30000,5,FALSE),"")</f>
        <v>3.7500000000000001E-4</v>
      </c>
      <c r="AZ27" s="49">
        <f>IFERROR(VLOOKUP(TEXT($B$3,"yyyymmdd")&amp;"_"&amp;TEXT($B27*60+AZ$10,"0000"),RawData!$A$2:$G$30000,5,FALSE),"")</f>
        <v>0</v>
      </c>
      <c r="BA27" s="49">
        <f>IFERROR(VLOOKUP(TEXT($B$3,"yyyymmdd")&amp;"_"&amp;TEXT($B27*60+BA$10,"0000"),RawData!$A$2:$G$30000,5,FALSE),"")</f>
        <v>6.1300000000000005E-4</v>
      </c>
      <c r="BB27" s="49">
        <f>IFERROR(VLOOKUP(TEXT($B$3,"yyyymmdd")&amp;"_"&amp;TEXT($B27*60+BB$10,"0000"),RawData!$A$2:$G$30000,5,FALSE),"")</f>
        <v>6.1600000000000001E-4</v>
      </c>
      <c r="BC27" s="49">
        <f>IFERROR(VLOOKUP(TEXT($B$3,"yyyymmdd")&amp;"_"&amp;TEXT($B27*60+BC$10,"0000"),RawData!$A$2:$G$30000,5,FALSE),"")</f>
        <v>2.6899999999999998E-4</v>
      </c>
      <c r="BD27" s="49">
        <f>IFERROR(VLOOKUP(TEXT($B$3,"yyyymmdd")&amp;"_"&amp;TEXT($B27*60+BD$10,"0000"),RawData!$A$2:$G$30000,5,FALSE),"")</f>
        <v>0</v>
      </c>
      <c r="BE27" s="49">
        <f>IFERROR(VLOOKUP(TEXT($B$3,"yyyymmdd")&amp;"_"&amp;TEXT($B27*60+BE$10,"0000"),RawData!$A$2:$G$30000,5,FALSE),"")</f>
        <v>0</v>
      </c>
      <c r="BF27" s="49">
        <f>IFERROR(VLOOKUP(TEXT($B$3,"yyyymmdd")&amp;"_"&amp;TEXT($B27*60+BF$10,"0000"),RawData!$A$2:$G$30000,5,FALSE),"")</f>
        <v>0</v>
      </c>
      <c r="BG27" s="49">
        <f>IFERROR(VLOOKUP(TEXT($B$3,"yyyymmdd")&amp;"_"&amp;TEXT($B27*60+BG$10,"0000"),RawData!$A$2:$G$30000,5,FALSE),"")</f>
        <v>2.2499999999999999E-4</v>
      </c>
      <c r="BH27" s="49">
        <f>IFERROR(VLOOKUP(TEXT($B$3,"yyyymmdd")&amp;"_"&amp;TEXT($B27*60+BH$10,"0000"),RawData!$A$2:$G$30000,5,FALSE),"")</f>
        <v>0</v>
      </c>
      <c r="BI27" s="49">
        <f>IFERROR(VLOOKUP(TEXT($B$3,"yyyymmdd")&amp;"_"&amp;TEXT($B27*60+BI$10,"0000"),RawData!$A$2:$G$30000,5,FALSE),"")</f>
        <v>0</v>
      </c>
      <c r="BJ27" s="49">
        <f>IFERROR(VLOOKUP(TEXT($B$3,"yyyymmdd")&amp;"_"&amp;TEXT($B27*60+BJ$10,"0000"),RawData!$A$2:$G$30000,5,FALSE),"")</f>
        <v>0</v>
      </c>
      <c r="BK27" s="4" t="str">
        <f>IFERROR(VLOOKUP(TEXT($B$3,"yyyymmdd")&amp;"_"&amp;TEXT(16,"0000"),RawData!$A$2:$F$1441,4,FALSE),"")</f>
        <v>01</v>
      </c>
      <c r="BL27" s="19">
        <f>TIME(0,0,0)+16/1440</f>
        <v>1.1111111111111112E-2</v>
      </c>
      <c r="BM27" s="4">
        <f>IFERROR(VLOOKUP(TEXT($B$3,"yyyymmdd")&amp;"_"&amp;TEXT(16,"0000"),RawData!$A$2:$F$1441,5,FALSE),"")</f>
        <v>0</v>
      </c>
      <c r="BN27" s="4">
        <f t="shared" si="0"/>
        <v>0</v>
      </c>
    </row>
    <row r="28" spans="1:66" ht="18.399999999999999" customHeight="1" x14ac:dyDescent="0.6">
      <c r="B28" s="18">
        <v>17</v>
      </c>
      <c r="C28" s="49">
        <f>IFERROR(VLOOKUP(TEXT($B$3,"yyyymmdd")&amp;"_"&amp;TEXT($B28*60+C$10,"0000"),RawData!$A$2:$G$30000,5,FALSE),"")</f>
        <v>7.5600000000000005E-4</v>
      </c>
      <c r="D28" s="49">
        <f>IFERROR(VLOOKUP(TEXT($B$3,"yyyymmdd")&amp;"_"&amp;TEXT($B28*60+D$10,"0000"),RawData!$A$2:$G$30000,5,FALSE),"")</f>
        <v>4.4099999999999999E-4</v>
      </c>
      <c r="E28" s="49">
        <f>IFERROR(VLOOKUP(TEXT($B$3,"yyyymmdd")&amp;"_"&amp;TEXT($B28*60+E$10,"0000"),RawData!$A$2:$G$30000,5,FALSE),"")</f>
        <v>0</v>
      </c>
      <c r="F28" s="49">
        <f>IFERROR(VLOOKUP(TEXT($B$3,"yyyymmdd")&amp;"_"&amp;TEXT($B28*60+F$10,"0000"),RawData!$A$2:$G$30000,5,FALSE),"")</f>
        <v>0</v>
      </c>
      <c r="G28" s="49">
        <f>IFERROR(VLOOKUP(TEXT($B$3,"yyyymmdd")&amp;"_"&amp;TEXT($B28*60+G$10,"0000"),RawData!$A$2:$G$30000,5,FALSE),"")</f>
        <v>0</v>
      </c>
      <c r="H28" s="49">
        <f>IFERROR(VLOOKUP(TEXT($B$3,"yyyymmdd")&amp;"_"&amp;TEXT($B28*60+H$10,"0000"),RawData!$A$2:$G$30000,5,FALSE),"")</f>
        <v>0</v>
      </c>
      <c r="I28" s="49">
        <f>IFERROR(VLOOKUP(TEXT($B$3,"yyyymmdd")&amp;"_"&amp;TEXT($B28*60+I$10,"0000"),RawData!$A$2:$G$30000,5,FALSE),"")</f>
        <v>0</v>
      </c>
      <c r="J28" s="49">
        <f>IFERROR(VLOOKUP(TEXT($B$3,"yyyymmdd")&amp;"_"&amp;TEXT($B28*60+J$10,"0000"),RawData!$A$2:$G$30000,5,FALSE),"")</f>
        <v>2.3800000000000001E-4</v>
      </c>
      <c r="K28" s="49">
        <f>IFERROR(VLOOKUP(TEXT($B$3,"yyyymmdd")&amp;"_"&amp;TEXT($B28*60+K$10,"0000"),RawData!$A$2:$G$30000,5,FALSE),"")</f>
        <v>0</v>
      </c>
      <c r="L28" s="49">
        <f>IFERROR(VLOOKUP(TEXT($B$3,"yyyymmdd")&amp;"_"&amp;TEXT($B28*60+L$10,"0000"),RawData!$A$2:$G$30000,5,FALSE),"")</f>
        <v>0</v>
      </c>
      <c r="M28" s="49">
        <f>IFERROR(VLOOKUP(TEXT($B$3,"yyyymmdd")&amp;"_"&amp;TEXT($B28*60+M$10,"0000"),RawData!$A$2:$G$30000,5,FALSE),"")</f>
        <v>5.7700000000000004E-4</v>
      </c>
      <c r="N28" s="49">
        <f>IFERROR(VLOOKUP(TEXT($B$3,"yyyymmdd")&amp;"_"&amp;TEXT($B28*60+N$10,"0000"),RawData!$A$2:$G$30000,5,FALSE),"")</f>
        <v>3.2899999999999997E-4</v>
      </c>
      <c r="O28" s="49">
        <f>IFERROR(VLOOKUP(TEXT($B$3,"yyyymmdd")&amp;"_"&amp;TEXT($B28*60+O$10,"0000"),RawData!$A$2:$G$30000,5,FALSE),"")</f>
        <v>0</v>
      </c>
      <c r="P28" s="49">
        <f>IFERROR(VLOOKUP(TEXT($B$3,"yyyymmdd")&amp;"_"&amp;TEXT($B28*60+P$10,"0000"),RawData!$A$2:$G$30000,5,FALSE),"")</f>
        <v>0</v>
      </c>
      <c r="Q28" s="49">
        <f>IFERROR(VLOOKUP(TEXT($B$3,"yyyymmdd")&amp;"_"&amp;TEXT($B28*60+Q$10,"0000"),RawData!$A$2:$G$30000,5,FALSE),"")</f>
        <v>4.4799999999999999E-4</v>
      </c>
      <c r="R28" s="49">
        <f>IFERROR(VLOOKUP(TEXT($B$3,"yyyymmdd")&amp;"_"&amp;TEXT($B28*60+R$10,"0000"),RawData!$A$2:$G$30000,5,FALSE),"")</f>
        <v>0</v>
      </c>
      <c r="S28" s="49">
        <f>IFERROR(VLOOKUP(TEXT($B$3,"yyyymmdd")&amp;"_"&amp;TEXT($B28*60+S$10,"0000"),RawData!$A$2:$G$30000,5,FALSE),"")</f>
        <v>0</v>
      </c>
      <c r="T28" s="49">
        <f>IFERROR(VLOOKUP(TEXT($B$3,"yyyymmdd")&amp;"_"&amp;TEXT($B28*60+T$10,"0000"),RawData!$A$2:$G$30000,5,FALSE),"")</f>
        <v>0</v>
      </c>
      <c r="U28" s="49">
        <f>IFERROR(VLOOKUP(TEXT($B$3,"yyyymmdd")&amp;"_"&amp;TEXT($B28*60+U$10,"0000"),RawData!$A$2:$G$30000,5,FALSE),"")</f>
        <v>0</v>
      </c>
      <c r="V28" s="49">
        <f>IFERROR(VLOOKUP(TEXT($B$3,"yyyymmdd")&amp;"_"&amp;TEXT($B28*60+V$10,"0000"),RawData!$A$2:$G$30000,5,FALSE),"")</f>
        <v>0</v>
      </c>
      <c r="W28" s="49">
        <f>IFERROR(VLOOKUP(TEXT($B$3,"yyyymmdd")&amp;"_"&amp;TEXT($B28*60+W$10,"0000"),RawData!$A$2:$G$30000,5,FALSE),"")</f>
        <v>5.2700000000000002E-4</v>
      </c>
      <c r="X28" s="49">
        <f>IFERROR(VLOOKUP(TEXT($B$3,"yyyymmdd")&amp;"_"&amp;TEXT($B28*60+X$10,"0000"),RawData!$A$2:$G$30000,5,FALSE),"")</f>
        <v>0</v>
      </c>
      <c r="Y28" s="49">
        <f>IFERROR(VLOOKUP(TEXT($B$3,"yyyymmdd")&amp;"_"&amp;TEXT($B28*60+Y$10,"0000"),RawData!$A$2:$G$30000,5,FALSE),"")</f>
        <v>0</v>
      </c>
      <c r="Z28" s="49">
        <f>IFERROR(VLOOKUP(TEXT($B$3,"yyyymmdd")&amp;"_"&amp;TEXT($B28*60+Z$10,"0000"),RawData!$A$2:$G$30000,5,FALSE),"")</f>
        <v>5.1000000000000004E-4</v>
      </c>
      <c r="AA28" s="49">
        <f>IFERROR(VLOOKUP(TEXT($B$3,"yyyymmdd")&amp;"_"&amp;TEXT($B28*60+AA$10,"0000"),RawData!$A$2:$G$30000,5,FALSE),"")</f>
        <v>2.61E-4</v>
      </c>
      <c r="AB28" s="49">
        <f>IFERROR(VLOOKUP(TEXT($B$3,"yyyymmdd")&amp;"_"&amp;TEXT($B28*60+AB$10,"0000"),RawData!$A$2:$G$30000,5,FALSE),"")</f>
        <v>0</v>
      </c>
      <c r="AC28" s="49">
        <f>IFERROR(VLOOKUP(TEXT($B$3,"yyyymmdd")&amp;"_"&amp;TEXT($B28*60+AC$10,"0000"),RawData!$A$2:$G$30000,5,FALSE),"")</f>
        <v>3.9100000000000002E-4</v>
      </c>
      <c r="AD28" s="49">
        <f>IFERROR(VLOOKUP(TEXT($B$3,"yyyymmdd")&amp;"_"&amp;TEXT($B28*60+AD$10,"0000"),RawData!$A$2:$G$30000,5,FALSE),"")</f>
        <v>3.5300000000000002E-4</v>
      </c>
      <c r="AE28" s="49">
        <f>IFERROR(VLOOKUP(TEXT($B$3,"yyyymmdd")&amp;"_"&amp;TEXT($B28*60+AE$10,"0000"),RawData!$A$2:$G$30000,5,FALSE),"")</f>
        <v>0</v>
      </c>
      <c r="AF28" s="49">
        <f>IFERROR(VLOOKUP(TEXT($B$3,"yyyymmdd")&amp;"_"&amp;TEXT($B28*60+AF$10,"0000"),RawData!$A$2:$G$30000,5,FALSE),"")</f>
        <v>0</v>
      </c>
      <c r="AG28" s="49">
        <f>IFERROR(VLOOKUP(TEXT($B$3,"yyyymmdd")&amp;"_"&amp;TEXT($B28*60+AG$10,"0000"),RawData!$A$2:$G$30000,5,FALSE),"")</f>
        <v>3.3E-4</v>
      </c>
      <c r="AH28" s="49">
        <f>IFERROR(VLOOKUP(TEXT($B$3,"yyyymmdd")&amp;"_"&amp;TEXT($B28*60+AH$10,"0000"),RawData!$A$2:$G$30000,5,FALSE),"")</f>
        <v>0</v>
      </c>
      <c r="AI28" s="49">
        <f>IFERROR(VLOOKUP(TEXT($B$3,"yyyymmdd")&amp;"_"&amp;TEXT($B28*60+AI$10,"0000"),RawData!$A$2:$G$30000,5,FALSE),"")</f>
        <v>4.4799999999999999E-4</v>
      </c>
      <c r="AJ28" s="49">
        <f>IFERROR(VLOOKUP(TEXT($B$3,"yyyymmdd")&amp;"_"&amp;TEXT($B28*60+AJ$10,"0000"),RawData!$A$2:$G$30000,5,FALSE),"")</f>
        <v>7.1699999999999997E-4</v>
      </c>
      <c r="AK28" s="49">
        <f>IFERROR(VLOOKUP(TEXT($B$3,"yyyymmdd")&amp;"_"&amp;TEXT($B28*60+AK$10,"0000"),RawData!$A$2:$G$30000,5,FALSE),"")</f>
        <v>0</v>
      </c>
      <c r="AL28" s="49">
        <f>IFERROR(VLOOKUP(TEXT($B$3,"yyyymmdd")&amp;"_"&amp;TEXT($B28*60+AL$10,"0000"),RawData!$A$2:$G$30000,5,FALSE),"")</f>
        <v>0</v>
      </c>
      <c r="AM28" s="49">
        <f>IFERROR(VLOOKUP(TEXT($B$3,"yyyymmdd")&amp;"_"&amp;TEXT($B28*60+AM$10,"0000"),RawData!$A$2:$G$30000,5,FALSE),"")</f>
        <v>3.4200000000000002E-4</v>
      </c>
      <c r="AN28" s="49">
        <f>IFERROR(VLOOKUP(TEXT($B$3,"yyyymmdd")&amp;"_"&amp;TEXT($B28*60+AN$10,"0000"),RawData!$A$2:$G$30000,5,FALSE),"")</f>
        <v>2.7599999999999999E-4</v>
      </c>
      <c r="AO28" s="49">
        <f>IFERROR(VLOOKUP(TEXT($B$3,"yyyymmdd")&amp;"_"&amp;TEXT($B28*60+AO$10,"0000"),RawData!$A$2:$G$30000,5,FALSE),"")</f>
        <v>0</v>
      </c>
      <c r="AP28" s="49">
        <f>IFERROR(VLOOKUP(TEXT($B$3,"yyyymmdd")&amp;"_"&amp;TEXT($B28*60+AP$10,"0000"),RawData!$A$2:$G$30000,5,FALSE),"")</f>
        <v>3.4600000000000001E-4</v>
      </c>
      <c r="AQ28" s="49">
        <f>IFERROR(VLOOKUP(TEXT($B$3,"yyyymmdd")&amp;"_"&amp;TEXT($B28*60+AQ$10,"0000"),RawData!$A$2:$G$30000,5,FALSE),"")</f>
        <v>4.5100000000000001E-4</v>
      </c>
      <c r="AR28" s="49">
        <f>IFERROR(VLOOKUP(TEXT($B$3,"yyyymmdd")&amp;"_"&amp;TEXT($B28*60+AR$10,"0000"),RawData!$A$2:$G$30000,5,FALSE),"")</f>
        <v>2.9500000000000001E-4</v>
      </c>
      <c r="AS28" s="49">
        <f>IFERROR(VLOOKUP(TEXT($B$3,"yyyymmdd")&amp;"_"&amp;TEXT($B28*60+AS$10,"0000"),RawData!$A$2:$G$30000,5,FALSE),"")</f>
        <v>0</v>
      </c>
      <c r="AT28" s="49">
        <f>IFERROR(VLOOKUP(TEXT($B$3,"yyyymmdd")&amp;"_"&amp;TEXT($B28*60+AT$10,"0000"),RawData!$A$2:$G$30000,5,FALSE),"")</f>
        <v>0</v>
      </c>
      <c r="AU28" s="49">
        <f>IFERROR(VLOOKUP(TEXT($B$3,"yyyymmdd")&amp;"_"&amp;TEXT($B28*60+AU$10,"0000"),RawData!$A$2:$G$30000,5,FALSE),"")</f>
        <v>6.2E-4</v>
      </c>
      <c r="AV28" s="49">
        <f>IFERROR(VLOOKUP(TEXT($B$3,"yyyymmdd")&amp;"_"&amp;TEXT($B28*60+AV$10,"0000"),RawData!$A$2:$G$30000,5,FALSE),"")</f>
        <v>4.6500000000000003E-4</v>
      </c>
      <c r="AW28" s="49">
        <f>IFERROR(VLOOKUP(TEXT($B$3,"yyyymmdd")&amp;"_"&amp;TEXT($B28*60+AW$10,"0000"),RawData!$A$2:$G$30000,5,FALSE),"")</f>
        <v>3.5E-4</v>
      </c>
      <c r="AX28" s="49">
        <f>IFERROR(VLOOKUP(TEXT($B$3,"yyyymmdd")&amp;"_"&amp;TEXT($B28*60+AX$10,"0000"),RawData!$A$2:$G$30000,5,FALSE),"")</f>
        <v>2.3000000000000001E-4</v>
      </c>
      <c r="AY28" s="49">
        <f>IFERROR(VLOOKUP(TEXT($B$3,"yyyymmdd")&amp;"_"&amp;TEXT($B28*60+AY$10,"0000"),RawData!$A$2:$G$30000,5,FALSE),"")</f>
        <v>0</v>
      </c>
      <c r="AZ28" s="49">
        <f>IFERROR(VLOOKUP(TEXT($B$3,"yyyymmdd")&amp;"_"&amp;TEXT($B28*60+AZ$10,"0000"),RawData!$A$2:$G$30000,5,FALSE),"")</f>
        <v>6.6799999999999997E-4</v>
      </c>
      <c r="BA28" s="49">
        <f>IFERROR(VLOOKUP(TEXT($B$3,"yyyymmdd")&amp;"_"&amp;TEXT($B28*60+BA$10,"0000"),RawData!$A$2:$G$30000,5,FALSE),"")</f>
        <v>0</v>
      </c>
      <c r="BB28" s="49">
        <f>IFERROR(VLOOKUP(TEXT($B$3,"yyyymmdd")&amp;"_"&amp;TEXT($B28*60+BB$10,"0000"),RawData!$A$2:$G$30000,5,FALSE),"")</f>
        <v>5.2400000000000005E-4</v>
      </c>
      <c r="BC28" s="49">
        <f>IFERROR(VLOOKUP(TEXT($B$3,"yyyymmdd")&amp;"_"&amp;TEXT($B28*60+BC$10,"0000"),RawData!$A$2:$G$30000,5,FALSE),"")</f>
        <v>0</v>
      </c>
      <c r="BD28" s="49">
        <f>IFERROR(VLOOKUP(TEXT($B$3,"yyyymmdd")&amp;"_"&amp;TEXT($B28*60+BD$10,"0000"),RawData!$A$2:$G$30000,5,FALSE),"")</f>
        <v>4.86E-4</v>
      </c>
      <c r="BE28" s="49">
        <f>IFERROR(VLOOKUP(TEXT($B$3,"yyyymmdd")&amp;"_"&amp;TEXT($B28*60+BE$10,"0000"),RawData!$A$2:$G$30000,5,FALSE),"")</f>
        <v>2.5900000000000001E-4</v>
      </c>
      <c r="BF28" s="49">
        <f>IFERROR(VLOOKUP(TEXT($B$3,"yyyymmdd")&amp;"_"&amp;TEXT($B28*60+BF$10,"0000"),RawData!$A$2:$G$30000,5,FALSE),"")</f>
        <v>0</v>
      </c>
      <c r="BG28" s="49">
        <f>IFERROR(VLOOKUP(TEXT($B$3,"yyyymmdd")&amp;"_"&amp;TEXT($B28*60+BG$10,"0000"),RawData!$A$2:$G$30000,5,FALSE),"")</f>
        <v>0</v>
      </c>
      <c r="BH28" s="49">
        <f>IFERROR(VLOOKUP(TEXT($B$3,"yyyymmdd")&amp;"_"&amp;TEXT($B28*60+BH$10,"0000"),RawData!$A$2:$G$30000,5,FALSE),"")</f>
        <v>0</v>
      </c>
      <c r="BI28" s="49">
        <f>IFERROR(VLOOKUP(TEXT($B$3,"yyyymmdd")&amp;"_"&amp;TEXT($B28*60+BI$10,"0000"),RawData!$A$2:$G$30000,5,FALSE),"")</f>
        <v>3.6000000000000002E-4</v>
      </c>
      <c r="BJ28" s="49">
        <f>IFERROR(VLOOKUP(TEXT($B$3,"yyyymmdd")&amp;"_"&amp;TEXT($B28*60+BJ$10,"0000"),RawData!$A$2:$G$30000,5,FALSE),"")</f>
        <v>4.9799999999999996E-4</v>
      </c>
      <c r="BK28" s="4" t="str">
        <f>IFERROR(VLOOKUP(TEXT($B$3,"yyyymmdd")&amp;"_"&amp;TEXT(17,"0000"),RawData!$A$2:$F$1441,4,FALSE),"")</f>
        <v>01</v>
      </c>
      <c r="BL28" s="19">
        <f>TIME(0,0,0)+17/1440</f>
        <v>1.1805555555555555E-2</v>
      </c>
      <c r="BM28" s="4">
        <f>IFERROR(VLOOKUP(TEXT($B$3,"yyyymmdd")&amp;"_"&amp;TEXT(17,"0000"),RawData!$A$2:$F$1441,5,FALSE),"")</f>
        <v>0</v>
      </c>
      <c r="BN28" s="4">
        <f t="shared" si="0"/>
        <v>0</v>
      </c>
    </row>
    <row r="29" spans="1:66" ht="18.399999999999999" customHeight="1" x14ac:dyDescent="0.6">
      <c r="B29" s="18">
        <v>18</v>
      </c>
      <c r="C29" s="49">
        <f>IFERROR(VLOOKUP(TEXT($B$3,"yyyymmdd")&amp;"_"&amp;TEXT($B29*60+C$10,"0000"),RawData!$A$2:$G$30000,5,FALSE),"")</f>
        <v>0</v>
      </c>
      <c r="D29" s="49">
        <f>IFERROR(VLOOKUP(TEXT($B$3,"yyyymmdd")&amp;"_"&amp;TEXT($B29*60+D$10,"0000"),RawData!$A$2:$G$30000,5,FALSE),"")</f>
        <v>4.7800000000000002E-4</v>
      </c>
      <c r="E29" s="49">
        <f>IFERROR(VLOOKUP(TEXT($B$3,"yyyymmdd")&amp;"_"&amp;TEXT($B29*60+E$10,"0000"),RawData!$A$2:$G$30000,5,FALSE),"")</f>
        <v>0</v>
      </c>
      <c r="F29" s="49">
        <f>IFERROR(VLOOKUP(TEXT($B$3,"yyyymmdd")&amp;"_"&amp;TEXT($B29*60+F$10,"0000"),RawData!$A$2:$G$30000,5,FALSE),"")</f>
        <v>0</v>
      </c>
      <c r="G29" s="49">
        <f>IFERROR(VLOOKUP(TEXT($B$3,"yyyymmdd")&amp;"_"&amp;TEXT($B29*60+G$10,"0000"),RawData!$A$2:$G$30000,5,FALSE),"")</f>
        <v>3.4299999999999999E-4</v>
      </c>
      <c r="H29" s="49">
        <f>IFERROR(VLOOKUP(TEXT($B$3,"yyyymmdd")&amp;"_"&amp;TEXT($B29*60+H$10,"0000"),RawData!$A$2:$G$30000,5,FALSE),"")</f>
        <v>3.9100000000000002E-4</v>
      </c>
      <c r="I29" s="49">
        <f>IFERROR(VLOOKUP(TEXT($B$3,"yyyymmdd")&amp;"_"&amp;TEXT($B29*60+I$10,"0000"),RawData!$A$2:$G$30000,5,FALSE),"")</f>
        <v>0</v>
      </c>
      <c r="J29" s="49">
        <f>IFERROR(VLOOKUP(TEXT($B$3,"yyyymmdd")&amp;"_"&amp;TEXT($B29*60+J$10,"0000"),RawData!$A$2:$G$30000,5,FALSE),"")</f>
        <v>8.9899999999999995E-4</v>
      </c>
      <c r="K29" s="49">
        <f>IFERROR(VLOOKUP(TEXT($B$3,"yyyymmdd")&amp;"_"&amp;TEXT($B29*60+K$10,"0000"),RawData!$A$2:$G$30000,5,FALSE),"")</f>
        <v>5.53E-4</v>
      </c>
      <c r="L29" s="49">
        <f>IFERROR(VLOOKUP(TEXT($B$3,"yyyymmdd")&amp;"_"&amp;TEXT($B29*60+L$10,"0000"),RawData!$A$2:$G$30000,5,FALSE),"")</f>
        <v>4.4099999999999999E-4</v>
      </c>
      <c r="M29" s="49">
        <f>IFERROR(VLOOKUP(TEXT($B$3,"yyyymmdd")&amp;"_"&amp;TEXT($B29*60+M$10,"0000"),RawData!$A$2:$G$30000,5,FALSE),"")</f>
        <v>0</v>
      </c>
      <c r="N29" s="49">
        <f>IFERROR(VLOOKUP(TEXT($B$3,"yyyymmdd")&amp;"_"&amp;TEXT($B29*60+N$10,"0000"),RawData!$A$2:$G$30000,5,FALSE),"")</f>
        <v>6.2699999999999995E-4</v>
      </c>
      <c r="O29" s="49">
        <f>IFERROR(VLOOKUP(TEXT($B$3,"yyyymmdd")&amp;"_"&amp;TEXT($B29*60+O$10,"0000"),RawData!$A$2:$G$30000,5,FALSE),"")</f>
        <v>7.2400000000000003E-4</v>
      </c>
      <c r="P29" s="49">
        <f>IFERROR(VLOOKUP(TEXT($B$3,"yyyymmdd")&amp;"_"&amp;TEXT($B29*60+P$10,"0000"),RawData!$A$2:$G$30000,5,FALSE),"")</f>
        <v>0</v>
      </c>
      <c r="Q29" s="49">
        <f>IFERROR(VLOOKUP(TEXT($B$3,"yyyymmdd")&amp;"_"&amp;TEXT($B29*60+Q$10,"0000"),RawData!$A$2:$G$30000,5,FALSE),"")</f>
        <v>0</v>
      </c>
      <c r="R29" s="49">
        <f>IFERROR(VLOOKUP(TEXT($B$3,"yyyymmdd")&amp;"_"&amp;TEXT($B29*60+R$10,"0000"),RawData!$A$2:$G$30000,5,FALSE),"")</f>
        <v>0</v>
      </c>
      <c r="S29" s="49">
        <f>IFERROR(VLOOKUP(TEXT($B$3,"yyyymmdd")&amp;"_"&amp;TEXT($B29*60+S$10,"0000"),RawData!$A$2:$G$30000,5,FALSE),"")</f>
        <v>2.2699999999999999E-4</v>
      </c>
      <c r="T29" s="49">
        <f>IFERROR(VLOOKUP(TEXT($B$3,"yyyymmdd")&amp;"_"&amp;TEXT($B29*60+T$10,"0000"),RawData!$A$2:$G$30000,5,FALSE),"")</f>
        <v>3.5E-4</v>
      </c>
      <c r="U29" s="49">
        <f>IFERROR(VLOOKUP(TEXT($B$3,"yyyymmdd")&amp;"_"&amp;TEXT($B29*60+U$10,"0000"),RawData!$A$2:$G$30000,5,FALSE),"")</f>
        <v>0</v>
      </c>
      <c r="V29" s="49">
        <f>IFERROR(VLOOKUP(TEXT($B$3,"yyyymmdd")&amp;"_"&amp;TEXT($B29*60+V$10,"0000"),RawData!$A$2:$G$30000,5,FALSE),"")</f>
        <v>0</v>
      </c>
      <c r="W29" s="49">
        <f>IFERROR(VLOOKUP(TEXT($B$3,"yyyymmdd")&amp;"_"&amp;TEXT($B29*60+W$10,"0000"),RawData!$A$2:$G$30000,5,FALSE),"")</f>
        <v>0</v>
      </c>
      <c r="X29" s="49">
        <f>IFERROR(VLOOKUP(TEXT($B$3,"yyyymmdd")&amp;"_"&amp;TEXT($B29*60+X$10,"0000"),RawData!$A$2:$G$30000,5,FALSE),"")</f>
        <v>0</v>
      </c>
      <c r="Y29" s="49">
        <f>IFERROR(VLOOKUP(TEXT($B$3,"yyyymmdd")&amp;"_"&amp;TEXT($B29*60+Y$10,"0000"),RawData!$A$2:$G$30000,5,FALSE),"")</f>
        <v>0</v>
      </c>
      <c r="Z29" s="49">
        <f>IFERROR(VLOOKUP(TEXT($B$3,"yyyymmdd")&amp;"_"&amp;TEXT($B29*60+Z$10,"0000"),RawData!$A$2:$G$30000,5,FALSE),"")</f>
        <v>0</v>
      </c>
      <c r="AA29" s="49">
        <f>IFERROR(VLOOKUP(TEXT($B$3,"yyyymmdd")&amp;"_"&amp;TEXT($B29*60+AA$10,"0000"),RawData!$A$2:$G$30000,5,FALSE),"")</f>
        <v>3.6999999999999999E-4</v>
      </c>
      <c r="AB29" s="49">
        <f>IFERROR(VLOOKUP(TEXT($B$3,"yyyymmdd")&amp;"_"&amp;TEXT($B29*60+AB$10,"0000"),RawData!$A$2:$G$30000,5,FALSE),"")</f>
        <v>4.37E-4</v>
      </c>
      <c r="AC29" s="49">
        <f>IFERROR(VLOOKUP(TEXT($B$3,"yyyymmdd")&amp;"_"&amp;TEXT($B29*60+AC$10,"0000"),RawData!$A$2:$G$30000,5,FALSE),"")</f>
        <v>2.9399999999999999E-4</v>
      </c>
      <c r="AD29" s="49">
        <f>IFERROR(VLOOKUP(TEXT($B$3,"yyyymmdd")&amp;"_"&amp;TEXT($B29*60+AD$10,"0000"),RawData!$A$2:$G$30000,5,FALSE),"")</f>
        <v>0</v>
      </c>
      <c r="AE29" s="49">
        <f>IFERROR(VLOOKUP(TEXT($B$3,"yyyymmdd")&amp;"_"&amp;TEXT($B29*60+AE$10,"0000"),RawData!$A$2:$G$30000,5,FALSE),"")</f>
        <v>0</v>
      </c>
      <c r="AF29" s="49">
        <f>IFERROR(VLOOKUP(TEXT($B$3,"yyyymmdd")&amp;"_"&amp;TEXT($B29*60+AF$10,"0000"),RawData!$A$2:$G$30000,5,FALSE),"")</f>
        <v>2.5599999999999999E-4</v>
      </c>
      <c r="AG29" s="49">
        <f>IFERROR(VLOOKUP(TEXT($B$3,"yyyymmdd")&amp;"_"&amp;TEXT($B29*60+AG$10,"0000"),RawData!$A$2:$G$30000,5,FALSE),"")</f>
        <v>1.3999999999999999E-4</v>
      </c>
      <c r="AH29" s="49">
        <f>IFERROR(VLOOKUP(TEXT($B$3,"yyyymmdd")&amp;"_"&amp;TEXT($B29*60+AH$10,"0000"),RawData!$A$2:$G$30000,5,FALSE),"")</f>
        <v>3.5799999999999997E-4</v>
      </c>
      <c r="AI29" s="49">
        <f>IFERROR(VLOOKUP(TEXT($B$3,"yyyymmdd")&amp;"_"&amp;TEXT($B29*60+AI$10,"0000"),RawData!$A$2:$G$30000,5,FALSE),"")</f>
        <v>5.2499999999999997E-4</v>
      </c>
      <c r="AJ29" s="49">
        <f>IFERROR(VLOOKUP(TEXT($B$3,"yyyymmdd")&amp;"_"&amp;TEXT($B29*60+AJ$10,"0000"),RawData!$A$2:$G$30000,5,FALSE),"")</f>
        <v>4.35E-4</v>
      </c>
      <c r="AK29" s="49">
        <f>IFERROR(VLOOKUP(TEXT($B$3,"yyyymmdd")&amp;"_"&amp;TEXT($B29*60+AK$10,"0000"),RawData!$A$2:$G$30000,5,FALSE),"")</f>
        <v>0</v>
      </c>
      <c r="AL29" s="49">
        <f>IFERROR(VLOOKUP(TEXT($B$3,"yyyymmdd")&amp;"_"&amp;TEXT($B29*60+AL$10,"0000"),RawData!$A$2:$G$30000,5,FALSE),"")</f>
        <v>5.3300000000000005E-4</v>
      </c>
      <c r="AM29" s="49">
        <f>IFERROR(VLOOKUP(TEXT($B$3,"yyyymmdd")&amp;"_"&amp;TEXT($B29*60+AM$10,"0000"),RawData!$A$2:$G$30000,5,FALSE),"")</f>
        <v>2.7700000000000001E-4</v>
      </c>
      <c r="AN29" s="49">
        <f>IFERROR(VLOOKUP(TEXT($B$3,"yyyymmdd")&amp;"_"&amp;TEXT($B29*60+AN$10,"0000"),RawData!$A$2:$G$30000,5,FALSE),"")</f>
        <v>5.1999999999999995E-4</v>
      </c>
      <c r="AO29" s="49">
        <f>IFERROR(VLOOKUP(TEXT($B$3,"yyyymmdd")&amp;"_"&amp;TEXT($B29*60+AO$10,"0000"),RawData!$A$2:$G$30000,5,FALSE),"")</f>
        <v>5.4100000000000003E-4</v>
      </c>
      <c r="AP29" s="49">
        <f>IFERROR(VLOOKUP(TEXT($B$3,"yyyymmdd")&amp;"_"&amp;TEXT($B29*60+AP$10,"0000"),RawData!$A$2:$G$30000,5,FALSE),"")</f>
        <v>7.5100000000000004E-4</v>
      </c>
      <c r="AQ29" s="49">
        <f>IFERROR(VLOOKUP(TEXT($B$3,"yyyymmdd")&amp;"_"&amp;TEXT($B29*60+AQ$10,"0000"),RawData!$A$2:$G$30000,5,FALSE),"")</f>
        <v>0</v>
      </c>
      <c r="AR29" s="49">
        <f>IFERROR(VLOOKUP(TEXT($B$3,"yyyymmdd")&amp;"_"&amp;TEXT($B29*60+AR$10,"0000"),RawData!$A$2:$G$30000,5,FALSE),"")</f>
        <v>5.1800000000000001E-4</v>
      </c>
      <c r="AS29" s="49">
        <f>IFERROR(VLOOKUP(TEXT($B$3,"yyyymmdd")&amp;"_"&amp;TEXT($B29*60+AS$10,"0000"),RawData!$A$2:$G$30000,5,FALSE),"")</f>
        <v>5.8600000000000004E-4</v>
      </c>
      <c r="AT29" s="49">
        <f>IFERROR(VLOOKUP(TEXT($B$3,"yyyymmdd")&amp;"_"&amp;TEXT($B29*60+AT$10,"0000"),RawData!$A$2:$G$30000,5,FALSE),"")</f>
        <v>2.7500000000000002E-4</v>
      </c>
      <c r="AU29" s="49">
        <f>IFERROR(VLOOKUP(TEXT($B$3,"yyyymmdd")&amp;"_"&amp;TEXT($B29*60+AU$10,"0000"),RawData!$A$2:$G$30000,5,FALSE),"")</f>
        <v>0</v>
      </c>
      <c r="AV29" s="49">
        <f>IFERROR(VLOOKUP(TEXT($B$3,"yyyymmdd")&amp;"_"&amp;TEXT($B29*60+AV$10,"0000"),RawData!$A$2:$G$30000,5,FALSE),"")</f>
        <v>0</v>
      </c>
      <c r="AW29" s="49">
        <f>IFERROR(VLOOKUP(TEXT($B$3,"yyyymmdd")&amp;"_"&amp;TEXT($B29*60+AW$10,"0000"),RawData!$A$2:$G$30000,5,FALSE),"")</f>
        <v>0</v>
      </c>
      <c r="AX29" s="49">
        <f>IFERROR(VLOOKUP(TEXT($B$3,"yyyymmdd")&amp;"_"&amp;TEXT($B29*60+AX$10,"0000"),RawData!$A$2:$G$30000,5,FALSE),"")</f>
        <v>6.0300000000000002E-4</v>
      </c>
      <c r="AY29" s="49">
        <f>IFERROR(VLOOKUP(TEXT($B$3,"yyyymmdd")&amp;"_"&amp;TEXT($B29*60+AY$10,"0000"),RawData!$A$2:$G$30000,5,FALSE),"")</f>
        <v>0</v>
      </c>
      <c r="AZ29" s="49">
        <f>IFERROR(VLOOKUP(TEXT($B$3,"yyyymmdd")&amp;"_"&amp;TEXT($B29*60+AZ$10,"0000"),RawData!$A$2:$G$30000,5,FALSE),"")</f>
        <v>2.5500000000000002E-4</v>
      </c>
      <c r="BA29" s="49">
        <f>IFERROR(VLOOKUP(TEXT($B$3,"yyyymmdd")&amp;"_"&amp;TEXT($B29*60+BA$10,"0000"),RawData!$A$2:$G$30000,5,FALSE),"")</f>
        <v>3.5E-4</v>
      </c>
      <c r="BB29" s="49">
        <f>IFERROR(VLOOKUP(TEXT($B$3,"yyyymmdd")&amp;"_"&amp;TEXT($B29*60+BB$10,"0000"),RawData!$A$2:$G$30000,5,FALSE),"")</f>
        <v>0</v>
      </c>
      <c r="BC29" s="49">
        <f>IFERROR(VLOOKUP(TEXT($B$3,"yyyymmdd")&amp;"_"&amp;TEXT($B29*60+BC$10,"0000"),RawData!$A$2:$G$30000,5,FALSE),"")</f>
        <v>9.3400000000000004E-4</v>
      </c>
      <c r="BD29" s="49">
        <f>IFERROR(VLOOKUP(TEXT($B$3,"yyyymmdd")&amp;"_"&amp;TEXT($B29*60+BD$10,"0000"),RawData!$A$2:$G$30000,5,FALSE),"")</f>
        <v>7.3899999999999997E-4</v>
      </c>
      <c r="BE29" s="49">
        <f>IFERROR(VLOOKUP(TEXT($B$3,"yyyymmdd")&amp;"_"&amp;TEXT($B29*60+BE$10,"0000"),RawData!$A$2:$G$30000,5,FALSE),"")</f>
        <v>0</v>
      </c>
      <c r="BF29" s="49">
        <f>IFERROR(VLOOKUP(TEXT($B$3,"yyyymmdd")&amp;"_"&amp;TEXT($B29*60+BF$10,"0000"),RawData!$A$2:$G$30000,5,FALSE),"")</f>
        <v>0</v>
      </c>
      <c r="BG29" s="49">
        <f>IFERROR(VLOOKUP(TEXT($B$3,"yyyymmdd")&amp;"_"&amp;TEXT($B29*60+BG$10,"0000"),RawData!$A$2:$G$30000,5,FALSE),"")</f>
        <v>1.111E-3</v>
      </c>
      <c r="BH29" s="49">
        <f>IFERROR(VLOOKUP(TEXT($B$3,"yyyymmdd")&amp;"_"&amp;TEXT($B29*60+BH$10,"0000"),RawData!$A$2:$G$30000,5,FALSE),"")</f>
        <v>7.9100000000000004E-4</v>
      </c>
      <c r="BI29" s="49">
        <f>IFERROR(VLOOKUP(TEXT($B$3,"yyyymmdd")&amp;"_"&amp;TEXT($B29*60+BI$10,"0000"),RawData!$A$2:$G$30000,5,FALSE),"")</f>
        <v>4.3300000000000001E-4</v>
      </c>
      <c r="BJ29" s="49">
        <f>IFERROR(VLOOKUP(TEXT($B$3,"yyyymmdd")&amp;"_"&amp;TEXT($B29*60+BJ$10,"0000"),RawData!$A$2:$G$30000,5,FALSE),"")</f>
        <v>0</v>
      </c>
      <c r="BK29" s="4" t="str">
        <f>IFERROR(VLOOKUP(TEXT($B$3,"yyyymmdd")&amp;"_"&amp;TEXT(18,"0000"),RawData!$A$2:$F$1441,4,FALSE),"")</f>
        <v>01</v>
      </c>
      <c r="BL29" s="19">
        <f>TIME(0,0,0)+18/1440</f>
        <v>1.2500000000000001E-2</v>
      </c>
      <c r="BM29" s="4">
        <f>IFERROR(VLOOKUP(TEXT($B$3,"yyyymmdd")&amp;"_"&amp;TEXT(18,"0000"),RawData!$A$2:$F$1441,5,FALSE),"")</f>
        <v>0</v>
      </c>
      <c r="BN29" s="4">
        <f t="shared" si="0"/>
        <v>0</v>
      </c>
    </row>
    <row r="30" spans="1:66" ht="18.399999999999999" customHeight="1" x14ac:dyDescent="0.6">
      <c r="A30" s="15"/>
      <c r="B30" s="18">
        <v>19</v>
      </c>
      <c r="C30" s="49">
        <f>IFERROR(VLOOKUP(TEXT($B$3,"yyyymmdd")&amp;"_"&amp;TEXT($B30*60+C$10,"0000"),RawData!$A$2:$G$30000,5,FALSE),"")</f>
        <v>0</v>
      </c>
      <c r="D30" s="49">
        <f>IFERROR(VLOOKUP(TEXT($B$3,"yyyymmdd")&amp;"_"&amp;TEXT($B30*60+D$10,"0000"),RawData!$A$2:$G$30000,5,FALSE),"")</f>
        <v>0</v>
      </c>
      <c r="E30" s="49">
        <f>IFERROR(VLOOKUP(TEXT($B$3,"yyyymmdd")&amp;"_"&amp;TEXT($B30*60+E$10,"0000"),RawData!$A$2:$G$30000,5,FALSE),"")</f>
        <v>4.7899999999999999E-4</v>
      </c>
      <c r="F30" s="49">
        <f>IFERROR(VLOOKUP(TEXT($B$3,"yyyymmdd")&amp;"_"&amp;TEXT($B30*60+F$10,"0000"),RawData!$A$2:$G$30000,5,FALSE),"")</f>
        <v>0</v>
      </c>
      <c r="G30" s="49">
        <f>IFERROR(VLOOKUP(TEXT($B$3,"yyyymmdd")&amp;"_"&amp;TEXT($B30*60+G$10,"0000"),RawData!$A$2:$G$30000,5,FALSE),"")</f>
        <v>2.4600000000000002E-4</v>
      </c>
      <c r="H30" s="49">
        <f>IFERROR(VLOOKUP(TEXT($B$3,"yyyymmdd")&amp;"_"&amp;TEXT($B30*60+H$10,"0000"),RawData!$A$2:$G$30000,5,FALSE),"")</f>
        <v>4.4299999999999998E-4</v>
      </c>
      <c r="I30" s="49">
        <f>IFERROR(VLOOKUP(TEXT($B$3,"yyyymmdd")&amp;"_"&amp;TEXT($B30*60+I$10,"0000"),RawData!$A$2:$G$30000,5,FALSE),"")</f>
        <v>2.6400000000000002E-4</v>
      </c>
      <c r="J30" s="49">
        <f>IFERROR(VLOOKUP(TEXT($B$3,"yyyymmdd")&amp;"_"&amp;TEXT($B30*60+J$10,"0000"),RawData!$A$2:$G$30000,5,FALSE),"")</f>
        <v>3.6200000000000002E-4</v>
      </c>
      <c r="K30" s="49">
        <f>IFERROR(VLOOKUP(TEXT($B$3,"yyyymmdd")&amp;"_"&amp;TEXT($B30*60+K$10,"0000"),RawData!$A$2:$G$30000,5,FALSE),"")</f>
        <v>0</v>
      </c>
      <c r="L30" s="49">
        <f>IFERROR(VLOOKUP(TEXT($B$3,"yyyymmdd")&amp;"_"&amp;TEXT($B30*60+L$10,"0000"),RawData!$A$2:$G$30000,5,FALSE),"")</f>
        <v>0</v>
      </c>
      <c r="M30" s="49">
        <f>IFERROR(VLOOKUP(TEXT($B$3,"yyyymmdd")&amp;"_"&amp;TEXT($B30*60+M$10,"0000"),RawData!$A$2:$G$30000,5,FALSE),"")</f>
        <v>3.4200000000000002E-4</v>
      </c>
      <c r="N30" s="49">
        <f>IFERROR(VLOOKUP(TEXT($B$3,"yyyymmdd")&amp;"_"&amp;TEXT($B30*60+N$10,"0000"),RawData!$A$2:$G$30000,5,FALSE),"")</f>
        <v>4.3399999999999998E-4</v>
      </c>
      <c r="O30" s="49">
        <f>IFERROR(VLOOKUP(TEXT($B$3,"yyyymmdd")&amp;"_"&amp;TEXT($B30*60+O$10,"0000"),RawData!$A$2:$G$30000,5,FALSE),"")</f>
        <v>0</v>
      </c>
      <c r="P30" s="49">
        <f>IFERROR(VLOOKUP(TEXT($B$3,"yyyymmdd")&amp;"_"&amp;TEXT($B30*60+P$10,"0000"),RawData!$A$2:$G$30000,5,FALSE),"")</f>
        <v>0</v>
      </c>
      <c r="Q30" s="49">
        <f>IFERROR(VLOOKUP(TEXT($B$3,"yyyymmdd")&amp;"_"&amp;TEXT($B30*60+Q$10,"0000"),RawData!$A$2:$G$30000,5,FALSE),"")</f>
        <v>0</v>
      </c>
      <c r="R30" s="49">
        <f>IFERROR(VLOOKUP(TEXT($B$3,"yyyymmdd")&amp;"_"&amp;TEXT($B30*60+R$10,"0000"),RawData!$A$2:$G$30000,5,FALSE),"")</f>
        <v>0</v>
      </c>
      <c r="S30" s="49">
        <f>IFERROR(VLOOKUP(TEXT($B$3,"yyyymmdd")&amp;"_"&amp;TEXT($B30*60+S$10,"0000"),RawData!$A$2:$G$30000,5,FALSE),"")</f>
        <v>0</v>
      </c>
      <c r="T30" s="49">
        <f>IFERROR(VLOOKUP(TEXT($B$3,"yyyymmdd")&amp;"_"&amp;TEXT($B30*60+T$10,"0000"),RawData!$A$2:$G$30000,5,FALSE),"")</f>
        <v>0</v>
      </c>
      <c r="U30" s="49">
        <f>IFERROR(VLOOKUP(TEXT($B$3,"yyyymmdd")&amp;"_"&amp;TEXT($B30*60+U$10,"0000"),RawData!$A$2:$G$30000,5,FALSE),"")</f>
        <v>3.7800000000000003E-4</v>
      </c>
      <c r="V30" s="49">
        <f>IFERROR(VLOOKUP(TEXT($B$3,"yyyymmdd")&amp;"_"&amp;TEXT($B30*60+V$10,"0000"),RawData!$A$2:$G$30000,5,FALSE),"")</f>
        <v>0</v>
      </c>
      <c r="W30" s="49">
        <f>IFERROR(VLOOKUP(TEXT($B$3,"yyyymmdd")&amp;"_"&amp;TEXT($B30*60+W$10,"0000"),RawData!$A$2:$G$30000,5,FALSE),"")</f>
        <v>5.8399999999999999E-4</v>
      </c>
      <c r="X30" s="49">
        <f>IFERROR(VLOOKUP(TEXT($B$3,"yyyymmdd")&amp;"_"&amp;TEXT($B30*60+X$10,"0000"),RawData!$A$2:$G$30000,5,FALSE),"")</f>
        <v>6.02E-4</v>
      </c>
      <c r="Y30" s="49">
        <f>IFERROR(VLOOKUP(TEXT($B$3,"yyyymmdd")&amp;"_"&amp;TEXT($B30*60+Y$10,"0000"),RawData!$A$2:$G$30000,5,FALSE),"")</f>
        <v>5.8E-4</v>
      </c>
      <c r="Z30" s="49">
        <f>IFERROR(VLOOKUP(TEXT($B$3,"yyyymmdd")&amp;"_"&amp;TEXT($B30*60+Z$10,"0000"),RawData!$A$2:$G$30000,5,FALSE),"")</f>
        <v>0</v>
      </c>
      <c r="AA30" s="49">
        <f>IFERROR(VLOOKUP(TEXT($B$3,"yyyymmdd")&amp;"_"&amp;TEXT($B30*60+AA$10,"0000"),RawData!$A$2:$G$30000,5,FALSE),"")</f>
        <v>9.7099999999999997E-4</v>
      </c>
      <c r="AB30" s="49">
        <f>IFERROR(VLOOKUP(TEXT($B$3,"yyyymmdd")&amp;"_"&amp;TEXT($B30*60+AB$10,"0000"),RawData!$A$2:$G$30000,5,FALSE),"")</f>
        <v>5.9800000000000001E-4</v>
      </c>
      <c r="AC30" s="49">
        <f>IFERROR(VLOOKUP(TEXT($B$3,"yyyymmdd")&amp;"_"&amp;TEXT($B30*60+AC$10,"0000"),RawData!$A$2:$G$30000,5,FALSE),"")</f>
        <v>5.8500000000000002E-4</v>
      </c>
      <c r="AD30" s="49">
        <f>IFERROR(VLOOKUP(TEXT($B$3,"yyyymmdd")&amp;"_"&amp;TEXT($B30*60+AD$10,"0000"),RawData!$A$2:$G$30000,5,FALSE),"")</f>
        <v>0</v>
      </c>
      <c r="AE30" s="49">
        <f>IFERROR(VLOOKUP(TEXT($B$3,"yyyymmdd")&amp;"_"&amp;TEXT($B30*60+AE$10,"0000"),RawData!$A$2:$G$30000,5,FALSE),"")</f>
        <v>0</v>
      </c>
      <c r="AF30" s="49">
        <f>IFERROR(VLOOKUP(TEXT($B$3,"yyyymmdd")&amp;"_"&amp;TEXT($B30*60+AF$10,"0000"),RawData!$A$2:$G$30000,5,FALSE),"")</f>
        <v>0</v>
      </c>
      <c r="AG30" s="49">
        <f>IFERROR(VLOOKUP(TEXT($B$3,"yyyymmdd")&amp;"_"&amp;TEXT($B30*60+AG$10,"0000"),RawData!$A$2:$G$30000,5,FALSE),"")</f>
        <v>0</v>
      </c>
      <c r="AH30" s="49">
        <f>IFERROR(VLOOKUP(TEXT($B$3,"yyyymmdd")&amp;"_"&amp;TEXT($B30*60+AH$10,"0000"),RawData!$A$2:$G$30000,5,FALSE),"")</f>
        <v>9.5100000000000002E-4</v>
      </c>
      <c r="AI30" s="49">
        <f>IFERROR(VLOOKUP(TEXT($B$3,"yyyymmdd")&amp;"_"&amp;TEXT($B30*60+AI$10,"0000"),RawData!$A$2:$G$30000,5,FALSE),"")</f>
        <v>1.6100000000000001E-4</v>
      </c>
      <c r="AJ30" s="49">
        <f>IFERROR(VLOOKUP(TEXT($B$3,"yyyymmdd")&amp;"_"&amp;TEXT($B30*60+AJ$10,"0000"),RawData!$A$2:$G$30000,5,FALSE),"")</f>
        <v>2.3599999999999999E-4</v>
      </c>
      <c r="AK30" s="49">
        <f>IFERROR(VLOOKUP(TEXT($B$3,"yyyymmdd")&amp;"_"&amp;TEXT($B30*60+AK$10,"0000"),RawData!$A$2:$G$30000,5,FALSE),"")</f>
        <v>0</v>
      </c>
      <c r="AL30" s="49">
        <f>IFERROR(VLOOKUP(TEXT($B$3,"yyyymmdd")&amp;"_"&amp;TEXT($B30*60+AL$10,"0000"),RawData!$A$2:$G$30000,5,FALSE),"")</f>
        <v>7.0299999999999996E-4</v>
      </c>
      <c r="AM30" s="49">
        <f>IFERROR(VLOOKUP(TEXT($B$3,"yyyymmdd")&amp;"_"&amp;TEXT($B30*60+AM$10,"0000"),RawData!$A$2:$G$30000,5,FALSE),"")</f>
        <v>0</v>
      </c>
      <c r="AN30" s="49">
        <f>IFERROR(VLOOKUP(TEXT($B$3,"yyyymmdd")&amp;"_"&amp;TEXT($B30*60+AN$10,"0000"),RawData!$A$2:$G$30000,5,FALSE),"")</f>
        <v>5.1199999999999998E-4</v>
      </c>
      <c r="AO30" s="49">
        <f>IFERROR(VLOOKUP(TEXT($B$3,"yyyymmdd")&amp;"_"&amp;TEXT($B30*60+AO$10,"0000"),RawData!$A$2:$G$30000,5,FALSE),"")</f>
        <v>4.1899999999999999E-4</v>
      </c>
      <c r="AP30" s="49">
        <f>IFERROR(VLOOKUP(TEXT($B$3,"yyyymmdd")&amp;"_"&amp;TEXT($B30*60+AP$10,"0000"),RawData!$A$2:$G$30000,5,FALSE),"")</f>
        <v>0</v>
      </c>
      <c r="AQ30" s="49">
        <f>IFERROR(VLOOKUP(TEXT($B$3,"yyyymmdd")&amp;"_"&amp;TEXT($B30*60+AQ$10,"0000"),RawData!$A$2:$G$30000,5,FALSE),"")</f>
        <v>0</v>
      </c>
      <c r="AR30" s="49">
        <f>IFERROR(VLOOKUP(TEXT($B$3,"yyyymmdd")&amp;"_"&amp;TEXT($B30*60+AR$10,"0000"),RawData!$A$2:$G$30000,5,FALSE),"")</f>
        <v>3.4499999999999998E-4</v>
      </c>
      <c r="AS30" s="49">
        <f>IFERROR(VLOOKUP(TEXT($B$3,"yyyymmdd")&amp;"_"&amp;TEXT($B30*60+AS$10,"0000"),RawData!$A$2:$G$30000,5,FALSE),"")</f>
        <v>2.8899999999999998E-4</v>
      </c>
      <c r="AT30" s="49">
        <f>IFERROR(VLOOKUP(TEXT($B$3,"yyyymmdd")&amp;"_"&amp;TEXT($B30*60+AT$10,"0000"),RawData!$A$2:$G$30000,5,FALSE),"")</f>
        <v>0</v>
      </c>
      <c r="AU30" s="49">
        <f>IFERROR(VLOOKUP(TEXT($B$3,"yyyymmdd")&amp;"_"&amp;TEXT($B30*60+AU$10,"0000"),RawData!$A$2:$G$30000,5,FALSE),"")</f>
        <v>0</v>
      </c>
      <c r="AV30" s="49">
        <f>IFERROR(VLOOKUP(TEXT($B$3,"yyyymmdd")&amp;"_"&amp;TEXT($B30*60+AV$10,"0000"),RawData!$A$2:$G$30000,5,FALSE),"")</f>
        <v>0</v>
      </c>
      <c r="AW30" s="49">
        <f>IFERROR(VLOOKUP(TEXT($B$3,"yyyymmdd")&amp;"_"&amp;TEXT($B30*60+AW$10,"0000"),RawData!$A$2:$G$30000,5,FALSE),"")</f>
        <v>0</v>
      </c>
      <c r="AX30" s="49">
        <f>IFERROR(VLOOKUP(TEXT($B$3,"yyyymmdd")&amp;"_"&amp;TEXT($B30*60+AX$10,"0000"),RawData!$A$2:$G$30000,5,FALSE),"")</f>
        <v>0</v>
      </c>
      <c r="AY30" s="49">
        <f>IFERROR(VLOOKUP(TEXT($B$3,"yyyymmdd")&amp;"_"&amp;TEXT($B30*60+AY$10,"0000"),RawData!$A$2:$G$30000,5,FALSE),"")</f>
        <v>0</v>
      </c>
      <c r="AZ30" s="49">
        <f>IFERROR(VLOOKUP(TEXT($B$3,"yyyymmdd")&amp;"_"&amp;TEXT($B30*60+AZ$10,"0000"),RawData!$A$2:$G$30000,5,FALSE),"")</f>
        <v>0</v>
      </c>
      <c r="BA30" s="49">
        <f>IFERROR(VLOOKUP(TEXT($B$3,"yyyymmdd")&amp;"_"&amp;TEXT($B30*60+BA$10,"0000"),RawData!$A$2:$G$30000,5,FALSE),"")</f>
        <v>4.5800000000000002E-4</v>
      </c>
      <c r="BB30" s="49">
        <f>IFERROR(VLOOKUP(TEXT($B$3,"yyyymmdd")&amp;"_"&amp;TEXT($B30*60+BB$10,"0000"),RawData!$A$2:$G$30000,5,FALSE),"")</f>
        <v>0</v>
      </c>
      <c r="BC30" s="49">
        <f>IFERROR(VLOOKUP(TEXT($B$3,"yyyymmdd")&amp;"_"&amp;TEXT($B30*60+BC$10,"0000"),RawData!$A$2:$G$30000,5,FALSE),"")</f>
        <v>0</v>
      </c>
      <c r="BD30" s="49">
        <f>IFERROR(VLOOKUP(TEXT($B$3,"yyyymmdd")&amp;"_"&amp;TEXT($B30*60+BD$10,"0000"),RawData!$A$2:$G$30000,5,FALSE),"")</f>
        <v>0</v>
      </c>
      <c r="BE30" s="49">
        <f>IFERROR(VLOOKUP(TEXT($B$3,"yyyymmdd")&amp;"_"&amp;TEXT($B30*60+BE$10,"0000"),RawData!$A$2:$G$30000,5,FALSE),"")</f>
        <v>0</v>
      </c>
      <c r="BF30" s="49">
        <f>IFERROR(VLOOKUP(TEXT($B$3,"yyyymmdd")&amp;"_"&amp;TEXT($B30*60+BF$10,"0000"),RawData!$A$2:$G$30000,5,FALSE),"")</f>
        <v>5.9500000000000004E-4</v>
      </c>
      <c r="BG30" s="49">
        <f>IFERROR(VLOOKUP(TEXT($B$3,"yyyymmdd")&amp;"_"&amp;TEXT($B30*60+BG$10,"0000"),RawData!$A$2:$G$30000,5,FALSE),"")</f>
        <v>0</v>
      </c>
      <c r="BH30" s="49">
        <f>IFERROR(VLOOKUP(TEXT($B$3,"yyyymmdd")&amp;"_"&amp;TEXT($B30*60+BH$10,"0000"),RawData!$A$2:$G$30000,5,FALSE),"")</f>
        <v>0</v>
      </c>
      <c r="BI30" s="49">
        <f>IFERROR(VLOOKUP(TEXT($B$3,"yyyymmdd")&amp;"_"&amp;TEXT($B30*60+BI$10,"0000"),RawData!$A$2:$G$30000,5,FALSE),"")</f>
        <v>0</v>
      </c>
      <c r="BJ30" s="49">
        <f>IFERROR(VLOOKUP(TEXT($B$3,"yyyymmdd")&amp;"_"&amp;TEXT($B30*60+BJ$10,"0000"),RawData!$A$2:$G$30000,5,FALSE),"")</f>
        <v>3.77E-4</v>
      </c>
      <c r="BK30" s="4" t="str">
        <f>IFERROR(VLOOKUP(TEXT($B$3,"yyyymmdd")&amp;"_"&amp;TEXT(19,"0000"),RawData!$A$2:$F$1441,4,FALSE),"")</f>
        <v>01</v>
      </c>
      <c r="BL30" s="19">
        <f>TIME(0,0,0)+19/1440</f>
        <v>1.3194444444444444E-2</v>
      </c>
      <c r="BM30" s="4">
        <f>IFERROR(VLOOKUP(TEXT($B$3,"yyyymmdd")&amp;"_"&amp;TEXT(19,"0000"),RawData!$A$2:$F$1441,5,FALSE),"")</f>
        <v>0</v>
      </c>
      <c r="BN30" s="4">
        <f>IF(BK30="","",IF(BK30&lt;&gt;BK25,1,0))</f>
        <v>0</v>
      </c>
    </row>
    <row r="31" spans="1:66" ht="18.399999999999999" customHeight="1" x14ac:dyDescent="0.6">
      <c r="A31" s="15"/>
      <c r="B31" s="18">
        <v>20</v>
      </c>
      <c r="C31" s="49">
        <f>IFERROR(VLOOKUP(TEXT($B$3,"yyyymmdd")&amp;"_"&amp;TEXT($B31*60+C$10,"0000"),RawData!$A$2:$G$30000,5,FALSE),"")</f>
        <v>0</v>
      </c>
      <c r="D31" s="49">
        <f>IFERROR(VLOOKUP(TEXT($B$3,"yyyymmdd")&amp;"_"&amp;TEXT($B31*60+D$10,"0000"),RawData!$A$2:$G$30000,5,FALSE),"")</f>
        <v>0</v>
      </c>
      <c r="E31" s="49">
        <f>IFERROR(VLOOKUP(TEXT($B$3,"yyyymmdd")&amp;"_"&amp;TEXT($B31*60+E$10,"0000"),RawData!$A$2:$G$30000,5,FALSE),"")</f>
        <v>0</v>
      </c>
      <c r="F31" s="49">
        <f>IFERROR(VLOOKUP(TEXT($B$3,"yyyymmdd")&amp;"_"&amp;TEXT($B31*60+F$10,"0000"),RawData!$A$2:$G$30000,5,FALSE),"")</f>
        <v>0</v>
      </c>
      <c r="G31" s="49">
        <f>IFERROR(VLOOKUP(TEXT($B$3,"yyyymmdd")&amp;"_"&amp;TEXT($B31*60+G$10,"0000"),RawData!$A$2:$G$30000,5,FALSE),"")</f>
        <v>3.7100000000000002E-4</v>
      </c>
      <c r="H31" s="49">
        <f>IFERROR(VLOOKUP(TEXT($B$3,"yyyymmdd")&amp;"_"&amp;TEXT($B31*60+H$10,"0000"),RawData!$A$2:$G$30000,5,FALSE),"")</f>
        <v>0</v>
      </c>
      <c r="I31" s="49">
        <f>IFERROR(VLOOKUP(TEXT($B$3,"yyyymmdd")&amp;"_"&amp;TEXT($B31*60+I$10,"0000"),RawData!$A$2:$G$30000,5,FALSE),"")</f>
        <v>1.7799999999999999E-4</v>
      </c>
      <c r="J31" s="49">
        <f>IFERROR(VLOOKUP(TEXT($B$3,"yyyymmdd")&amp;"_"&amp;TEXT($B31*60+J$10,"0000"),RawData!$A$2:$G$30000,5,FALSE),"")</f>
        <v>4.0099999999999999E-4</v>
      </c>
      <c r="K31" s="49">
        <f>IFERROR(VLOOKUP(TEXT($B$3,"yyyymmdd")&amp;"_"&amp;TEXT($B31*60+K$10,"0000"),RawData!$A$2:$G$30000,5,FALSE),"")</f>
        <v>3.7300000000000001E-4</v>
      </c>
      <c r="L31" s="49">
        <f>IFERROR(VLOOKUP(TEXT($B$3,"yyyymmdd")&amp;"_"&amp;TEXT($B31*60+L$10,"0000"),RawData!$A$2:$G$30000,5,FALSE),"")</f>
        <v>0</v>
      </c>
      <c r="M31" s="49">
        <f>IFERROR(VLOOKUP(TEXT($B$3,"yyyymmdd")&amp;"_"&amp;TEXT($B31*60+M$10,"0000"),RawData!$A$2:$G$30000,5,FALSE),"")</f>
        <v>0</v>
      </c>
      <c r="N31" s="49">
        <f>IFERROR(VLOOKUP(TEXT($B$3,"yyyymmdd")&amp;"_"&amp;TEXT($B31*60+N$10,"0000"),RawData!$A$2:$G$30000,5,FALSE),"")</f>
        <v>0</v>
      </c>
      <c r="O31" s="49">
        <f>IFERROR(VLOOKUP(TEXT($B$3,"yyyymmdd")&amp;"_"&amp;TEXT($B31*60+O$10,"0000"),RawData!$A$2:$G$30000,5,FALSE),"")</f>
        <v>3.86E-4</v>
      </c>
      <c r="P31" s="49">
        <f>IFERROR(VLOOKUP(TEXT($B$3,"yyyymmdd")&amp;"_"&amp;TEXT($B31*60+P$10,"0000"),RawData!$A$2:$G$30000,5,FALSE),"")</f>
        <v>2.8499999999999999E-4</v>
      </c>
      <c r="Q31" s="49">
        <f>IFERROR(VLOOKUP(TEXT($B$3,"yyyymmdd")&amp;"_"&amp;TEXT($B31*60+Q$10,"0000"),RawData!$A$2:$G$30000,5,FALSE),"")</f>
        <v>2.7099999999999997E-4</v>
      </c>
      <c r="R31" s="49">
        <f>IFERROR(VLOOKUP(TEXT($B$3,"yyyymmdd")&amp;"_"&amp;TEXT($B31*60+R$10,"0000"),RawData!$A$2:$G$30000,5,FALSE),"")</f>
        <v>3.9599999999999998E-4</v>
      </c>
      <c r="S31" s="49">
        <f>IFERROR(VLOOKUP(TEXT($B$3,"yyyymmdd")&amp;"_"&amp;TEXT($B31*60+S$10,"0000"),RawData!$A$2:$G$30000,5,FALSE),"")</f>
        <v>3.4990550000000002E-2</v>
      </c>
      <c r="T31" s="49">
        <f>IFERROR(VLOOKUP(TEXT($B$3,"yyyymmdd")&amp;"_"&amp;TEXT($B31*60+T$10,"0000"),RawData!$A$2:$G$30000,5,FALSE),"")</f>
        <v>0</v>
      </c>
      <c r="U31" s="49">
        <f>IFERROR(VLOOKUP(TEXT($B$3,"yyyymmdd")&amp;"_"&amp;TEXT($B31*60+U$10,"0000"),RawData!$A$2:$G$30000,5,FALSE),"")</f>
        <v>0</v>
      </c>
      <c r="V31" s="49">
        <f>IFERROR(VLOOKUP(TEXT($B$3,"yyyymmdd")&amp;"_"&amp;TEXT($B31*60+V$10,"0000"),RawData!$A$2:$G$30000,5,FALSE),"")</f>
        <v>0</v>
      </c>
      <c r="W31" s="49">
        <f>IFERROR(VLOOKUP(TEXT($B$3,"yyyymmdd")&amp;"_"&amp;TEXT($B31*60+W$10,"0000"),RawData!$A$2:$G$30000,5,FALSE),"")</f>
        <v>6.0300000000000002E-4</v>
      </c>
      <c r="X31" s="49">
        <f>IFERROR(VLOOKUP(TEXT($B$3,"yyyymmdd")&amp;"_"&amp;TEXT($B31*60+X$10,"0000"),RawData!$A$2:$G$30000,5,FALSE),"")</f>
        <v>0</v>
      </c>
      <c r="Y31" s="49">
        <f>IFERROR(VLOOKUP(TEXT($B$3,"yyyymmdd")&amp;"_"&amp;TEXT($B31*60+Y$10,"0000"),RawData!$A$2:$G$30000,5,FALSE),"")</f>
        <v>0</v>
      </c>
      <c r="Z31" s="49">
        <f>IFERROR(VLOOKUP(TEXT($B$3,"yyyymmdd")&amp;"_"&amp;TEXT($B31*60+Z$10,"0000"),RawData!$A$2:$G$30000,5,FALSE),"")</f>
        <v>4.2700000000000002E-4</v>
      </c>
      <c r="AA31" s="49">
        <f>IFERROR(VLOOKUP(TEXT($B$3,"yyyymmdd")&amp;"_"&amp;TEXT($B31*60+AA$10,"0000"),RawData!$A$2:$G$30000,5,FALSE),"")</f>
        <v>0</v>
      </c>
      <c r="AB31" s="49">
        <f>IFERROR(VLOOKUP(TEXT($B$3,"yyyymmdd")&amp;"_"&amp;TEXT($B31*60+AB$10,"0000"),RawData!$A$2:$G$30000,5,FALSE),"")</f>
        <v>2.3000000000000001E-4</v>
      </c>
      <c r="AC31" s="49">
        <f>IFERROR(VLOOKUP(TEXT($B$3,"yyyymmdd")&amp;"_"&amp;TEXT($B31*60+AC$10,"0000"),RawData!$A$2:$G$30000,5,FALSE),"")</f>
        <v>2.5900000000000001E-4</v>
      </c>
      <c r="AD31" s="49">
        <f>IFERROR(VLOOKUP(TEXT($B$3,"yyyymmdd")&amp;"_"&amp;TEXT($B31*60+AD$10,"0000"),RawData!$A$2:$G$30000,5,FALSE),"")</f>
        <v>0</v>
      </c>
      <c r="AE31" s="49">
        <f>IFERROR(VLOOKUP(TEXT($B$3,"yyyymmdd")&amp;"_"&amp;TEXT($B31*60+AE$10,"0000"),RawData!$A$2:$G$30000,5,FALSE),"")</f>
        <v>0</v>
      </c>
      <c r="AF31" s="49">
        <f>IFERROR(VLOOKUP(TEXT($B$3,"yyyymmdd")&amp;"_"&amp;TEXT($B31*60+AF$10,"0000"),RawData!$A$2:$G$30000,5,FALSE),"")</f>
        <v>0</v>
      </c>
      <c r="AG31" s="49">
        <f>IFERROR(VLOOKUP(TEXT($B$3,"yyyymmdd")&amp;"_"&amp;TEXT($B31*60+AG$10,"0000"),RawData!$A$2:$G$30000,5,FALSE),"")</f>
        <v>0</v>
      </c>
      <c r="AH31" s="49">
        <f>IFERROR(VLOOKUP(TEXT($B$3,"yyyymmdd")&amp;"_"&amp;TEXT($B31*60+AH$10,"0000"),RawData!$A$2:$G$30000,5,FALSE),"")</f>
        <v>0</v>
      </c>
      <c r="AI31" s="49">
        <f>IFERROR(VLOOKUP(TEXT($B$3,"yyyymmdd")&amp;"_"&amp;TEXT($B31*60+AI$10,"0000"),RawData!$A$2:$G$30000,5,FALSE),"")</f>
        <v>0</v>
      </c>
      <c r="AJ31" s="49">
        <f>IFERROR(VLOOKUP(TEXT($B$3,"yyyymmdd")&amp;"_"&amp;TEXT($B31*60+AJ$10,"0000"),RawData!$A$2:$G$30000,5,FALSE),"")</f>
        <v>2.7099999999999997E-4</v>
      </c>
      <c r="AK31" s="49">
        <f>IFERROR(VLOOKUP(TEXT($B$3,"yyyymmdd")&amp;"_"&amp;TEXT($B31*60+AK$10,"0000"),RawData!$A$2:$G$30000,5,FALSE),"")</f>
        <v>3.7599999999999998E-4</v>
      </c>
      <c r="AL31" s="49">
        <f>IFERROR(VLOOKUP(TEXT($B$3,"yyyymmdd")&amp;"_"&amp;TEXT($B31*60+AL$10,"0000"),RawData!$A$2:$G$30000,5,FALSE),"")</f>
        <v>0</v>
      </c>
      <c r="AM31" s="49">
        <f>IFERROR(VLOOKUP(TEXT($B$3,"yyyymmdd")&amp;"_"&amp;TEXT($B31*60+AM$10,"0000"),RawData!$A$2:$G$30000,5,FALSE),"")</f>
        <v>3.4900000000000003E-4</v>
      </c>
      <c r="AN31" s="49">
        <f>IFERROR(VLOOKUP(TEXT($B$3,"yyyymmdd")&amp;"_"&amp;TEXT($B31*60+AN$10,"0000"),RawData!$A$2:$G$30000,5,FALSE),"")</f>
        <v>4.44E-4</v>
      </c>
      <c r="AO31" s="49">
        <f>IFERROR(VLOOKUP(TEXT($B$3,"yyyymmdd")&amp;"_"&amp;TEXT($B31*60+AO$10,"0000"),RawData!$A$2:$G$30000,5,FALSE),"")</f>
        <v>0</v>
      </c>
      <c r="AP31" s="49">
        <f>IFERROR(VLOOKUP(TEXT($B$3,"yyyymmdd")&amp;"_"&amp;TEXT($B31*60+AP$10,"0000"),RawData!$A$2:$G$30000,5,FALSE),"")</f>
        <v>4.9299999999999995E-4</v>
      </c>
      <c r="AQ31" s="49">
        <f>IFERROR(VLOOKUP(TEXT($B$3,"yyyymmdd")&amp;"_"&amp;TEXT($B31*60+AQ$10,"0000"),RawData!$A$2:$G$30000,5,FALSE),"")</f>
        <v>0</v>
      </c>
      <c r="AR31" s="49">
        <f>IFERROR(VLOOKUP(TEXT($B$3,"yyyymmdd")&amp;"_"&amp;TEXT($B31*60+AR$10,"0000"),RawData!$A$2:$G$30000,5,FALSE),"")</f>
        <v>0</v>
      </c>
      <c r="AS31" s="49">
        <f>IFERROR(VLOOKUP(TEXT($B$3,"yyyymmdd")&amp;"_"&amp;TEXT($B31*60+AS$10,"0000"),RawData!$A$2:$G$30000,5,FALSE),"")</f>
        <v>2.04E-4</v>
      </c>
      <c r="AT31" s="49">
        <f>IFERROR(VLOOKUP(TEXT($B$3,"yyyymmdd")&amp;"_"&amp;TEXT($B31*60+AT$10,"0000"),RawData!$A$2:$G$30000,5,FALSE),"")</f>
        <v>9.1600000000000004E-4</v>
      </c>
      <c r="AU31" s="49">
        <f>IFERROR(VLOOKUP(TEXT($B$3,"yyyymmdd")&amp;"_"&amp;TEXT($B31*60+AU$10,"0000"),RawData!$A$2:$G$30000,5,FALSE),"")</f>
        <v>0</v>
      </c>
      <c r="AV31" s="49">
        <f>IFERROR(VLOOKUP(TEXT($B$3,"yyyymmdd")&amp;"_"&amp;TEXT($B31*60+AV$10,"0000"),RawData!$A$2:$G$30000,5,FALSE),"")</f>
        <v>0</v>
      </c>
      <c r="AW31" s="49">
        <f>IFERROR(VLOOKUP(TEXT($B$3,"yyyymmdd")&amp;"_"&amp;TEXT($B31*60+AW$10,"0000"),RawData!$A$2:$G$30000,5,FALSE),"")</f>
        <v>5.8299999999999997E-4</v>
      </c>
      <c r="AX31" s="49">
        <f>IFERROR(VLOOKUP(TEXT($B$3,"yyyymmdd")&amp;"_"&amp;TEXT($B31*60+AX$10,"0000"),RawData!$A$2:$G$30000,5,FALSE),"")</f>
        <v>0</v>
      </c>
      <c r="AY31" s="49">
        <f>IFERROR(VLOOKUP(TEXT($B$3,"yyyymmdd")&amp;"_"&amp;TEXT($B31*60+AY$10,"0000"),RawData!$A$2:$G$30000,5,FALSE),"")</f>
        <v>0</v>
      </c>
      <c r="AZ31" s="49">
        <f>IFERROR(VLOOKUP(TEXT($B$3,"yyyymmdd")&amp;"_"&amp;TEXT($B31*60+AZ$10,"0000"),RawData!$A$2:$G$30000,5,FALSE),"")</f>
        <v>3.5300000000000002E-4</v>
      </c>
      <c r="BA31" s="49">
        <f>IFERROR(VLOOKUP(TEXT($B$3,"yyyymmdd")&amp;"_"&amp;TEXT($B31*60+BA$10,"0000"),RawData!$A$2:$G$30000,5,FALSE),"")</f>
        <v>7.0299999999999996E-4</v>
      </c>
      <c r="BB31" s="49">
        <f>IFERROR(VLOOKUP(TEXT($B$3,"yyyymmdd")&amp;"_"&amp;TEXT($B31*60+BB$10,"0000"),RawData!$A$2:$G$30000,5,FALSE),"")</f>
        <v>0</v>
      </c>
      <c r="BC31" s="49">
        <f>IFERROR(VLOOKUP(TEXT($B$3,"yyyymmdd")&amp;"_"&amp;TEXT($B31*60+BC$10,"0000"),RawData!$A$2:$G$30000,5,FALSE),"")</f>
        <v>4.8500000000000003E-4</v>
      </c>
      <c r="BD31" s="49">
        <f>IFERROR(VLOOKUP(TEXT($B$3,"yyyymmdd")&amp;"_"&amp;TEXT($B31*60+BD$10,"0000"),RawData!$A$2:$G$30000,5,FALSE),"")</f>
        <v>3.0400000000000002E-4</v>
      </c>
      <c r="BE31" s="49">
        <f>IFERROR(VLOOKUP(TEXT($B$3,"yyyymmdd")&amp;"_"&amp;TEXT($B31*60+BE$10,"0000"),RawData!$A$2:$G$30000,5,FALSE),"")</f>
        <v>4.2999999999999999E-4</v>
      </c>
      <c r="BF31" s="49">
        <f>IFERROR(VLOOKUP(TEXT($B$3,"yyyymmdd")&amp;"_"&amp;TEXT($B31*60+BF$10,"0000"),RawData!$A$2:$G$30000,5,FALSE),"")</f>
        <v>0</v>
      </c>
      <c r="BG31" s="49">
        <f>IFERROR(VLOOKUP(TEXT($B$3,"yyyymmdd")&amp;"_"&amp;TEXT($B31*60+BG$10,"0000"),RawData!$A$2:$G$30000,5,FALSE),"")</f>
        <v>0</v>
      </c>
      <c r="BH31" s="49">
        <f>IFERROR(VLOOKUP(TEXT($B$3,"yyyymmdd")&amp;"_"&amp;TEXT($B31*60+BH$10,"0000"),RawData!$A$2:$G$30000,5,FALSE),"")</f>
        <v>0</v>
      </c>
      <c r="BI31" s="49">
        <f>IFERROR(VLOOKUP(TEXT($B$3,"yyyymmdd")&amp;"_"&amp;TEXT($B31*60+BI$10,"0000"),RawData!$A$2:$G$30000,5,FALSE),"")</f>
        <v>0</v>
      </c>
      <c r="BJ31" s="49">
        <f>IFERROR(VLOOKUP(TEXT($B$3,"yyyymmdd")&amp;"_"&amp;TEXT($B31*60+BJ$10,"0000"),RawData!$A$2:$G$30000,5,FALSE),"")</f>
        <v>3.7500000000000001E-4</v>
      </c>
      <c r="BK31" s="4" t="str">
        <f>IFERROR(VLOOKUP(TEXT($B$3,"yyyymmdd")&amp;"_"&amp;TEXT(20,"0000"),RawData!$A$2:$F$1441,4,FALSE),"")</f>
        <v>01</v>
      </c>
      <c r="BL31" s="19">
        <f>TIME(0,0,0)+20/1440</f>
        <v>1.3888888888888888E-2</v>
      </c>
      <c r="BM31" s="4">
        <f>IFERROR(VLOOKUP(TEXT($B$3,"yyyymmdd")&amp;"_"&amp;TEXT(20,"0000"),RawData!$A$2:$F$1441,5,FALSE),"")</f>
        <v>0</v>
      </c>
      <c r="BN31" s="4">
        <f t="shared" ref="BN31:BN94" si="1">IF(BK31="","",IF(BK31&lt;&gt;BK26,1,0))</f>
        <v>0</v>
      </c>
    </row>
    <row r="32" spans="1:66" ht="18.399999999999999" customHeight="1" x14ac:dyDescent="0.6">
      <c r="A32" s="15"/>
      <c r="B32" s="18">
        <v>21</v>
      </c>
      <c r="C32" s="49">
        <f>IFERROR(VLOOKUP(TEXT($B$3,"yyyymmdd")&amp;"_"&amp;TEXT($B32*60+C$10,"0000"),RawData!$A$2:$G$30000,5,FALSE),"")</f>
        <v>0</v>
      </c>
      <c r="D32" s="49">
        <f>IFERROR(VLOOKUP(TEXT($B$3,"yyyymmdd")&amp;"_"&amp;TEXT($B32*60+D$10,"0000"),RawData!$A$2:$G$30000,5,FALSE),"")</f>
        <v>0</v>
      </c>
      <c r="E32" s="49">
        <f>IFERROR(VLOOKUP(TEXT($B$3,"yyyymmdd")&amp;"_"&amp;TEXT($B32*60+E$10,"0000"),RawData!$A$2:$G$30000,5,FALSE),"")</f>
        <v>0</v>
      </c>
      <c r="F32" s="49">
        <f>IFERROR(VLOOKUP(TEXT($B$3,"yyyymmdd")&amp;"_"&amp;TEXT($B32*60+F$10,"0000"),RawData!$A$2:$G$30000,5,FALSE),"")</f>
        <v>8.1300000000000003E-4</v>
      </c>
      <c r="G32" s="49">
        <f>IFERROR(VLOOKUP(TEXT($B$3,"yyyymmdd")&amp;"_"&amp;TEXT($B32*60+G$10,"0000"),RawData!$A$2:$G$30000,5,FALSE),"")</f>
        <v>0</v>
      </c>
      <c r="H32" s="49">
        <f>IFERROR(VLOOKUP(TEXT($B$3,"yyyymmdd")&amp;"_"&amp;TEXT($B32*60+H$10,"0000"),RawData!$A$2:$G$30000,5,FALSE),"")</f>
        <v>0</v>
      </c>
      <c r="I32" s="49">
        <f>IFERROR(VLOOKUP(TEXT($B$3,"yyyymmdd")&amp;"_"&amp;TEXT($B32*60+I$10,"0000"),RawData!$A$2:$G$30000,5,FALSE),"")</f>
        <v>0</v>
      </c>
      <c r="J32" s="49">
        <f>IFERROR(VLOOKUP(TEXT($B$3,"yyyymmdd")&amp;"_"&amp;TEXT($B32*60+J$10,"0000"),RawData!$A$2:$G$30000,5,FALSE),"")</f>
        <v>7.0408212999999997E-2</v>
      </c>
      <c r="K32" s="49">
        <f>IFERROR(VLOOKUP(TEXT($B$3,"yyyymmdd")&amp;"_"&amp;TEXT($B32*60+K$10,"0000"),RawData!$A$2:$G$30000,5,FALSE),"")</f>
        <v>0</v>
      </c>
      <c r="L32" s="49">
        <f>IFERROR(VLOOKUP(TEXT($B$3,"yyyymmdd")&amp;"_"&amp;TEXT($B32*60+L$10,"0000"),RawData!$A$2:$G$30000,5,FALSE),"")</f>
        <v>0</v>
      </c>
      <c r="M32" s="49">
        <f>IFERROR(VLOOKUP(TEXT($B$3,"yyyymmdd")&amp;"_"&amp;TEXT($B32*60+M$10,"0000"),RawData!$A$2:$G$30000,5,FALSE),"")</f>
        <v>0</v>
      </c>
      <c r="N32" s="49">
        <f>IFERROR(VLOOKUP(TEXT($B$3,"yyyymmdd")&amp;"_"&amp;TEXT($B32*60+N$10,"0000"),RawData!$A$2:$G$30000,5,FALSE),"")</f>
        <v>0</v>
      </c>
      <c r="O32" s="49">
        <f>IFERROR(VLOOKUP(TEXT($B$3,"yyyymmdd")&amp;"_"&amp;TEXT($B32*60+O$10,"0000"),RawData!$A$2:$G$30000,5,FALSE),"")</f>
        <v>0</v>
      </c>
      <c r="P32" s="49">
        <f>IFERROR(VLOOKUP(TEXT($B$3,"yyyymmdd")&amp;"_"&amp;TEXT($B32*60+P$10,"0000"),RawData!$A$2:$G$30000,5,FALSE),"")</f>
        <v>5.1199999999999998E-4</v>
      </c>
      <c r="Q32" s="49">
        <f>IFERROR(VLOOKUP(TEXT($B$3,"yyyymmdd")&amp;"_"&amp;TEXT($B32*60+Q$10,"0000"),RawData!$A$2:$G$30000,5,FALSE),"")</f>
        <v>2.9999999999999997E-4</v>
      </c>
      <c r="R32" s="49">
        <f>IFERROR(VLOOKUP(TEXT($B$3,"yyyymmdd")&amp;"_"&amp;TEXT($B32*60+R$10,"0000"),RawData!$A$2:$G$30000,5,FALSE),"")</f>
        <v>0</v>
      </c>
      <c r="S32" s="49">
        <f>IFERROR(VLOOKUP(TEXT($B$3,"yyyymmdd")&amp;"_"&amp;TEXT($B32*60+S$10,"0000"),RawData!$A$2:$G$30000,5,FALSE),"")</f>
        <v>2.9999999999999997E-4</v>
      </c>
      <c r="T32" s="49">
        <f>IFERROR(VLOOKUP(TEXT($B$3,"yyyymmdd")&amp;"_"&amp;TEXT($B32*60+T$10,"0000"),RawData!$A$2:$G$30000,5,FALSE),"")</f>
        <v>0</v>
      </c>
      <c r="U32" s="49">
        <f>IFERROR(VLOOKUP(TEXT($B$3,"yyyymmdd")&amp;"_"&amp;TEXT($B32*60+U$10,"0000"),RawData!$A$2:$G$30000,5,FALSE),"")</f>
        <v>1.078E-3</v>
      </c>
      <c r="V32" s="49">
        <f>IFERROR(VLOOKUP(TEXT($B$3,"yyyymmdd")&amp;"_"&amp;TEXT($B32*60+V$10,"0000"),RawData!$A$2:$G$30000,5,FALSE),"")</f>
        <v>0</v>
      </c>
      <c r="W32" s="49">
        <f>IFERROR(VLOOKUP(TEXT($B$3,"yyyymmdd")&amp;"_"&amp;TEXT($B32*60+W$10,"0000"),RawData!$A$2:$G$30000,5,FALSE),"")</f>
        <v>0</v>
      </c>
      <c r="X32" s="49">
        <f>IFERROR(VLOOKUP(TEXT($B$3,"yyyymmdd")&amp;"_"&amp;TEXT($B32*60+X$10,"0000"),RawData!$A$2:$G$30000,5,FALSE),"")</f>
        <v>0</v>
      </c>
      <c r="Y32" s="49">
        <f>IFERROR(VLOOKUP(TEXT($B$3,"yyyymmdd")&amp;"_"&amp;TEXT($B32*60+Y$10,"0000"),RawData!$A$2:$G$30000,5,FALSE),"")</f>
        <v>0</v>
      </c>
      <c r="Z32" s="49">
        <f>IFERROR(VLOOKUP(TEXT($B$3,"yyyymmdd")&amp;"_"&amp;TEXT($B32*60+Z$10,"0000"),RawData!$A$2:$G$30000,5,FALSE),"")</f>
        <v>4.8000000000000001E-4</v>
      </c>
      <c r="AA32" s="49">
        <f>IFERROR(VLOOKUP(TEXT($B$3,"yyyymmdd")&amp;"_"&amp;TEXT($B32*60+AA$10,"0000"),RawData!$A$2:$G$30000,5,FALSE),"")</f>
        <v>0</v>
      </c>
      <c r="AB32" s="49">
        <f>IFERROR(VLOOKUP(TEXT($B$3,"yyyymmdd")&amp;"_"&amp;TEXT($B32*60+AB$10,"0000"),RawData!$A$2:$G$30000,5,FALSE),"")</f>
        <v>0</v>
      </c>
      <c r="AC32" s="49">
        <f>IFERROR(VLOOKUP(TEXT($B$3,"yyyymmdd")&amp;"_"&amp;TEXT($B32*60+AC$10,"0000"),RawData!$A$2:$G$30000,5,FALSE),"")</f>
        <v>0</v>
      </c>
      <c r="AD32" s="49">
        <f>IFERROR(VLOOKUP(TEXT($B$3,"yyyymmdd")&amp;"_"&amp;TEXT($B32*60+AD$10,"0000"),RawData!$A$2:$G$30000,5,FALSE),"")</f>
        <v>0</v>
      </c>
      <c r="AE32" s="49">
        <f>IFERROR(VLOOKUP(TEXT($B$3,"yyyymmdd")&amp;"_"&amp;TEXT($B32*60+AE$10,"0000"),RawData!$A$2:$G$30000,5,FALSE),"")</f>
        <v>0</v>
      </c>
      <c r="AF32" s="49">
        <f>IFERROR(VLOOKUP(TEXT($B$3,"yyyymmdd")&amp;"_"&amp;TEXT($B32*60+AF$10,"0000"),RawData!$A$2:$G$30000,5,FALSE),"")</f>
        <v>3.0200000000000002E-4</v>
      </c>
      <c r="AG32" s="49">
        <f>IFERROR(VLOOKUP(TEXT($B$3,"yyyymmdd")&amp;"_"&amp;TEXT($B32*60+AG$10,"0000"),RawData!$A$2:$G$30000,5,FALSE),"")</f>
        <v>0</v>
      </c>
      <c r="AH32" s="49">
        <f>IFERROR(VLOOKUP(TEXT($B$3,"yyyymmdd")&amp;"_"&amp;TEXT($B32*60+AH$10,"0000"),RawData!$A$2:$G$30000,5,FALSE),"")</f>
        <v>0</v>
      </c>
      <c r="AI32" s="49">
        <f>IFERROR(VLOOKUP(TEXT($B$3,"yyyymmdd")&amp;"_"&amp;TEXT($B32*60+AI$10,"0000"),RawData!$A$2:$G$30000,5,FALSE),"")</f>
        <v>0</v>
      </c>
      <c r="AJ32" s="49">
        <f>IFERROR(VLOOKUP(TEXT($B$3,"yyyymmdd")&amp;"_"&amp;TEXT($B32*60+AJ$10,"0000"),RawData!$A$2:$G$30000,5,FALSE),"")</f>
        <v>2.81E-4</v>
      </c>
      <c r="AK32" s="49">
        <f>IFERROR(VLOOKUP(TEXT($B$3,"yyyymmdd")&amp;"_"&amp;TEXT($B32*60+AK$10,"0000"),RawData!$A$2:$G$30000,5,FALSE),"")</f>
        <v>4.6999999999999999E-4</v>
      </c>
      <c r="AL32" s="49">
        <f>IFERROR(VLOOKUP(TEXT($B$3,"yyyymmdd")&amp;"_"&amp;TEXT($B32*60+AL$10,"0000"),RawData!$A$2:$G$30000,5,FALSE),"")</f>
        <v>0</v>
      </c>
      <c r="AM32" s="49">
        <f>IFERROR(VLOOKUP(TEXT($B$3,"yyyymmdd")&amp;"_"&amp;TEXT($B32*60+AM$10,"0000"),RawData!$A$2:$G$30000,5,FALSE),"")</f>
        <v>0</v>
      </c>
      <c r="AN32" s="49">
        <f>IFERROR(VLOOKUP(TEXT($B$3,"yyyymmdd")&amp;"_"&amp;TEXT($B32*60+AN$10,"0000"),RawData!$A$2:$G$30000,5,FALSE),"")</f>
        <v>0</v>
      </c>
      <c r="AO32" s="49">
        <f>IFERROR(VLOOKUP(TEXT($B$3,"yyyymmdd")&amp;"_"&amp;TEXT($B32*60+AO$10,"0000"),RawData!$A$2:$G$30000,5,FALSE),"")</f>
        <v>0</v>
      </c>
      <c r="AP32" s="49">
        <f>IFERROR(VLOOKUP(TEXT($B$3,"yyyymmdd")&amp;"_"&amp;TEXT($B32*60+AP$10,"0000"),RawData!$A$2:$G$30000,5,FALSE),"")</f>
        <v>0</v>
      </c>
      <c r="AQ32" s="49">
        <f>IFERROR(VLOOKUP(TEXT($B$3,"yyyymmdd")&amp;"_"&amp;TEXT($B32*60+AQ$10,"0000"),RawData!$A$2:$G$30000,5,FALSE),"")</f>
        <v>0</v>
      </c>
      <c r="AR32" s="49">
        <f>IFERROR(VLOOKUP(TEXT($B$3,"yyyymmdd")&amp;"_"&amp;TEXT($B32*60+AR$10,"0000"),RawData!$A$2:$G$30000,5,FALSE),"")</f>
        <v>0</v>
      </c>
      <c r="AS32" s="49">
        <f>IFERROR(VLOOKUP(TEXT($B$3,"yyyymmdd")&amp;"_"&amp;TEXT($B32*60+AS$10,"0000"),RawData!$A$2:$G$30000,5,FALSE),"")</f>
        <v>0</v>
      </c>
      <c r="AT32" s="49">
        <f>IFERROR(VLOOKUP(TEXT($B$3,"yyyymmdd")&amp;"_"&amp;TEXT($B32*60+AT$10,"0000"),RawData!$A$2:$G$30000,5,FALSE),"")</f>
        <v>5.2999999999999998E-4</v>
      </c>
      <c r="AU32" s="49">
        <f>IFERROR(VLOOKUP(TEXT($B$3,"yyyymmdd")&amp;"_"&amp;TEXT($B32*60+AU$10,"0000"),RawData!$A$2:$G$30000,5,FALSE),"")</f>
        <v>5.0299999999999997E-4</v>
      </c>
      <c r="AV32" s="49">
        <f>IFERROR(VLOOKUP(TEXT($B$3,"yyyymmdd")&amp;"_"&amp;TEXT($B32*60+AV$10,"0000"),RawData!$A$2:$G$30000,5,FALSE),"")</f>
        <v>0</v>
      </c>
      <c r="AW32" s="49">
        <f>IFERROR(VLOOKUP(TEXT($B$3,"yyyymmdd")&amp;"_"&amp;TEXT($B32*60+AW$10,"0000"),RawData!$A$2:$G$30000,5,FALSE),"")</f>
        <v>3.5E-4</v>
      </c>
      <c r="AX32" s="49">
        <f>IFERROR(VLOOKUP(TEXT($B$3,"yyyymmdd")&amp;"_"&amp;TEXT($B32*60+AX$10,"0000"),RawData!$A$2:$G$30000,5,FALSE),"")</f>
        <v>0</v>
      </c>
      <c r="AY32" s="49">
        <f>IFERROR(VLOOKUP(TEXT($B$3,"yyyymmdd")&amp;"_"&amp;TEXT($B32*60+AY$10,"0000"),RawData!$A$2:$G$30000,5,FALSE),"")</f>
        <v>2.8699999999999998E-4</v>
      </c>
      <c r="AZ32" s="49">
        <f>IFERROR(VLOOKUP(TEXT($B$3,"yyyymmdd")&amp;"_"&amp;TEXT($B32*60+AZ$10,"0000"),RawData!$A$2:$G$30000,5,FALSE),"")</f>
        <v>2.8699999999999998E-4</v>
      </c>
      <c r="BA32" s="49">
        <f>IFERROR(VLOOKUP(TEXT($B$3,"yyyymmdd")&amp;"_"&amp;TEXT($B32*60+BA$10,"0000"),RawData!$A$2:$G$30000,5,FALSE),"")</f>
        <v>0</v>
      </c>
      <c r="BB32" s="49">
        <f>IFERROR(VLOOKUP(TEXT($B$3,"yyyymmdd")&amp;"_"&amp;TEXT($B32*60+BB$10,"0000"),RawData!$A$2:$G$30000,5,FALSE),"")</f>
        <v>0</v>
      </c>
      <c r="BC32" s="49">
        <f>IFERROR(VLOOKUP(TEXT($B$3,"yyyymmdd")&amp;"_"&amp;TEXT($B32*60+BC$10,"0000"),RawData!$A$2:$G$30000,5,FALSE),"")</f>
        <v>0</v>
      </c>
      <c r="BD32" s="49">
        <f>IFERROR(VLOOKUP(TEXT($B$3,"yyyymmdd")&amp;"_"&amp;TEXT($B32*60+BD$10,"0000"),RawData!$A$2:$G$30000,5,FALSE),"")</f>
        <v>6.8199999999999999E-4</v>
      </c>
      <c r="BE32" s="49">
        <f>IFERROR(VLOOKUP(TEXT($B$3,"yyyymmdd")&amp;"_"&amp;TEXT($B32*60+BE$10,"0000"),RawData!$A$2:$G$30000,5,FALSE),"")</f>
        <v>0</v>
      </c>
      <c r="BF32" s="49">
        <f>IFERROR(VLOOKUP(TEXT($B$3,"yyyymmdd")&amp;"_"&amp;TEXT($B32*60+BF$10,"0000"),RawData!$A$2:$G$30000,5,FALSE),"")</f>
        <v>0</v>
      </c>
      <c r="BG32" s="49">
        <f>IFERROR(VLOOKUP(TEXT($B$3,"yyyymmdd")&amp;"_"&amp;TEXT($B32*60+BG$10,"0000"),RawData!$A$2:$G$30000,5,FALSE),"")</f>
        <v>0</v>
      </c>
      <c r="BH32" s="49">
        <f>IFERROR(VLOOKUP(TEXT($B$3,"yyyymmdd")&amp;"_"&amp;TEXT($B32*60+BH$10,"0000"),RawData!$A$2:$G$30000,5,FALSE),"")</f>
        <v>0</v>
      </c>
      <c r="BI32" s="49">
        <f>IFERROR(VLOOKUP(TEXT($B$3,"yyyymmdd")&amp;"_"&amp;TEXT($B32*60+BI$10,"0000"),RawData!$A$2:$G$30000,5,FALSE),"")</f>
        <v>0</v>
      </c>
      <c r="BJ32" s="49">
        <f>IFERROR(VLOOKUP(TEXT($B$3,"yyyymmdd")&amp;"_"&amp;TEXT($B32*60+BJ$10,"0000"),RawData!$A$2:$G$30000,5,FALSE),"")</f>
        <v>0</v>
      </c>
      <c r="BK32" s="4" t="str">
        <f>IFERROR(VLOOKUP(TEXT($B$3,"yyyymmdd")&amp;"_"&amp;TEXT(21,"0000"),RawData!$A$2:$F$1441,4,FALSE),"")</f>
        <v>01</v>
      </c>
      <c r="BL32" s="19">
        <f>TIME(0,0,0)+21/1440</f>
        <v>1.4583333333333334E-2</v>
      </c>
      <c r="BM32" s="4">
        <f>IFERROR(VLOOKUP(TEXT($B$3,"yyyymmdd")&amp;"_"&amp;TEXT(21,"0000"),RawData!$A$2:$F$1441,5,FALSE),"")</f>
        <v>0</v>
      </c>
      <c r="BN32" s="4">
        <f t="shared" si="1"/>
        <v>0</v>
      </c>
    </row>
    <row r="33" spans="1:66" ht="18.399999999999999" customHeight="1" x14ac:dyDescent="0.6">
      <c r="A33" s="15"/>
      <c r="B33" s="18">
        <v>22</v>
      </c>
      <c r="C33" s="49">
        <f>IFERROR(VLOOKUP(TEXT($B$3,"yyyymmdd")&amp;"_"&amp;TEXT($B33*60+C$10,"0000"),RawData!$A$2:$G$30000,5,FALSE),"")</f>
        <v>4.9700000000000005E-4</v>
      </c>
      <c r="D33" s="49">
        <f>IFERROR(VLOOKUP(TEXT($B$3,"yyyymmdd")&amp;"_"&amp;TEXT($B33*60+D$10,"0000"),RawData!$A$2:$G$30000,5,FALSE),"")</f>
        <v>2.5700000000000001E-4</v>
      </c>
      <c r="E33" s="49">
        <f>IFERROR(VLOOKUP(TEXT($B$3,"yyyymmdd")&amp;"_"&amp;TEXT($B33*60+E$10,"0000"),RawData!$A$2:$G$30000,5,FALSE),"")</f>
        <v>0</v>
      </c>
      <c r="F33" s="49">
        <f>IFERROR(VLOOKUP(TEXT($B$3,"yyyymmdd")&amp;"_"&amp;TEXT($B33*60+F$10,"0000"),RawData!$A$2:$G$30000,5,FALSE),"")</f>
        <v>0</v>
      </c>
      <c r="G33" s="49">
        <f>IFERROR(VLOOKUP(TEXT($B$3,"yyyymmdd")&amp;"_"&amp;TEXT($B33*60+G$10,"0000"),RawData!$A$2:$G$30000,5,FALSE),"")</f>
        <v>0</v>
      </c>
      <c r="H33" s="49">
        <f>IFERROR(VLOOKUP(TEXT($B$3,"yyyymmdd")&amp;"_"&amp;TEXT($B33*60+H$10,"0000"),RawData!$A$2:$G$30000,5,FALSE),"")</f>
        <v>0</v>
      </c>
      <c r="I33" s="49">
        <f>IFERROR(VLOOKUP(TEXT($B$3,"yyyymmdd")&amp;"_"&amp;TEXT($B33*60+I$10,"0000"),RawData!$A$2:$G$30000,5,FALSE),"")</f>
        <v>5.8799999999999998E-4</v>
      </c>
      <c r="J33" s="49">
        <f>IFERROR(VLOOKUP(TEXT($B$3,"yyyymmdd")&amp;"_"&amp;TEXT($B33*60+J$10,"0000"),RawData!$A$2:$G$30000,5,FALSE),"")</f>
        <v>0</v>
      </c>
      <c r="K33" s="49">
        <f>IFERROR(VLOOKUP(TEXT($B$3,"yyyymmdd")&amp;"_"&amp;TEXT($B33*60+K$10,"0000"),RawData!$A$2:$G$30000,5,FALSE),"")</f>
        <v>4.9200000000000003E-4</v>
      </c>
      <c r="L33" s="49">
        <f>IFERROR(VLOOKUP(TEXT($B$3,"yyyymmdd")&amp;"_"&amp;TEXT($B33*60+L$10,"0000"),RawData!$A$2:$G$30000,5,FALSE),"")</f>
        <v>0</v>
      </c>
      <c r="M33" s="49">
        <f>IFERROR(VLOOKUP(TEXT($B$3,"yyyymmdd")&amp;"_"&amp;TEXT($B33*60+M$10,"0000"),RawData!$A$2:$G$30000,5,FALSE),"")</f>
        <v>2.3499999999999999E-4</v>
      </c>
      <c r="N33" s="49">
        <f>IFERROR(VLOOKUP(TEXT($B$3,"yyyymmdd")&amp;"_"&amp;TEXT($B33*60+N$10,"0000"),RawData!$A$2:$G$30000,5,FALSE),"")</f>
        <v>0</v>
      </c>
      <c r="O33" s="49">
        <f>IFERROR(VLOOKUP(TEXT($B$3,"yyyymmdd")&amp;"_"&amp;TEXT($B33*60+O$10,"0000"),RawData!$A$2:$G$30000,5,FALSE),"")</f>
        <v>0</v>
      </c>
      <c r="P33" s="49">
        <f>IFERROR(VLOOKUP(TEXT($B$3,"yyyymmdd")&amp;"_"&amp;TEXT($B33*60+P$10,"0000"),RawData!$A$2:$G$30000,5,FALSE),"")</f>
        <v>6.3699999999999998E-4</v>
      </c>
      <c r="Q33" s="49">
        <f>IFERROR(VLOOKUP(TEXT($B$3,"yyyymmdd")&amp;"_"&amp;TEXT($B33*60+Q$10,"0000"),RawData!$A$2:$G$30000,5,FALSE),"")</f>
        <v>0</v>
      </c>
      <c r="R33" s="49">
        <f>IFERROR(VLOOKUP(TEXT($B$3,"yyyymmdd")&amp;"_"&amp;TEXT($B33*60+R$10,"0000"),RawData!$A$2:$G$30000,5,FALSE),"")</f>
        <v>0</v>
      </c>
      <c r="S33" s="49">
        <f>IFERROR(VLOOKUP(TEXT($B$3,"yyyymmdd")&amp;"_"&amp;TEXT($B33*60+S$10,"0000"),RawData!$A$2:$G$30000,5,FALSE),"")</f>
        <v>0</v>
      </c>
      <c r="T33" s="49">
        <f>IFERROR(VLOOKUP(TEXT($B$3,"yyyymmdd")&amp;"_"&amp;TEXT($B33*60+T$10,"0000"),RawData!$A$2:$G$30000,5,FALSE),"")</f>
        <v>0</v>
      </c>
      <c r="U33" s="49">
        <f>IFERROR(VLOOKUP(TEXT($B$3,"yyyymmdd")&amp;"_"&amp;TEXT($B33*60+U$10,"0000"),RawData!$A$2:$G$30000,5,FALSE),"")</f>
        <v>4.0900000000000002E-4</v>
      </c>
      <c r="V33" s="49">
        <f>IFERROR(VLOOKUP(TEXT($B$3,"yyyymmdd")&amp;"_"&amp;TEXT($B33*60+V$10,"0000"),RawData!$A$2:$G$30000,5,FALSE),"")</f>
        <v>0</v>
      </c>
      <c r="W33" s="49">
        <f>IFERROR(VLOOKUP(TEXT($B$3,"yyyymmdd")&amp;"_"&amp;TEXT($B33*60+W$10,"0000"),RawData!$A$2:$G$30000,5,FALSE),"")</f>
        <v>0</v>
      </c>
      <c r="X33" s="49">
        <f>IFERROR(VLOOKUP(TEXT($B$3,"yyyymmdd")&amp;"_"&amp;TEXT($B33*60+X$10,"0000"),RawData!$A$2:$G$30000,5,FALSE),"")</f>
        <v>0</v>
      </c>
      <c r="Y33" s="49">
        <f>IFERROR(VLOOKUP(TEXT($B$3,"yyyymmdd")&amp;"_"&amp;TEXT($B33*60+Y$10,"0000"),RawData!$A$2:$G$30000,5,FALSE),"")</f>
        <v>0</v>
      </c>
      <c r="Z33" s="49">
        <f>IFERROR(VLOOKUP(TEXT($B$3,"yyyymmdd")&amp;"_"&amp;TEXT($B33*60+Z$10,"0000"),RawData!$A$2:$G$30000,5,FALSE),"")</f>
        <v>0</v>
      </c>
      <c r="AA33" s="49">
        <f>IFERROR(VLOOKUP(TEXT($B$3,"yyyymmdd")&amp;"_"&amp;TEXT($B33*60+AA$10,"0000"),RawData!$A$2:$G$30000,5,FALSE),"")</f>
        <v>0</v>
      </c>
      <c r="AB33" s="49">
        <f>IFERROR(VLOOKUP(TEXT($B$3,"yyyymmdd")&amp;"_"&amp;TEXT($B33*60+AB$10,"0000"),RawData!$A$2:$G$30000,5,FALSE),"")</f>
        <v>3.5199999999999999E-4</v>
      </c>
      <c r="AC33" s="49">
        <f>IFERROR(VLOOKUP(TEXT($B$3,"yyyymmdd")&amp;"_"&amp;TEXT($B33*60+AC$10,"0000"),RawData!$A$2:$G$30000,5,FALSE),"")</f>
        <v>0</v>
      </c>
      <c r="AD33" s="49">
        <f>IFERROR(VLOOKUP(TEXT($B$3,"yyyymmdd")&amp;"_"&amp;TEXT($B33*60+AD$10,"0000"),RawData!$A$2:$G$30000,5,FALSE),"")</f>
        <v>0</v>
      </c>
      <c r="AE33" s="49">
        <f>IFERROR(VLOOKUP(TEXT($B$3,"yyyymmdd")&amp;"_"&amp;TEXT($B33*60+AE$10,"0000"),RawData!$A$2:$G$30000,5,FALSE),"")</f>
        <v>4.1599999999999997E-4</v>
      </c>
      <c r="AF33" s="49">
        <f>IFERROR(VLOOKUP(TEXT($B$3,"yyyymmdd")&amp;"_"&amp;TEXT($B33*60+AF$10,"0000"),RawData!$A$2:$G$30000,5,FALSE),"")</f>
        <v>4.2900000000000002E-4</v>
      </c>
      <c r="AG33" s="49">
        <f>IFERROR(VLOOKUP(TEXT($B$3,"yyyymmdd")&amp;"_"&amp;TEXT($B33*60+AG$10,"0000"),RawData!$A$2:$G$30000,5,FALSE),"")</f>
        <v>0</v>
      </c>
      <c r="AH33" s="49">
        <f>IFERROR(VLOOKUP(TEXT($B$3,"yyyymmdd")&amp;"_"&amp;TEXT($B33*60+AH$10,"0000"),RawData!$A$2:$G$30000,5,FALSE),"")</f>
        <v>3.57E-4</v>
      </c>
      <c r="AI33" s="49">
        <f>IFERROR(VLOOKUP(TEXT($B$3,"yyyymmdd")&amp;"_"&amp;TEXT($B33*60+AI$10,"0000"),RawData!$A$2:$G$30000,5,FALSE),"")</f>
        <v>3.6200000000000002E-4</v>
      </c>
      <c r="AJ33" s="49">
        <f>IFERROR(VLOOKUP(TEXT($B$3,"yyyymmdd")&amp;"_"&amp;TEXT($B33*60+AJ$10,"0000"),RawData!$A$2:$G$30000,5,FALSE),"")</f>
        <v>3.5100000000000002E-4</v>
      </c>
      <c r="AK33" s="49">
        <f>IFERROR(VLOOKUP(TEXT($B$3,"yyyymmdd")&amp;"_"&amp;TEXT($B33*60+AK$10,"0000"),RawData!$A$2:$G$30000,5,FALSE),"")</f>
        <v>3.68E-4</v>
      </c>
      <c r="AL33" s="49">
        <f>IFERROR(VLOOKUP(TEXT($B$3,"yyyymmdd")&amp;"_"&amp;TEXT($B33*60+AL$10,"0000"),RawData!$A$2:$G$30000,5,FALSE),"")</f>
        <v>0</v>
      </c>
      <c r="AM33" s="49">
        <f>IFERROR(VLOOKUP(TEXT($B$3,"yyyymmdd")&amp;"_"&amp;TEXT($B33*60+AM$10,"0000"),RawData!$A$2:$G$30000,5,FALSE),"")</f>
        <v>3.5300000000000002E-4</v>
      </c>
      <c r="AN33" s="49">
        <f>IFERROR(VLOOKUP(TEXT($B$3,"yyyymmdd")&amp;"_"&amp;TEXT($B33*60+AN$10,"0000"),RawData!$A$2:$G$30000,5,FALSE),"")</f>
        <v>0</v>
      </c>
      <c r="AO33" s="49">
        <f>IFERROR(VLOOKUP(TEXT($B$3,"yyyymmdd")&amp;"_"&amp;TEXT($B33*60+AO$10,"0000"),RawData!$A$2:$G$30000,5,FALSE),"")</f>
        <v>0</v>
      </c>
      <c r="AP33" s="49">
        <f>IFERROR(VLOOKUP(TEXT($B$3,"yyyymmdd")&amp;"_"&amp;TEXT($B33*60+AP$10,"0000"),RawData!$A$2:$G$30000,5,FALSE),"")</f>
        <v>0</v>
      </c>
      <c r="AQ33" s="49">
        <f>IFERROR(VLOOKUP(TEXT($B$3,"yyyymmdd")&amp;"_"&amp;TEXT($B33*60+AQ$10,"0000"),RawData!$A$2:$G$30000,5,FALSE),"")</f>
        <v>0</v>
      </c>
      <c r="AR33" s="49">
        <f>IFERROR(VLOOKUP(TEXT($B$3,"yyyymmdd")&amp;"_"&amp;TEXT($B33*60+AR$10,"0000"),RawData!$A$2:$G$30000,5,FALSE),"")</f>
        <v>0</v>
      </c>
      <c r="AS33" s="49">
        <f>IFERROR(VLOOKUP(TEXT($B$3,"yyyymmdd")&amp;"_"&amp;TEXT($B33*60+AS$10,"0000"),RawData!$A$2:$G$30000,5,FALSE),"")</f>
        <v>0</v>
      </c>
      <c r="AT33" s="49">
        <f>IFERROR(VLOOKUP(TEXT($B$3,"yyyymmdd")&amp;"_"&amp;TEXT($B33*60+AT$10,"0000"),RawData!$A$2:$G$30000,5,FALSE),"")</f>
        <v>0</v>
      </c>
      <c r="AU33" s="49">
        <f>IFERROR(VLOOKUP(TEXT($B$3,"yyyymmdd")&amp;"_"&amp;TEXT($B33*60+AU$10,"0000"),RawData!$A$2:$G$30000,5,FALSE),"")</f>
        <v>0</v>
      </c>
      <c r="AV33" s="49">
        <f>IFERROR(VLOOKUP(TEXT($B$3,"yyyymmdd")&amp;"_"&amp;TEXT($B33*60+AV$10,"0000"),RawData!$A$2:$G$30000,5,FALSE),"")</f>
        <v>0</v>
      </c>
      <c r="AW33" s="49">
        <f>IFERROR(VLOOKUP(TEXT($B$3,"yyyymmdd")&amp;"_"&amp;TEXT($B33*60+AW$10,"0000"),RawData!$A$2:$G$30000,5,FALSE),"")</f>
        <v>0</v>
      </c>
      <c r="AX33" s="49">
        <f>IFERROR(VLOOKUP(TEXT($B$3,"yyyymmdd")&amp;"_"&amp;TEXT($B33*60+AX$10,"0000"),RawData!$A$2:$G$30000,5,FALSE),"")</f>
        <v>0</v>
      </c>
      <c r="AY33" s="49">
        <f>IFERROR(VLOOKUP(TEXT($B$3,"yyyymmdd")&amp;"_"&amp;TEXT($B33*60+AY$10,"0000"),RawData!$A$2:$G$30000,5,FALSE),"")</f>
        <v>0</v>
      </c>
      <c r="AZ33" s="49">
        <f>IFERROR(VLOOKUP(TEXT($B$3,"yyyymmdd")&amp;"_"&amp;TEXT($B33*60+AZ$10,"0000"),RawData!$A$2:$G$30000,5,FALSE),"")</f>
        <v>0</v>
      </c>
      <c r="BA33" s="49">
        <f>IFERROR(VLOOKUP(TEXT($B$3,"yyyymmdd")&amp;"_"&amp;TEXT($B33*60+BA$10,"0000"),RawData!$A$2:$G$30000,5,FALSE),"")</f>
        <v>0</v>
      </c>
      <c r="BB33" s="49">
        <f>IFERROR(VLOOKUP(TEXT($B$3,"yyyymmdd")&amp;"_"&amp;TEXT($B33*60+BB$10,"0000"),RawData!$A$2:$G$30000,5,FALSE),"")</f>
        <v>0</v>
      </c>
      <c r="BC33" s="49">
        <f>IFERROR(VLOOKUP(TEXT($B$3,"yyyymmdd")&amp;"_"&amp;TEXT($B33*60+BC$10,"0000"),RawData!$A$2:$G$30000,5,FALSE),"")</f>
        <v>0</v>
      </c>
      <c r="BD33" s="49">
        <f>IFERROR(VLOOKUP(TEXT($B$3,"yyyymmdd")&amp;"_"&amp;TEXT($B33*60+BD$10,"0000"),RawData!$A$2:$G$30000,5,FALSE),"")</f>
        <v>0</v>
      </c>
      <c r="BE33" s="49">
        <f>IFERROR(VLOOKUP(TEXT($B$3,"yyyymmdd")&amp;"_"&amp;TEXT($B33*60+BE$10,"0000"),RawData!$A$2:$G$30000,5,FALSE),"")</f>
        <v>0</v>
      </c>
      <c r="BF33" s="49">
        <f>IFERROR(VLOOKUP(TEXT($B$3,"yyyymmdd")&amp;"_"&amp;TEXT($B33*60+BF$10,"0000"),RawData!$A$2:$G$30000,5,FALSE),"")</f>
        <v>0</v>
      </c>
      <c r="BG33" s="49">
        <f>IFERROR(VLOOKUP(TEXT($B$3,"yyyymmdd")&amp;"_"&amp;TEXT($B33*60+BG$10,"0000"),RawData!$A$2:$G$30000,5,FALSE),"")</f>
        <v>0</v>
      </c>
      <c r="BH33" s="49">
        <f>IFERROR(VLOOKUP(TEXT($B$3,"yyyymmdd")&amp;"_"&amp;TEXT($B33*60+BH$10,"0000"),RawData!$A$2:$G$30000,5,FALSE),"")</f>
        <v>0</v>
      </c>
      <c r="BI33" s="49">
        <f>IFERROR(VLOOKUP(TEXT($B$3,"yyyymmdd")&amp;"_"&amp;TEXT($B33*60+BI$10,"0000"),RawData!$A$2:$G$30000,5,FALSE),"")</f>
        <v>0</v>
      </c>
      <c r="BJ33" s="49">
        <f>IFERROR(VLOOKUP(TEXT($B$3,"yyyymmdd")&amp;"_"&amp;TEXT($B33*60+BJ$10,"0000"),RawData!$A$2:$G$30000,5,FALSE),"")</f>
        <v>5.5000000000000003E-4</v>
      </c>
      <c r="BK33" s="4" t="str">
        <f>IFERROR(VLOOKUP(TEXT($B$3,"yyyymmdd")&amp;"_"&amp;TEXT(22,"0000"),RawData!$A$2:$F$1441,4,FALSE),"")</f>
        <v>01</v>
      </c>
      <c r="BL33" s="19">
        <f>TIME(0,0,0)+22/1440</f>
        <v>1.5277777777777777E-2</v>
      </c>
      <c r="BM33" s="4">
        <f>IFERROR(VLOOKUP(TEXT($B$3,"yyyymmdd")&amp;"_"&amp;TEXT(22,"0000"),RawData!$A$2:$F$1441,5,FALSE),"")</f>
        <v>0</v>
      </c>
      <c r="BN33" s="4">
        <f t="shared" si="1"/>
        <v>0</v>
      </c>
    </row>
    <row r="34" spans="1:66" ht="18.399999999999999" customHeight="1" x14ac:dyDescent="0.6">
      <c r="A34" s="15"/>
      <c r="B34" s="18">
        <v>23</v>
      </c>
      <c r="C34" s="49">
        <f>IFERROR(VLOOKUP(TEXT($B$3,"yyyymmdd")&amp;"_"&amp;TEXT($B34*60+C$10,"0000"),RawData!$A$2:$G$30000,5,FALSE),"")</f>
        <v>0</v>
      </c>
      <c r="D34" s="49">
        <f>IFERROR(VLOOKUP(TEXT($B$3,"yyyymmdd")&amp;"_"&amp;TEXT($B34*60+D$10,"0000"),RawData!$A$2:$G$30000,5,FALSE),"")</f>
        <v>0</v>
      </c>
      <c r="E34" s="49">
        <f>IFERROR(VLOOKUP(TEXT($B$3,"yyyymmdd")&amp;"_"&amp;TEXT($B34*60+E$10,"0000"),RawData!$A$2:$G$30000,5,FALSE),"")</f>
        <v>0</v>
      </c>
      <c r="F34" s="49">
        <f>IFERROR(VLOOKUP(TEXT($B$3,"yyyymmdd")&amp;"_"&amp;TEXT($B34*60+F$10,"0000"),RawData!$A$2:$G$30000,5,FALSE),"")</f>
        <v>0</v>
      </c>
      <c r="G34" s="49">
        <f>IFERROR(VLOOKUP(TEXT($B$3,"yyyymmdd")&amp;"_"&amp;TEXT($B34*60+G$10,"0000"),RawData!$A$2:$G$30000,5,FALSE),"")</f>
        <v>0</v>
      </c>
      <c r="H34" s="49">
        <f>IFERROR(VLOOKUP(TEXT($B$3,"yyyymmdd")&amp;"_"&amp;TEXT($B34*60+H$10,"0000"),RawData!$A$2:$G$30000,5,FALSE),"")</f>
        <v>0</v>
      </c>
      <c r="I34" s="49">
        <f>IFERROR(VLOOKUP(TEXT($B$3,"yyyymmdd")&amp;"_"&amp;TEXT($B34*60+I$10,"0000"),RawData!$A$2:$G$30000,5,FALSE),"")</f>
        <v>5.8900000000000001E-4</v>
      </c>
      <c r="J34" s="49">
        <f>IFERROR(VLOOKUP(TEXT($B$3,"yyyymmdd")&amp;"_"&amp;TEXT($B34*60+J$10,"0000"),RawData!$A$2:$G$30000,5,FALSE),"")</f>
        <v>0</v>
      </c>
      <c r="K34" s="49">
        <f>IFERROR(VLOOKUP(TEXT($B$3,"yyyymmdd")&amp;"_"&amp;TEXT($B34*60+K$10,"0000"),RawData!$A$2:$G$30000,5,FALSE),"")</f>
        <v>0</v>
      </c>
      <c r="L34" s="49">
        <f>IFERROR(VLOOKUP(TEXT($B$3,"yyyymmdd")&amp;"_"&amp;TEXT($B34*60+L$10,"0000"),RawData!$A$2:$G$30000,5,FALSE),"")</f>
        <v>0</v>
      </c>
      <c r="M34" s="49">
        <f>IFERROR(VLOOKUP(TEXT($B$3,"yyyymmdd")&amp;"_"&amp;TEXT($B34*60+M$10,"0000"),RawData!$A$2:$G$30000,5,FALSE),"")</f>
        <v>0</v>
      </c>
      <c r="N34" s="49">
        <f>IFERROR(VLOOKUP(TEXT($B$3,"yyyymmdd")&amp;"_"&amp;TEXT($B34*60+N$10,"0000"),RawData!$A$2:$G$30000,5,FALSE),"")</f>
        <v>5.3300000000000005E-4</v>
      </c>
      <c r="O34" s="49">
        <f>IFERROR(VLOOKUP(TEXT($B$3,"yyyymmdd")&amp;"_"&amp;TEXT($B34*60+O$10,"0000"),RawData!$A$2:$G$30000,5,FALSE),"")</f>
        <v>3.8099999999999999E-4</v>
      </c>
      <c r="P34" s="49">
        <f>IFERROR(VLOOKUP(TEXT($B$3,"yyyymmdd")&amp;"_"&amp;TEXT($B34*60+P$10,"0000"),RawData!$A$2:$G$30000,5,FALSE),"")</f>
        <v>0</v>
      </c>
      <c r="Q34" s="49">
        <f>IFERROR(VLOOKUP(TEXT($B$3,"yyyymmdd")&amp;"_"&amp;TEXT($B34*60+Q$10,"0000"),RawData!$A$2:$G$30000,5,FALSE),"")</f>
        <v>0</v>
      </c>
      <c r="R34" s="49">
        <f>IFERROR(VLOOKUP(TEXT($B$3,"yyyymmdd")&amp;"_"&amp;TEXT($B34*60+R$10,"0000"),RawData!$A$2:$G$30000,5,FALSE),"")</f>
        <v>0</v>
      </c>
      <c r="S34" s="49">
        <f>IFERROR(VLOOKUP(TEXT($B$3,"yyyymmdd")&amp;"_"&amp;TEXT($B34*60+S$10,"0000"),RawData!$A$2:$G$30000,5,FALSE),"")</f>
        <v>0</v>
      </c>
      <c r="T34" s="49">
        <f>IFERROR(VLOOKUP(TEXT($B$3,"yyyymmdd")&amp;"_"&amp;TEXT($B34*60+T$10,"0000"),RawData!$A$2:$G$30000,5,FALSE),"")</f>
        <v>0</v>
      </c>
      <c r="U34" s="49">
        <f>IFERROR(VLOOKUP(TEXT($B$3,"yyyymmdd")&amp;"_"&amp;TEXT($B34*60+U$10,"0000"),RawData!$A$2:$G$30000,5,FALSE),"")</f>
        <v>0</v>
      </c>
      <c r="V34" s="49">
        <f>IFERROR(VLOOKUP(TEXT($B$3,"yyyymmdd")&amp;"_"&amp;TEXT($B34*60+V$10,"0000"),RawData!$A$2:$G$30000,5,FALSE),"")</f>
        <v>0</v>
      </c>
      <c r="W34" s="49">
        <f>IFERROR(VLOOKUP(TEXT($B$3,"yyyymmdd")&amp;"_"&amp;TEXT($B34*60+W$10,"0000"),RawData!$A$2:$G$30000,5,FALSE),"")</f>
        <v>0</v>
      </c>
      <c r="X34" s="49">
        <f>IFERROR(VLOOKUP(TEXT($B$3,"yyyymmdd")&amp;"_"&amp;TEXT($B34*60+X$10,"0000"),RawData!$A$2:$G$30000,5,FALSE),"")</f>
        <v>0</v>
      </c>
      <c r="Y34" s="49">
        <f>IFERROR(VLOOKUP(TEXT($B$3,"yyyymmdd")&amp;"_"&amp;TEXT($B34*60+Y$10,"0000"),RawData!$A$2:$G$30000,5,FALSE),"")</f>
        <v>3.9199999999999999E-4</v>
      </c>
      <c r="Z34" s="49">
        <f>IFERROR(VLOOKUP(TEXT($B$3,"yyyymmdd")&amp;"_"&amp;TEXT($B34*60+Z$10,"0000"),RawData!$A$2:$G$30000,5,FALSE),"")</f>
        <v>0</v>
      </c>
      <c r="AA34" s="49">
        <f>IFERROR(VLOOKUP(TEXT($B$3,"yyyymmdd")&amp;"_"&amp;TEXT($B34*60+AA$10,"0000"),RawData!$A$2:$G$30000,5,FALSE),"")</f>
        <v>0</v>
      </c>
      <c r="AB34" s="49">
        <f>IFERROR(VLOOKUP(TEXT($B$3,"yyyymmdd")&amp;"_"&amp;TEXT($B34*60+AB$10,"0000"),RawData!$A$2:$G$30000,5,FALSE),"")</f>
        <v>0</v>
      </c>
      <c r="AC34" s="49">
        <f>IFERROR(VLOOKUP(TEXT($B$3,"yyyymmdd")&amp;"_"&amp;TEXT($B34*60+AC$10,"0000"),RawData!$A$2:$G$30000,5,FALSE),"")</f>
        <v>0</v>
      </c>
      <c r="AD34" s="49">
        <f>IFERROR(VLOOKUP(TEXT($B$3,"yyyymmdd")&amp;"_"&amp;TEXT($B34*60+AD$10,"0000"),RawData!$A$2:$G$30000,5,FALSE),"")</f>
        <v>0</v>
      </c>
      <c r="AE34" s="49">
        <f>IFERROR(VLOOKUP(TEXT($B$3,"yyyymmdd")&amp;"_"&amp;TEXT($B34*60+AE$10,"0000"),RawData!$A$2:$G$30000,5,FALSE),"")</f>
        <v>0</v>
      </c>
      <c r="AF34" s="49">
        <f>IFERROR(VLOOKUP(TEXT($B$3,"yyyymmdd")&amp;"_"&amp;TEXT($B34*60+AF$10,"0000"),RawData!$A$2:$G$30000,5,FALSE),"")</f>
        <v>0</v>
      </c>
      <c r="AG34" s="49">
        <f>IFERROR(VLOOKUP(TEXT($B$3,"yyyymmdd")&amp;"_"&amp;TEXT($B34*60+AG$10,"0000"),RawData!$A$2:$G$30000,5,FALSE),"")</f>
        <v>0</v>
      </c>
      <c r="AH34" s="49">
        <f>IFERROR(VLOOKUP(TEXT($B$3,"yyyymmdd")&amp;"_"&amp;TEXT($B34*60+AH$10,"0000"),RawData!$A$2:$G$30000,5,FALSE),"")</f>
        <v>0</v>
      </c>
      <c r="AI34" s="49">
        <f>IFERROR(VLOOKUP(TEXT($B$3,"yyyymmdd")&amp;"_"&amp;TEXT($B34*60+AI$10,"0000"),RawData!$A$2:$G$30000,5,FALSE),"")</f>
        <v>0</v>
      </c>
      <c r="AJ34" s="49">
        <f>IFERROR(VLOOKUP(TEXT($B$3,"yyyymmdd")&amp;"_"&amp;TEXT($B34*60+AJ$10,"0000"),RawData!$A$2:$G$30000,5,FALSE),"")</f>
        <v>3.9599999999999998E-4</v>
      </c>
      <c r="AK34" s="49">
        <f>IFERROR(VLOOKUP(TEXT($B$3,"yyyymmdd")&amp;"_"&amp;TEXT($B34*60+AK$10,"0000"),RawData!$A$2:$G$30000,5,FALSE),"")</f>
        <v>0</v>
      </c>
      <c r="AL34" s="49">
        <f>IFERROR(VLOOKUP(TEXT($B$3,"yyyymmdd")&amp;"_"&amp;TEXT($B34*60+AL$10,"0000"),RawData!$A$2:$G$30000,5,FALSE),"")</f>
        <v>0</v>
      </c>
      <c r="AM34" s="49">
        <f>IFERROR(VLOOKUP(TEXT($B$3,"yyyymmdd")&amp;"_"&amp;TEXT($B34*60+AM$10,"0000"),RawData!$A$2:$G$30000,5,FALSE),"")</f>
        <v>0</v>
      </c>
      <c r="AN34" s="49">
        <f>IFERROR(VLOOKUP(TEXT($B$3,"yyyymmdd")&amp;"_"&amp;TEXT($B34*60+AN$10,"0000"),RawData!$A$2:$G$30000,5,FALSE),"")</f>
        <v>4.6900000000000002E-4</v>
      </c>
      <c r="AO34" s="49">
        <f>IFERROR(VLOOKUP(TEXT($B$3,"yyyymmdd")&amp;"_"&amp;TEXT($B34*60+AO$10,"0000"),RawData!$A$2:$G$30000,5,FALSE),"")</f>
        <v>3.3799999999999998E-4</v>
      </c>
      <c r="AP34" s="49">
        <f>IFERROR(VLOOKUP(TEXT($B$3,"yyyymmdd")&amp;"_"&amp;TEXT($B34*60+AP$10,"0000"),RawData!$A$2:$G$30000,5,FALSE),"")</f>
        <v>5.3700000000000004E-4</v>
      </c>
      <c r="AQ34" s="49">
        <f>IFERROR(VLOOKUP(TEXT($B$3,"yyyymmdd")&amp;"_"&amp;TEXT($B34*60+AQ$10,"0000"),RawData!$A$2:$G$30000,5,FALSE),"")</f>
        <v>0</v>
      </c>
      <c r="AR34" s="49">
        <f>IFERROR(VLOOKUP(TEXT($B$3,"yyyymmdd")&amp;"_"&amp;TEXT($B34*60+AR$10,"0000"),RawData!$A$2:$G$30000,5,FALSE),"")</f>
        <v>5.2300000000000003E-4</v>
      </c>
      <c r="AS34" s="49">
        <f>IFERROR(VLOOKUP(TEXT($B$3,"yyyymmdd")&amp;"_"&amp;TEXT($B34*60+AS$10,"0000"),RawData!$A$2:$G$30000,5,FALSE),"")</f>
        <v>0</v>
      </c>
      <c r="AT34" s="49">
        <f>IFERROR(VLOOKUP(TEXT($B$3,"yyyymmdd")&amp;"_"&amp;TEXT($B34*60+AT$10,"0000"),RawData!$A$2:$G$30000,5,FALSE),"")</f>
        <v>7.9799999999999999E-4</v>
      </c>
      <c r="AU34" s="49">
        <f>IFERROR(VLOOKUP(TEXT($B$3,"yyyymmdd")&amp;"_"&amp;TEXT($B34*60+AU$10,"0000"),RawData!$A$2:$G$30000,5,FALSE),"")</f>
        <v>3.3E-4</v>
      </c>
      <c r="AV34" s="49">
        <f>IFERROR(VLOOKUP(TEXT($B$3,"yyyymmdd")&amp;"_"&amp;TEXT($B34*60+AV$10,"0000"),RawData!$A$2:$G$30000,5,FALSE),"")</f>
        <v>0</v>
      </c>
      <c r="AW34" s="49">
        <f>IFERROR(VLOOKUP(TEXT($B$3,"yyyymmdd")&amp;"_"&amp;TEXT($B34*60+AW$10,"0000"),RawData!$A$2:$G$30000,5,FALSE),"")</f>
        <v>2.6499999999999999E-4</v>
      </c>
      <c r="AX34" s="49">
        <f>IFERROR(VLOOKUP(TEXT($B$3,"yyyymmdd")&amp;"_"&amp;TEXT($B34*60+AX$10,"0000"),RawData!$A$2:$G$30000,5,FALSE),"")</f>
        <v>0</v>
      </c>
      <c r="AY34" s="49">
        <f>IFERROR(VLOOKUP(TEXT($B$3,"yyyymmdd")&amp;"_"&amp;TEXT($B34*60+AY$10,"0000"),RawData!$A$2:$G$30000,5,FALSE),"")</f>
        <v>3.39E-4</v>
      </c>
      <c r="AZ34" s="49">
        <f>IFERROR(VLOOKUP(TEXT($B$3,"yyyymmdd")&amp;"_"&amp;TEXT($B34*60+AZ$10,"0000"),RawData!$A$2:$G$30000,5,FALSE),"")</f>
        <v>0</v>
      </c>
      <c r="BA34" s="49">
        <f>IFERROR(VLOOKUP(TEXT($B$3,"yyyymmdd")&amp;"_"&amp;TEXT($B34*60+BA$10,"0000"),RawData!$A$2:$G$30000,5,FALSE),"")</f>
        <v>0</v>
      </c>
      <c r="BB34" s="49">
        <f>IFERROR(VLOOKUP(TEXT($B$3,"yyyymmdd")&amp;"_"&amp;TEXT($B34*60+BB$10,"0000"),RawData!$A$2:$G$30000,5,FALSE),"")</f>
        <v>0</v>
      </c>
      <c r="BC34" s="49">
        <f>IFERROR(VLOOKUP(TEXT($B$3,"yyyymmdd")&amp;"_"&amp;TEXT($B34*60+BC$10,"0000"),RawData!$A$2:$G$30000,5,FALSE),"")</f>
        <v>2.2900000000000001E-4</v>
      </c>
      <c r="BD34" s="49">
        <f>IFERROR(VLOOKUP(TEXT($B$3,"yyyymmdd")&amp;"_"&amp;TEXT($B34*60+BD$10,"0000"),RawData!$A$2:$G$30000,5,FALSE),"")</f>
        <v>0</v>
      </c>
      <c r="BE34" s="49">
        <f>IFERROR(VLOOKUP(TEXT($B$3,"yyyymmdd")&amp;"_"&amp;TEXT($B34*60+BE$10,"0000"),RawData!$A$2:$G$30000,5,FALSE),"")</f>
        <v>0</v>
      </c>
      <c r="BF34" s="49">
        <f>IFERROR(VLOOKUP(TEXT($B$3,"yyyymmdd")&amp;"_"&amp;TEXT($B34*60+BF$10,"0000"),RawData!$A$2:$G$30000,5,FALSE),"")</f>
        <v>3.8699999999999997E-4</v>
      </c>
      <c r="BG34" s="49">
        <f>IFERROR(VLOOKUP(TEXT($B$3,"yyyymmdd")&amp;"_"&amp;TEXT($B34*60+BG$10,"0000"),RawData!$A$2:$G$30000,5,FALSE),"")</f>
        <v>4.3399999999999998E-4</v>
      </c>
      <c r="BH34" s="49">
        <f>IFERROR(VLOOKUP(TEXT($B$3,"yyyymmdd")&amp;"_"&amp;TEXT($B34*60+BH$10,"0000"),RawData!$A$2:$G$30000,5,FALSE),"")</f>
        <v>1.65E-4</v>
      </c>
      <c r="BI34" s="49">
        <f>IFERROR(VLOOKUP(TEXT($B$3,"yyyymmdd")&amp;"_"&amp;TEXT($B34*60+BI$10,"0000"),RawData!$A$2:$G$30000,5,FALSE),"")</f>
        <v>0</v>
      </c>
      <c r="BJ34" s="49">
        <f>IFERROR(VLOOKUP(TEXT($B$3,"yyyymmdd")&amp;"_"&amp;TEXT($B34*60+BJ$10,"0000"),RawData!$A$2:$G$30000,5,FALSE),"")</f>
        <v>0</v>
      </c>
      <c r="BK34" s="4" t="str">
        <f>IFERROR(VLOOKUP(TEXT($B$3,"yyyymmdd")&amp;"_"&amp;TEXT(23,"0000"),RawData!$A$2:$F$1441,4,FALSE),"")</f>
        <v>01</v>
      </c>
      <c r="BL34" s="19">
        <f>TIME(0,0,0)+23/1440</f>
        <v>1.5972222222222221E-2</v>
      </c>
      <c r="BM34" s="4">
        <f>IFERROR(VLOOKUP(TEXT($B$3,"yyyymmdd")&amp;"_"&amp;TEXT(23,"0000"),RawData!$A$2:$F$1441,5,FALSE),"")</f>
        <v>0</v>
      </c>
      <c r="BN34" s="4">
        <f t="shared" si="1"/>
        <v>0</v>
      </c>
    </row>
    <row r="35" spans="1:66" ht="18.399999999999999" customHeight="1" x14ac:dyDescent="0.6">
      <c r="A35" s="15"/>
      <c r="B35" s="32"/>
      <c r="C35" s="30"/>
      <c r="D35" s="30"/>
      <c r="E35" s="31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4" t="str">
        <f>IFERROR(VLOOKUP(TEXT($B$3,"yyyymmdd")&amp;"_"&amp;TEXT(24,"0000"),RawData!$A$2:$F$1441,4,FALSE),"")</f>
        <v>01</v>
      </c>
      <c r="BL35" s="19">
        <f>TIME(0,0,0)+24/1440</f>
        <v>1.6666666666666666E-2</v>
      </c>
      <c r="BM35" s="4">
        <f>IFERROR(VLOOKUP(TEXT($B$3,"yyyymmdd")&amp;"_"&amp;TEXT(24,"0000"),RawData!$A$2:$F$1441,5,FALSE),"")</f>
        <v>0</v>
      </c>
      <c r="BN35" s="4">
        <f t="shared" si="1"/>
        <v>0</v>
      </c>
    </row>
    <row r="36" spans="1:66" ht="18.399999999999999" customHeight="1" x14ac:dyDescent="0.6">
      <c r="A36" s="15" t="s">
        <v>35</v>
      </c>
      <c r="B36" s="32"/>
      <c r="C36" s="30"/>
      <c r="D36" s="30"/>
      <c r="E36" s="31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4" t="str">
        <f>IFERROR(VLOOKUP(TEXT($B$3,"yyyymmdd")&amp;"_"&amp;TEXT(25,"0000"),RawData!$A$2:$F$1441,4,FALSE),"")</f>
        <v>01</v>
      </c>
      <c r="BL36" s="19">
        <f>TIME(0,0,0)+25/1440</f>
        <v>1.7361111111111112E-2</v>
      </c>
      <c r="BM36" s="4">
        <f>IFERROR(VLOOKUP(TEXT($B$3,"yyyymmdd")&amp;"_"&amp;TEXT(25,"0000"),RawData!$A$2:$F$1441,5,FALSE),"")</f>
        <v>0</v>
      </c>
      <c r="BN36" s="4">
        <f t="shared" si="1"/>
        <v>0</v>
      </c>
    </row>
    <row r="37" spans="1:66" ht="18.399999999999999" customHeight="1" x14ac:dyDescent="0.6">
      <c r="A37" s="24" t="s">
        <v>26</v>
      </c>
      <c r="B37" s="34" t="s">
        <v>25</v>
      </c>
      <c r="C37" s="30"/>
      <c r="D37" s="30"/>
      <c r="G37" s="30" t="str">
        <f>IFERROR(VLOOKUP(VLOOKUP(TEXT($B$3,"yyyymmdd")&amp;"_"&amp;TEXT($B37*60+4,"0000"),RawData!$A$2:$F$1441,4,FALSE),Mapping!$A$4:$B$9,2,FALSE),"")</f>
        <v/>
      </c>
      <c r="H37" s="30" t="str">
        <f>IFERROR(VLOOKUP(VLOOKUP(TEXT($B$3,"yyyymmdd")&amp;"_"&amp;TEXT($B37*60+5,"0000"),RawData!$A$2:$F$1441,4,FALSE),Mapping!$A$4:$B$9,2,FALSE),"")</f>
        <v/>
      </c>
      <c r="I37" s="30" t="str">
        <f>IFERROR(VLOOKUP(VLOOKUP(TEXT($B$3,"yyyymmdd")&amp;"_"&amp;TEXT($B37*60+6,"0000"),RawData!$A$2:$F$1441,4,FALSE),Mapping!$A$4:$B$9,2,FALSE),"")</f>
        <v/>
      </c>
      <c r="J37" s="30" t="str">
        <f>IFERROR(VLOOKUP(VLOOKUP(TEXT($B$3,"yyyymmdd")&amp;"_"&amp;TEXT($B37*60+7,"0000"),RawData!$A$2:$F$1441,4,FALSE),Mapping!$A$4:$B$9,2,FALSE),"")</f>
        <v/>
      </c>
      <c r="K37" s="30" t="str">
        <f>IFERROR(VLOOKUP(VLOOKUP(TEXT($B$3,"yyyymmdd")&amp;"_"&amp;TEXT($B37*60+8,"0000"),RawData!$A$2:$F$1441,4,FALSE),Mapping!$A$4:$B$9,2,FALSE),"")</f>
        <v/>
      </c>
      <c r="L37" s="30" t="str">
        <f>IFERROR(VLOOKUP(VLOOKUP(TEXT($B$3,"yyyymmdd")&amp;"_"&amp;TEXT($B37*60+9,"0000"),RawData!$A$2:$F$1441,4,FALSE),Mapping!$A$4:$B$9,2,FALSE),"")</f>
        <v/>
      </c>
      <c r="M37" s="30" t="str">
        <f>IFERROR(VLOOKUP(VLOOKUP(TEXT($B$3,"yyyymmdd")&amp;"_"&amp;TEXT($B37*60+10,"0000"),RawData!$A$2:$F$1441,4,FALSE),Mapping!$A$4:$B$9,2,FALSE),"")</f>
        <v/>
      </c>
      <c r="N37" s="30" t="str">
        <f>IFERROR(VLOOKUP(VLOOKUP(TEXT($B$3,"yyyymmdd")&amp;"_"&amp;TEXT($B37*60+11,"0000"),RawData!$A$2:$F$1441,4,FALSE),Mapping!$A$4:$B$9,2,FALSE),"")</f>
        <v/>
      </c>
      <c r="O37" s="30" t="str">
        <f>IFERROR(VLOOKUP(VLOOKUP(TEXT($B$3,"yyyymmdd")&amp;"_"&amp;TEXT($B37*60+12,"0000"),RawData!$A$2:$F$1441,4,FALSE),Mapping!$A$4:$B$9,2,FALSE),"")</f>
        <v/>
      </c>
      <c r="P37" s="30" t="str">
        <f>IFERROR(VLOOKUP(VLOOKUP(TEXT($B$3,"yyyymmdd")&amp;"_"&amp;TEXT($B37*60+13,"0000"),RawData!$A$2:$F$1441,4,FALSE),Mapping!$A$4:$B$9,2,FALSE),"")</f>
        <v/>
      </c>
      <c r="Q37" s="30" t="str">
        <f>IFERROR(VLOOKUP(VLOOKUP(TEXT($B$3,"yyyymmdd")&amp;"_"&amp;TEXT($B37*60+14,"0000"),RawData!$A$2:$F$1441,4,FALSE),Mapping!$A$4:$B$9,2,FALSE),"")</f>
        <v/>
      </c>
      <c r="R37" s="30" t="str">
        <f>IFERROR(VLOOKUP(VLOOKUP(TEXT($B$3,"yyyymmdd")&amp;"_"&amp;TEXT($B37*60+15,"0000"),RawData!$A$2:$F$1441,4,FALSE),Mapping!$A$4:$B$9,2,FALSE),"")</f>
        <v/>
      </c>
      <c r="S37" s="30" t="str">
        <f>IFERROR(VLOOKUP(VLOOKUP(TEXT($B$3,"yyyymmdd")&amp;"_"&amp;TEXT($B37*60+16,"0000"),RawData!$A$2:$F$1441,4,FALSE),Mapping!$A$4:$B$9,2,FALSE),"")</f>
        <v/>
      </c>
      <c r="T37" s="30" t="str">
        <f>IFERROR(VLOOKUP(VLOOKUP(TEXT($B$3,"yyyymmdd")&amp;"_"&amp;TEXT($B37*60+17,"0000"),RawData!$A$2:$F$1441,4,FALSE),Mapping!$A$4:$B$9,2,FALSE),"")</f>
        <v/>
      </c>
      <c r="U37" s="30" t="str">
        <f>IFERROR(VLOOKUP(VLOOKUP(TEXT($B$3,"yyyymmdd")&amp;"_"&amp;TEXT($B37*60+18,"0000"),RawData!$A$2:$F$1441,4,FALSE),Mapping!$A$4:$B$9,2,FALSE),"")</f>
        <v/>
      </c>
      <c r="V37" s="30" t="str">
        <f>IFERROR(VLOOKUP(VLOOKUP(TEXT($B$3,"yyyymmdd")&amp;"_"&amp;TEXT($B37*60+19,"0000"),RawData!$A$2:$F$1441,4,FALSE),Mapping!$A$4:$B$9,2,FALSE),"")</f>
        <v/>
      </c>
      <c r="W37" s="30" t="str">
        <f>IFERROR(VLOOKUP(VLOOKUP(TEXT($B$3,"yyyymmdd")&amp;"_"&amp;TEXT($B37*60+20,"0000"),RawData!$A$2:$F$1441,4,FALSE),Mapping!$A$4:$B$9,2,FALSE),"")</f>
        <v/>
      </c>
      <c r="X37" s="30" t="str">
        <f>IFERROR(VLOOKUP(VLOOKUP(TEXT($B$3,"yyyymmdd")&amp;"_"&amp;TEXT($B37*60+21,"0000"),RawData!$A$2:$F$1441,4,FALSE),Mapping!$A$4:$B$9,2,FALSE),"")</f>
        <v/>
      </c>
      <c r="Y37" s="30" t="str">
        <f>IFERROR(VLOOKUP(VLOOKUP(TEXT($B$3,"yyyymmdd")&amp;"_"&amp;TEXT($B37*60+22,"0000"),RawData!$A$2:$F$1441,4,FALSE),Mapping!$A$4:$B$9,2,FALSE),"")</f>
        <v/>
      </c>
      <c r="Z37" s="30" t="str">
        <f>IFERROR(VLOOKUP(VLOOKUP(TEXT($B$3,"yyyymmdd")&amp;"_"&amp;TEXT($B37*60+23,"0000"),RawData!$A$2:$F$1441,4,FALSE),Mapping!$A$4:$B$9,2,FALSE),"")</f>
        <v/>
      </c>
      <c r="AA37" s="30" t="str">
        <f>IFERROR(VLOOKUP(VLOOKUP(TEXT($B$3,"yyyymmdd")&amp;"_"&amp;TEXT($B37*60+24,"0000"),RawData!$A$2:$F$1441,4,FALSE),Mapping!$A$4:$B$9,2,FALSE),"")</f>
        <v/>
      </c>
      <c r="AB37" s="30" t="str">
        <f>IFERROR(VLOOKUP(VLOOKUP(TEXT($B$3,"yyyymmdd")&amp;"_"&amp;TEXT($B37*60+25,"0000"),RawData!$A$2:$F$1441,4,FALSE),Mapping!$A$4:$B$9,2,FALSE),"")</f>
        <v/>
      </c>
      <c r="AC37" s="30" t="str">
        <f>IFERROR(VLOOKUP(VLOOKUP(TEXT($B$3,"yyyymmdd")&amp;"_"&amp;TEXT($B37*60+26,"0000"),RawData!$A$2:$F$1441,4,FALSE),Mapping!$A$4:$B$9,2,FALSE),"")</f>
        <v/>
      </c>
      <c r="AD37" s="30" t="str">
        <f>IFERROR(VLOOKUP(VLOOKUP(TEXT($B$3,"yyyymmdd")&amp;"_"&amp;TEXT($B37*60+27,"0000"),RawData!$A$2:$F$1441,4,FALSE),Mapping!$A$4:$B$9,2,FALSE),"")</f>
        <v/>
      </c>
      <c r="AE37" s="30" t="str">
        <f>IFERROR(VLOOKUP(VLOOKUP(TEXT($B$3,"yyyymmdd")&amp;"_"&amp;TEXT($B37*60+28,"0000"),RawData!$A$2:$F$1441,4,FALSE),Mapping!$A$4:$B$9,2,FALSE),"")</f>
        <v/>
      </c>
      <c r="AF37" s="30" t="str">
        <f>IFERROR(VLOOKUP(VLOOKUP(TEXT($B$3,"yyyymmdd")&amp;"_"&amp;TEXT($B37*60+29,"0000"),RawData!$A$2:$F$1441,4,FALSE),Mapping!$A$4:$B$9,2,FALSE),"")</f>
        <v/>
      </c>
      <c r="AG37" s="30" t="str">
        <f>IFERROR(VLOOKUP(VLOOKUP(TEXT($B$3,"yyyymmdd")&amp;"_"&amp;TEXT($B37*60+30,"0000"),RawData!$A$2:$F$1441,4,FALSE),Mapping!$A$4:$B$9,2,FALSE),"")</f>
        <v/>
      </c>
      <c r="AH37" s="30" t="str">
        <f>IFERROR(VLOOKUP(VLOOKUP(TEXT($B$3,"yyyymmdd")&amp;"_"&amp;TEXT($B37*60+31,"0000"),RawData!$A$2:$F$1441,4,FALSE),Mapping!$A$4:$B$9,2,FALSE),"")</f>
        <v/>
      </c>
      <c r="AI37" s="30" t="str">
        <f>IFERROR(VLOOKUP(VLOOKUP(TEXT($B$3,"yyyymmdd")&amp;"_"&amp;TEXT($B37*60+32,"0000"),RawData!$A$2:$F$1441,4,FALSE),Mapping!$A$4:$B$9,2,FALSE),"")</f>
        <v/>
      </c>
      <c r="AJ37" s="30" t="str">
        <f>IFERROR(VLOOKUP(VLOOKUP(TEXT($B$3,"yyyymmdd")&amp;"_"&amp;TEXT($B37*60+33,"0000"),RawData!$A$2:$F$1441,4,FALSE),Mapping!$A$4:$B$9,2,FALSE),"")</f>
        <v/>
      </c>
      <c r="AK37" s="30" t="str">
        <f>IFERROR(VLOOKUP(VLOOKUP(TEXT($B$3,"yyyymmdd")&amp;"_"&amp;TEXT($B37*60+34,"0000"),RawData!$A$2:$F$1441,4,FALSE),Mapping!$A$4:$B$9,2,FALSE),"")</f>
        <v/>
      </c>
      <c r="AL37" s="30" t="str">
        <f>IFERROR(VLOOKUP(VLOOKUP(TEXT($B$3,"yyyymmdd")&amp;"_"&amp;TEXT($B37*60+35,"0000"),RawData!$A$2:$F$1441,4,FALSE),Mapping!$A$4:$B$9,2,FALSE),"")</f>
        <v/>
      </c>
      <c r="AM37" s="30" t="str">
        <f>IFERROR(VLOOKUP(VLOOKUP(TEXT($B$3,"yyyymmdd")&amp;"_"&amp;TEXT($B37*60+36,"0000"),RawData!$A$2:$F$1441,4,FALSE),Mapping!$A$4:$B$9,2,FALSE),"")</f>
        <v/>
      </c>
      <c r="AN37" s="30" t="str">
        <f>IFERROR(VLOOKUP(VLOOKUP(TEXT($B$3,"yyyymmdd")&amp;"_"&amp;TEXT($B37*60+37,"0000"),RawData!$A$2:$F$1441,4,FALSE),Mapping!$A$4:$B$9,2,FALSE),"")</f>
        <v/>
      </c>
      <c r="AO37" s="30" t="str">
        <f>IFERROR(VLOOKUP(VLOOKUP(TEXT($B$3,"yyyymmdd")&amp;"_"&amp;TEXT($B37*60+38,"0000"),RawData!$A$2:$F$1441,4,FALSE),Mapping!$A$4:$B$9,2,FALSE),"")</f>
        <v/>
      </c>
      <c r="AP37" s="30" t="str">
        <f>IFERROR(VLOOKUP(VLOOKUP(TEXT($B$3,"yyyymmdd")&amp;"_"&amp;TEXT($B37*60+39,"0000"),RawData!$A$2:$F$1441,4,FALSE),Mapping!$A$4:$B$9,2,FALSE),"")</f>
        <v/>
      </c>
      <c r="AQ37" s="30" t="str">
        <f>IFERROR(VLOOKUP(VLOOKUP(TEXT($B$3,"yyyymmdd")&amp;"_"&amp;TEXT($B37*60+40,"0000"),RawData!$A$2:$F$1441,4,FALSE),Mapping!$A$4:$B$9,2,FALSE),"")</f>
        <v/>
      </c>
      <c r="AR37" s="30" t="str">
        <f>IFERROR(VLOOKUP(VLOOKUP(TEXT($B$3,"yyyymmdd")&amp;"_"&amp;TEXT($B37*60+41,"0000"),RawData!$A$2:$F$1441,4,FALSE),Mapping!$A$4:$B$9,2,FALSE),"")</f>
        <v/>
      </c>
      <c r="AS37" s="30" t="str">
        <f>IFERROR(VLOOKUP(VLOOKUP(TEXT($B$3,"yyyymmdd")&amp;"_"&amp;TEXT($B37*60+42,"0000"),RawData!$A$2:$F$1441,4,FALSE),Mapping!$A$4:$B$9,2,FALSE),"")</f>
        <v/>
      </c>
      <c r="AT37" s="30" t="str">
        <f>IFERROR(VLOOKUP(VLOOKUP(TEXT($B$3,"yyyymmdd")&amp;"_"&amp;TEXT($B37*60+43,"0000"),RawData!$A$2:$F$1441,4,FALSE),Mapping!$A$4:$B$9,2,FALSE),"")</f>
        <v/>
      </c>
      <c r="AU37" s="30" t="str">
        <f>IFERROR(VLOOKUP(VLOOKUP(TEXT($B$3,"yyyymmdd")&amp;"_"&amp;TEXT($B37*60+44,"0000"),RawData!$A$2:$F$1441,4,FALSE),Mapping!$A$4:$B$9,2,FALSE),"")</f>
        <v/>
      </c>
      <c r="AV37" s="30" t="str">
        <f>IFERROR(VLOOKUP(VLOOKUP(TEXT($B$3,"yyyymmdd")&amp;"_"&amp;TEXT($B37*60+45,"0000"),RawData!$A$2:$F$1441,4,FALSE),Mapping!$A$4:$B$9,2,FALSE),"")</f>
        <v/>
      </c>
      <c r="AW37" s="30" t="str">
        <f>IFERROR(VLOOKUP(VLOOKUP(TEXT($B$3,"yyyymmdd")&amp;"_"&amp;TEXT($B37*60+46,"0000"),RawData!$A$2:$F$1441,4,FALSE),Mapping!$A$4:$B$9,2,FALSE),"")</f>
        <v/>
      </c>
      <c r="AX37" s="30" t="str">
        <f>IFERROR(VLOOKUP(VLOOKUP(TEXT($B$3,"yyyymmdd")&amp;"_"&amp;TEXT($B37*60+47,"0000"),RawData!$A$2:$F$1441,4,FALSE),Mapping!$A$4:$B$9,2,FALSE),"")</f>
        <v/>
      </c>
      <c r="AY37" s="30" t="str">
        <f>IFERROR(VLOOKUP(VLOOKUP(TEXT($B$3,"yyyymmdd")&amp;"_"&amp;TEXT($B37*60+48,"0000"),RawData!$A$2:$F$1441,4,FALSE),Mapping!$A$4:$B$9,2,FALSE),"")</f>
        <v/>
      </c>
      <c r="AZ37" s="30" t="str">
        <f>IFERROR(VLOOKUP(VLOOKUP(TEXT($B$3,"yyyymmdd")&amp;"_"&amp;TEXT($B37*60+49,"0000"),RawData!$A$2:$F$1441,4,FALSE),Mapping!$A$4:$B$9,2,FALSE),"")</f>
        <v/>
      </c>
      <c r="BA37" s="30" t="str">
        <f>IFERROR(VLOOKUP(VLOOKUP(TEXT($B$3,"yyyymmdd")&amp;"_"&amp;TEXT($B37*60+50,"0000"),RawData!$A$2:$F$1441,4,FALSE),Mapping!$A$4:$B$9,2,FALSE),"")</f>
        <v/>
      </c>
      <c r="BB37" s="30" t="str">
        <f>IFERROR(VLOOKUP(VLOOKUP(TEXT($B$3,"yyyymmdd")&amp;"_"&amp;TEXT($B37*60+51,"0000"),RawData!$A$2:$F$1441,4,FALSE),Mapping!$A$4:$B$9,2,FALSE),"")</f>
        <v/>
      </c>
      <c r="BC37" s="30" t="str">
        <f>IFERROR(VLOOKUP(VLOOKUP(TEXT($B$3,"yyyymmdd")&amp;"_"&amp;TEXT($B37*60+52,"0000"),RawData!$A$2:$F$1441,4,FALSE),Mapping!$A$4:$B$9,2,FALSE),"")</f>
        <v/>
      </c>
      <c r="BD37" s="30" t="str">
        <f>IFERROR(VLOOKUP(VLOOKUP(TEXT($B$3,"yyyymmdd")&amp;"_"&amp;TEXT($B37*60+53,"0000"),RawData!$A$2:$F$1441,4,FALSE),Mapping!$A$4:$B$9,2,FALSE),"")</f>
        <v/>
      </c>
      <c r="BE37" s="30" t="str">
        <f>IFERROR(VLOOKUP(VLOOKUP(TEXT($B$3,"yyyymmdd")&amp;"_"&amp;TEXT($B37*60+54,"0000"),RawData!$A$2:$F$1441,4,FALSE),Mapping!$A$4:$B$9,2,FALSE),"")</f>
        <v/>
      </c>
      <c r="BF37" s="30" t="str">
        <f>IFERROR(VLOOKUP(VLOOKUP(TEXT($B$3,"yyyymmdd")&amp;"_"&amp;TEXT($B37*60+55,"0000"),RawData!$A$2:$F$1441,4,FALSE),Mapping!$A$4:$B$9,2,FALSE),"")</f>
        <v/>
      </c>
      <c r="BG37" s="30" t="str">
        <f>IFERROR(VLOOKUP(VLOOKUP(TEXT($B$3,"yyyymmdd")&amp;"_"&amp;TEXT($B37*60+56,"0000"),RawData!$A$2:$F$1441,4,FALSE),Mapping!$A$4:$B$9,2,FALSE),"")</f>
        <v/>
      </c>
      <c r="BH37" s="30" t="str">
        <f>IFERROR(VLOOKUP(VLOOKUP(TEXT($B$3,"yyyymmdd")&amp;"_"&amp;TEXT($B37*60+57,"0000"),RawData!$A$2:$F$1441,4,FALSE),Mapping!$A$4:$B$9,2,FALSE),"")</f>
        <v/>
      </c>
      <c r="BI37" s="30" t="str">
        <f>IFERROR(VLOOKUP(VLOOKUP(TEXT($B$3,"yyyymmdd")&amp;"_"&amp;TEXT($B37*60+58,"0000"),RawData!$A$2:$F$1441,4,FALSE),Mapping!$A$4:$B$9,2,FALSE),"")</f>
        <v/>
      </c>
      <c r="BJ37" s="30" t="str">
        <f>IFERROR(VLOOKUP(VLOOKUP(TEXT($B$3,"yyyymmdd")&amp;"_"&amp;TEXT($B37*60+59,"0000"),RawData!$A$2:$F$1441,4,FALSE),Mapping!$A$4:$B$9,2,FALSE),"")</f>
        <v/>
      </c>
      <c r="BK37" s="4" t="str">
        <f>IFERROR(VLOOKUP(TEXT($B$3,"yyyymmdd")&amp;"_"&amp;TEXT(26,"0000"),RawData!$A$2:$F$1441,4,FALSE),"")</f>
        <v>01</v>
      </c>
      <c r="BL37" s="19">
        <f>TIME(0,0,0)+26/1440</f>
        <v>1.8055555555555554E-2</v>
      </c>
      <c r="BM37" s="4">
        <f>IFERROR(VLOOKUP(TEXT($B$3,"yyyymmdd")&amp;"_"&amp;TEXT(26,"0000"),RawData!$A$2:$F$1441,5,FALSE),"")</f>
        <v>0</v>
      </c>
      <c r="BN37" s="4">
        <f t="shared" si="1"/>
        <v>0</v>
      </c>
    </row>
    <row r="38" spans="1:66" ht="18.399999999999999" customHeight="1" x14ac:dyDescent="0.6">
      <c r="A38" s="35">
        <v>0</v>
      </c>
      <c r="B38" s="37">
        <f>IFERROR(SUMIFS(RawData!$E$2:$E$1441,RawData!$B$2:$B$1441,$B$3,RawData!$F$2:$F$1441,0),0)</f>
        <v>0</v>
      </c>
      <c r="C38" s="30"/>
      <c r="D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4" t="str">
        <f>IFERROR(VLOOKUP(TEXT($B$3,"yyyymmdd")&amp;"_"&amp;TEXT(27,"0000"),RawData!$A$2:$F$1441,4,FALSE),"")</f>
        <v>01</v>
      </c>
      <c r="BL38" s="19">
        <f>TIME(0,0,0)+27/1440</f>
        <v>1.8749999999999999E-2</v>
      </c>
      <c r="BM38" s="4">
        <f>IFERROR(VLOOKUP(TEXT($B$3,"yyyymmdd")&amp;"_"&amp;TEXT(27,"0000"),RawData!$A$2:$F$1441,5,FALSE),"")</f>
        <v>0</v>
      </c>
      <c r="BN38" s="4">
        <f t="shared" si="1"/>
        <v>0</v>
      </c>
    </row>
    <row r="39" spans="1:66" ht="18.399999999999999" customHeight="1" x14ac:dyDescent="0.6">
      <c r="A39" s="35">
        <v>1</v>
      </c>
      <c r="B39" s="37">
        <f>IFERROR(SUMIFS(RawData!$E$2:$E$1441,RawData!$B$2:$B$1441,$B$3,RawData!$F$2:$F$1441,1),0)</f>
        <v>0</v>
      </c>
      <c r="C39" s="30"/>
      <c r="D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4" t="str">
        <f>IFERROR(VLOOKUP(TEXT($B$3,"yyyymmdd")&amp;"_"&amp;TEXT(28,"0000"),RawData!$A$2:$F$1441,4,FALSE),"")</f>
        <v>1E</v>
      </c>
      <c r="BL39" s="19">
        <f>TIME(0,0,0)+28/1440</f>
        <v>1.9444444444444445E-2</v>
      </c>
      <c r="BM39" s="4">
        <f>IFERROR(VLOOKUP(TEXT($B$3,"yyyymmdd")&amp;"_"&amp;TEXT(28,"0000"),RawData!$A$2:$F$1441,5,FALSE),"")</f>
        <v>0</v>
      </c>
      <c r="BN39" s="4">
        <f t="shared" si="1"/>
        <v>1</v>
      </c>
    </row>
    <row r="40" spans="1:66" ht="18.399999999999999" customHeight="1" x14ac:dyDescent="0.6">
      <c r="A40" s="35">
        <v>2</v>
      </c>
      <c r="B40" s="37">
        <f>IFERROR(SUMIFS(RawData!$E$2:$E$1441,RawData!$B$2:$B$1441,$B$3,RawData!$F$2:$F$1441,2),0)</f>
        <v>0</v>
      </c>
      <c r="C40" s="30"/>
      <c r="D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 t="str">
        <f>IFERROR(VLOOKUP(VLOOKUP(TEXT($B$3,"yyyymmdd")&amp;"_"&amp;TEXT($B40*60+16,"0000"),RawData!$A$2:$F$1441,4,FALSE),Mapping!$A$4:$B$9,2,FALSE),"")</f>
        <v>침실B</v>
      </c>
      <c r="T40" s="30" t="str">
        <f>IFERROR(VLOOKUP(VLOOKUP(TEXT($B$3,"yyyymmdd")&amp;"_"&amp;TEXT($B40*60+17,"0000"),RawData!$A$2:$F$1441,4,FALSE),Mapping!$A$4:$B$9,2,FALSE),"")</f>
        <v>침실B</v>
      </c>
      <c r="U40" s="30" t="str">
        <f>IFERROR(VLOOKUP(VLOOKUP(TEXT($B$3,"yyyymmdd")&amp;"_"&amp;TEXT($B40*60+18,"0000"),RawData!$A$2:$F$1441,4,FALSE),Mapping!$A$4:$B$9,2,FALSE),"")</f>
        <v>침실B</v>
      </c>
      <c r="V40" s="30" t="str">
        <f>IFERROR(VLOOKUP(VLOOKUP(TEXT($B$3,"yyyymmdd")&amp;"_"&amp;TEXT($B40*60+19,"0000"),RawData!$A$2:$F$1441,4,FALSE),Mapping!$A$4:$B$9,2,FALSE),"")</f>
        <v>침실B</v>
      </c>
      <c r="W40" s="30" t="str">
        <f>IFERROR(VLOOKUP(VLOOKUP(TEXT($B$3,"yyyymmdd")&amp;"_"&amp;TEXT($B40*60+20,"0000"),RawData!$A$2:$F$1441,4,FALSE),Mapping!$A$4:$B$9,2,FALSE),"")</f>
        <v>침실B</v>
      </c>
      <c r="X40" s="30" t="str">
        <f>IFERROR(VLOOKUP(VLOOKUP(TEXT($B$3,"yyyymmdd")&amp;"_"&amp;TEXT($B40*60+21,"0000"),RawData!$A$2:$F$1441,4,FALSE),Mapping!$A$4:$B$9,2,FALSE),"")</f>
        <v>침실B</v>
      </c>
      <c r="Y40" s="30" t="str">
        <f>IFERROR(VLOOKUP(VLOOKUP(TEXT($B$3,"yyyymmdd")&amp;"_"&amp;TEXT($B40*60+22,"0000"),RawData!$A$2:$F$1441,4,FALSE),Mapping!$A$4:$B$9,2,FALSE),"")</f>
        <v>침실B</v>
      </c>
      <c r="Z40" s="30" t="str">
        <f>IFERROR(VLOOKUP(VLOOKUP(TEXT($B$3,"yyyymmdd")&amp;"_"&amp;TEXT($B40*60+23,"0000"),RawData!$A$2:$F$1441,4,FALSE),Mapping!$A$4:$B$9,2,FALSE),"")</f>
        <v>침실B</v>
      </c>
      <c r="AA40" s="30" t="str">
        <f>IFERROR(VLOOKUP(VLOOKUP(TEXT($B$3,"yyyymmdd")&amp;"_"&amp;TEXT($B40*60+24,"0000"),RawData!$A$2:$F$1441,4,FALSE),Mapping!$A$4:$B$9,2,FALSE),"")</f>
        <v>침실B</v>
      </c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4" t="str">
        <f>IFERROR(VLOOKUP(TEXT($B$3,"yyyymmdd")&amp;"_"&amp;TEXT(29,"0000"),RawData!$A$2:$F$1441,4,FALSE),"")</f>
        <v>00</v>
      </c>
      <c r="BL40" s="19">
        <f>TIME(0,0,0)+29/1440</f>
        <v>2.013888888888889E-2</v>
      </c>
      <c r="BM40" s="4">
        <f>IFERROR(VLOOKUP(TEXT($B$3,"yyyymmdd")&amp;"_"&amp;TEXT(29,"0000"),RawData!$A$2:$F$1441,5,FALSE),"")</f>
        <v>0</v>
      </c>
      <c r="BN40" s="4">
        <f t="shared" si="1"/>
        <v>1</v>
      </c>
    </row>
    <row r="41" spans="1:66" ht="18.399999999999999" customHeight="1" x14ac:dyDescent="0.6">
      <c r="A41" s="35">
        <v>3</v>
      </c>
      <c r="B41" s="36">
        <f>IFERROR(SUMIFS(RawData!$E$2:$E$1441,RawData!$B$2:$B$1441,$B$3,RawData!$F$2:$F$1441,3),0)</f>
        <v>0</v>
      </c>
      <c r="BK41" s="4" t="str">
        <f>IFERROR(VLOOKUP(TEXT($B$3,"yyyymmdd")&amp;"_"&amp;TEXT(30,"0000"),RawData!$A$2:$F$1441,4,FALSE),"")</f>
        <v>01</v>
      </c>
      <c r="BL41" s="19">
        <f>TIME(0,0,0)+30/1440</f>
        <v>2.0833333333333332E-2</v>
      </c>
      <c r="BM41" s="4">
        <f>IFERROR(VLOOKUP(TEXT($B$3,"yyyymmdd")&amp;"_"&amp;TEXT(30,"0000"),RawData!$A$2:$F$1441,5,FALSE),"")</f>
        <v>0</v>
      </c>
      <c r="BN41" s="4">
        <f t="shared" si="1"/>
        <v>0</v>
      </c>
    </row>
    <row r="42" spans="1:66" x14ac:dyDescent="0.6">
      <c r="A42" s="35">
        <v>4</v>
      </c>
      <c r="B42" s="36">
        <f>IFERROR(SUMIFS(RawData!$E$2:$E$1441,RawData!$B$2:$B$1441,$B$3,RawData!$F$2:$F$1441,4),0)</f>
        <v>0</v>
      </c>
      <c r="BK42" s="4" t="str">
        <f>IFERROR(VLOOKUP(TEXT($B$3,"yyyymmdd")&amp;"_"&amp;TEXT(31,"0000"),RawData!$A$2:$F$1441,4,FALSE),"")</f>
        <v>01</v>
      </c>
      <c r="BL42" s="19">
        <f>TIME(0,0,0)+31/1440</f>
        <v>2.1527777777777778E-2</v>
      </c>
      <c r="BM42" s="4">
        <f>IFERROR(VLOOKUP(TEXT($B$3,"yyyymmdd")&amp;"_"&amp;TEXT(31,"0000"),RawData!$A$2:$F$1441,5,FALSE),"")</f>
        <v>0</v>
      </c>
      <c r="BN42" s="4">
        <f t="shared" si="1"/>
        <v>0</v>
      </c>
    </row>
    <row r="43" spans="1:66" x14ac:dyDescent="0.6">
      <c r="A43" s="35">
        <v>5</v>
      </c>
      <c r="B43" s="36">
        <f>IFERROR(SUMIFS(RawData!$E$2:$E$1441,RawData!$B$2:$B$1441,$B$3,RawData!$F$2:$F$1441,5),0)</f>
        <v>0</v>
      </c>
      <c r="BK43" s="4" t="str">
        <f>IFERROR(VLOOKUP(TEXT($B$3,"yyyymmdd")&amp;"_"&amp;TEXT(32,"0000"),RawData!$A$2:$F$1441,4,FALSE),"")</f>
        <v>01</v>
      </c>
      <c r="BL43" s="19">
        <f>TIME(0,0,0)+32/1440</f>
        <v>2.2222222222222223E-2</v>
      </c>
      <c r="BM43" s="4">
        <f>IFERROR(VLOOKUP(TEXT($B$3,"yyyymmdd")&amp;"_"&amp;TEXT(32,"0000"),RawData!$A$2:$F$1441,5,FALSE),"")</f>
        <v>0</v>
      </c>
      <c r="BN43" s="4">
        <f t="shared" si="1"/>
        <v>0</v>
      </c>
    </row>
    <row r="44" spans="1:66" x14ac:dyDescent="0.6">
      <c r="A44" s="35">
        <v>6</v>
      </c>
      <c r="B44" s="36">
        <f>IFERROR(SUMIFS(RawData!$E$2:$E$1441,RawData!$B$2:$B$1441,$B$3,RawData!$F$2:$F$1441,6),0)</f>
        <v>0</v>
      </c>
      <c r="BK44" s="4" t="str">
        <f>IFERROR(VLOOKUP(TEXT($B$3,"yyyymmdd")&amp;"_"&amp;TEXT(33,"0000"),RawData!$A$2:$F$1441,4,FALSE),"")</f>
        <v>01</v>
      </c>
      <c r="BL44" s="19">
        <f>TIME(0,0,0)+33/1440</f>
        <v>2.2916666666666665E-2</v>
      </c>
      <c r="BM44" s="4">
        <f>IFERROR(VLOOKUP(TEXT($B$3,"yyyymmdd")&amp;"_"&amp;TEXT(33,"0000"),RawData!$A$2:$F$1441,5,FALSE),"")</f>
        <v>0</v>
      </c>
      <c r="BN44" s="4">
        <f t="shared" si="1"/>
        <v>1</v>
      </c>
    </row>
    <row r="45" spans="1:66" x14ac:dyDescent="0.6">
      <c r="A45" s="35">
        <v>7</v>
      </c>
      <c r="B45" s="36">
        <f>IFERROR(SUMIFS(RawData!$E$2:$E$1441,RawData!$B$2:$B$1441,$B$3,RawData!$F$2:$F$1441,7),0)</f>
        <v>0</v>
      </c>
      <c r="BK45" s="4" t="str">
        <f>IFERROR(VLOOKUP(TEXT($B$3,"yyyymmdd")&amp;"_"&amp;TEXT(34,"0000"),RawData!$A$2:$F$1441,4,FALSE),"")</f>
        <v>01</v>
      </c>
      <c r="BL45" s="19">
        <f>TIME(0,0,0)+34/1440</f>
        <v>2.361111111111111E-2</v>
      </c>
      <c r="BM45" s="4">
        <f>IFERROR(VLOOKUP(TEXT($B$3,"yyyymmdd")&amp;"_"&amp;TEXT(34,"0000"),RawData!$A$2:$F$1441,5,FALSE),"")</f>
        <v>0</v>
      </c>
      <c r="BN45" s="4">
        <f t="shared" si="1"/>
        <v>1</v>
      </c>
    </row>
    <row r="46" spans="1:66" x14ac:dyDescent="0.6">
      <c r="A46" s="35">
        <v>8</v>
      </c>
      <c r="B46" s="36">
        <f>IFERROR(SUMIFS(RawData!$E$2:$E$1441,RawData!$B$2:$B$1441,$B$3,RawData!$F$2:$F$1441,8),0)</f>
        <v>0</v>
      </c>
      <c r="BK46" s="4" t="str">
        <f>IFERROR(VLOOKUP(TEXT($B$3,"yyyymmdd")&amp;"_"&amp;TEXT(35,"0000"),RawData!$A$2:$F$1441,4,FALSE),"")</f>
        <v>1E</v>
      </c>
      <c r="BL46" s="19">
        <f>TIME(0,0,0)+35/1440</f>
        <v>2.4305555555555556E-2</v>
      </c>
      <c r="BM46" s="4">
        <f>IFERROR(VLOOKUP(TEXT($B$3,"yyyymmdd")&amp;"_"&amp;TEXT(35,"0000"),RawData!$A$2:$F$1441,5,FALSE),"")</f>
        <v>0</v>
      </c>
      <c r="BN46" s="4">
        <f t="shared" si="1"/>
        <v>1</v>
      </c>
    </row>
    <row r="47" spans="1:66" x14ac:dyDescent="0.6">
      <c r="A47" s="35">
        <v>9</v>
      </c>
      <c r="B47" s="36">
        <f>IFERROR(SUMIFS(RawData!$E$2:$E$1441,RawData!$B$2:$B$1441,$B$3,RawData!$F$2:$F$1441,9),0)</f>
        <v>1.368050411</v>
      </c>
      <c r="BK47" s="4" t="str">
        <f>IFERROR(VLOOKUP(TEXT($B$3,"yyyymmdd")&amp;"_"&amp;TEXT(36,"0000"),RawData!$A$2:$F$1441,4,FALSE),"")</f>
        <v>01</v>
      </c>
      <c r="BL47" s="19">
        <f>TIME(0,0,0)+36/1440</f>
        <v>2.5000000000000001E-2</v>
      </c>
      <c r="BM47" s="4">
        <f>IFERROR(VLOOKUP(TEXT($B$3,"yyyymmdd")&amp;"_"&amp;TEXT(36,"0000"),RawData!$A$2:$F$1441,5,FALSE),"")</f>
        <v>0</v>
      </c>
      <c r="BN47" s="4">
        <f t="shared" si="1"/>
        <v>0</v>
      </c>
    </row>
    <row r="48" spans="1:66" x14ac:dyDescent="0.6">
      <c r="A48" s="35">
        <v>10</v>
      </c>
      <c r="B48" s="36">
        <f>IFERROR(SUMIFS(RawData!$E$2:$E$1441,RawData!$B$2:$B$1441,$B$3,RawData!$F$2:$F$1441,10),0)</f>
        <v>2.0437040829999993</v>
      </c>
      <c r="BK48" s="4" t="str">
        <f>IFERROR(VLOOKUP(TEXT($B$3,"yyyymmdd")&amp;"_"&amp;TEXT(37,"0000"),RawData!$A$2:$F$1441,4,FALSE),"")</f>
        <v>01</v>
      </c>
      <c r="BL48" s="19">
        <f>TIME(0,0,0)+37/1440</f>
        <v>2.5694444444444443E-2</v>
      </c>
      <c r="BM48" s="4">
        <f>IFERROR(VLOOKUP(TEXT($B$3,"yyyymmdd")&amp;"_"&amp;TEXT(37,"0000"),RawData!$A$2:$F$1441,5,FALSE),"")</f>
        <v>0</v>
      </c>
      <c r="BN48" s="4">
        <f t="shared" si="1"/>
        <v>0</v>
      </c>
    </row>
    <row r="49" spans="1:66" x14ac:dyDescent="0.6">
      <c r="A49" s="35">
        <v>11</v>
      </c>
      <c r="B49" s="36">
        <f>IFERROR(SUMIFS(RawData!$E$2:$E$1441,RawData!$B$2:$B$1441,$B$3,RawData!$F$2:$F$1441,11),0)</f>
        <v>7.4480000000000015E-3</v>
      </c>
      <c r="BK49" s="4" t="str">
        <f>IFERROR(VLOOKUP(TEXT($B$3,"yyyymmdd")&amp;"_"&amp;TEXT(38,"0000"),RawData!$A$2:$F$1441,4,FALSE),"")</f>
        <v>01</v>
      </c>
      <c r="BL49" s="19">
        <f>TIME(0,0,0)+38/1440</f>
        <v>2.6388888888888889E-2</v>
      </c>
      <c r="BM49" s="4">
        <f>IFERROR(VLOOKUP(TEXT($B$3,"yyyymmdd")&amp;"_"&amp;TEXT(38,"0000"),RawData!$A$2:$F$1441,5,FALSE),"")</f>
        <v>0</v>
      </c>
      <c r="BN49" s="4">
        <f t="shared" si="1"/>
        <v>0</v>
      </c>
    </row>
    <row r="50" spans="1:66" x14ac:dyDescent="0.6">
      <c r="A50" s="35">
        <v>12</v>
      </c>
      <c r="B50" s="36">
        <f>IFERROR(SUMIFS(RawData!$E$2:$E$1441,RawData!$B$2:$B$1441,$B$3,RawData!$F$2:$F$1441,12),0)</f>
        <v>6.9661900000000006E-3</v>
      </c>
      <c r="BK50" s="4" t="str">
        <f>IFERROR(VLOOKUP(TEXT($B$3,"yyyymmdd")&amp;"_"&amp;TEXT(39,"0000"),RawData!$A$2:$F$1441,4,FALSE),"")</f>
        <v>0A</v>
      </c>
      <c r="BL50" s="19">
        <f>TIME(0,0,0)+39/1440</f>
        <v>2.7083333333333334E-2</v>
      </c>
      <c r="BM50" s="4">
        <f>IFERROR(VLOOKUP(TEXT($B$3,"yyyymmdd")&amp;"_"&amp;TEXT(39,"0000"),RawData!$A$2:$F$1441,5,FALSE),"")</f>
        <v>0</v>
      </c>
      <c r="BN50" s="4">
        <f t="shared" si="1"/>
        <v>1</v>
      </c>
    </row>
    <row r="51" spans="1:66" x14ac:dyDescent="0.6">
      <c r="A51" s="35">
        <v>13</v>
      </c>
      <c r="B51" s="36">
        <f>IFERROR(SUMIFS(RawData!$E$2:$E$1441,RawData!$B$2:$B$1441,$B$3,RawData!$F$2:$F$1441,13),0)</f>
        <v>5.6121999999999995E-3</v>
      </c>
      <c r="BK51" s="4" t="str">
        <f>IFERROR(VLOOKUP(TEXT($B$3,"yyyymmdd")&amp;"_"&amp;TEXT(40,"0000"),RawData!$A$2:$F$1441,4,FALSE),"")</f>
        <v>00</v>
      </c>
      <c r="BL51" s="19">
        <f>TIME(0,0,0)+40/1440</f>
        <v>2.7777777777777776E-2</v>
      </c>
      <c r="BM51" s="4">
        <f>IFERROR(VLOOKUP(TEXT($B$3,"yyyymmdd")&amp;"_"&amp;TEXT(40,"0000"),RawData!$A$2:$F$1441,5,FALSE),"")</f>
        <v>0</v>
      </c>
      <c r="BN51" s="4">
        <f t="shared" si="1"/>
        <v>1</v>
      </c>
    </row>
    <row r="52" spans="1:66" x14ac:dyDescent="0.6">
      <c r="A52" s="35">
        <v>14</v>
      </c>
      <c r="B52" s="36">
        <f>IFERROR(SUMIFS(RawData!$E$2:$E$1441,RawData!$B$2:$B$1441,$B$3,RawData!$F$2:$F$1441,14),0)</f>
        <v>3.063004566</v>
      </c>
      <c r="BK52" s="4" t="str">
        <f>IFERROR(VLOOKUP(TEXT($B$3,"yyyymmdd")&amp;"_"&amp;TEXT(41,"0000"),RawData!$A$2:$F$1441,4,FALSE),"")</f>
        <v>01</v>
      </c>
      <c r="BL52" s="19">
        <f>TIME(0,0,0)+41/1440</f>
        <v>2.8472222222222222E-2</v>
      </c>
      <c r="BM52" s="4">
        <f>IFERROR(VLOOKUP(TEXT($B$3,"yyyymmdd")&amp;"_"&amp;TEXT(41,"0000"),RawData!$A$2:$F$1441,5,FALSE),"")</f>
        <v>0</v>
      </c>
      <c r="BN52" s="4">
        <f t="shared" si="1"/>
        <v>0</v>
      </c>
    </row>
    <row r="53" spans="1:66" x14ac:dyDescent="0.6">
      <c r="A53" s="35">
        <v>15</v>
      </c>
      <c r="B53" s="36">
        <f>IFERROR(SUMIFS(RawData!$E$2:$E$1441,RawData!$B$2:$B$1441,$B$3,RawData!$F$2:$F$1441,15),0)</f>
        <v>3.7070000000000002E-3</v>
      </c>
      <c r="BK53" s="4" t="str">
        <f>IFERROR(VLOOKUP(TEXT($B$3,"yyyymmdd")&amp;"_"&amp;TEXT(42,"0000"),RawData!$A$2:$F$1441,4,FALSE),"")</f>
        <v>01</v>
      </c>
      <c r="BL53" s="19">
        <f>TIME(0,0,0)+42/1440</f>
        <v>2.9166666666666667E-2</v>
      </c>
      <c r="BM53" s="4">
        <f>IFERROR(VLOOKUP(TEXT($B$3,"yyyymmdd")&amp;"_"&amp;TEXT(42,"0000"),RawData!$A$2:$F$1441,5,FALSE),"")</f>
        <v>0</v>
      </c>
      <c r="BN53" s="4">
        <f t="shared" si="1"/>
        <v>0</v>
      </c>
    </row>
    <row r="54" spans="1:66" x14ac:dyDescent="0.6">
      <c r="A54" s="35">
        <v>16</v>
      </c>
      <c r="B54" s="36">
        <f>IFERROR(SUMIFS(RawData!$E$2:$E$1441,RawData!$B$2:$B$1441,$B$3,RawData!$F$2:$F$1441,16),0)</f>
        <v>1.1947936999999999E-2</v>
      </c>
      <c r="BK54" s="4" t="str">
        <f>IFERROR(VLOOKUP(TEXT($B$3,"yyyymmdd")&amp;"_"&amp;TEXT(43,"0000"),RawData!$A$2:$F$1441,4,FALSE),"")</f>
        <v>01</v>
      </c>
      <c r="BL54" s="19">
        <f>TIME(0,0,0)+43/1440</f>
        <v>2.9861111111111113E-2</v>
      </c>
      <c r="BM54" s="4">
        <f>IFERROR(VLOOKUP(TEXT($B$3,"yyyymmdd")&amp;"_"&amp;TEXT(43,"0000"),RawData!$A$2:$F$1441,5,FALSE),"")</f>
        <v>0</v>
      </c>
      <c r="BN54" s="4">
        <f t="shared" si="1"/>
        <v>0</v>
      </c>
    </row>
    <row r="55" spans="1:66" x14ac:dyDescent="0.6">
      <c r="A55" s="35">
        <v>17</v>
      </c>
      <c r="B55" s="36">
        <f>IFERROR(SUMIFS(RawData!$E$2:$E$1441,RawData!$B$2:$B$1441,$B$3,RawData!$F$2:$F$1441,17),0)</f>
        <v>1.2496E-2</v>
      </c>
      <c r="BK55" s="4" t="str">
        <f>IFERROR(VLOOKUP(TEXT($B$3,"yyyymmdd")&amp;"_"&amp;TEXT(44,"0000"),RawData!$A$2:$F$1441,4,FALSE),"")</f>
        <v>01</v>
      </c>
      <c r="BL55" s="19">
        <f>TIME(0,0,0)+44/1440</f>
        <v>3.0555555555555555E-2</v>
      </c>
      <c r="BM55" s="4">
        <f>IFERROR(VLOOKUP(TEXT($B$3,"yyyymmdd")&amp;"_"&amp;TEXT(44,"0000"),RawData!$A$2:$F$1441,5,FALSE),"")</f>
        <v>0</v>
      </c>
      <c r="BN55" s="4">
        <f t="shared" si="1"/>
        <v>1</v>
      </c>
    </row>
    <row r="56" spans="1:66" x14ac:dyDescent="0.6">
      <c r="A56" s="35">
        <v>18</v>
      </c>
      <c r="B56" s="36">
        <f>IFERROR(SUMIFS(RawData!$E$2:$E$1441,RawData!$B$2:$B$1441,$B$3,RawData!$F$2:$F$1441,18),0)</f>
        <v>1.7064999999999997E-2</v>
      </c>
      <c r="BK56" s="4" t="str">
        <f>IFERROR(VLOOKUP(TEXT($B$3,"yyyymmdd")&amp;"_"&amp;TEXT(45,"0000"),RawData!$A$2:$F$1441,4,FALSE),"")</f>
        <v>01</v>
      </c>
      <c r="BL56" s="19">
        <f>TIME(0,0,0)+45/1440</f>
        <v>3.125E-2</v>
      </c>
      <c r="BM56" s="4">
        <f>IFERROR(VLOOKUP(TEXT($B$3,"yyyymmdd")&amp;"_"&amp;TEXT(45,"0000"),RawData!$A$2:$F$1441,5,FALSE),"")</f>
        <v>0</v>
      </c>
      <c r="BN56" s="4">
        <f t="shared" si="1"/>
        <v>1</v>
      </c>
    </row>
    <row r="57" spans="1:66" x14ac:dyDescent="0.6">
      <c r="A57" s="35">
        <v>19</v>
      </c>
      <c r="B57" s="36">
        <f>IFERROR(SUMIFS(RawData!$E$2:$E$1441,RawData!$B$2:$B$1441,$B$3,RawData!$F$2:$F$1441,19),0)</f>
        <v>1.1913999999999999E-2</v>
      </c>
      <c r="BK57" s="4" t="str">
        <f>IFERROR(VLOOKUP(TEXT($B$3,"yyyymmdd")&amp;"_"&amp;TEXT(46,"0000"),RawData!$A$2:$F$1441,4,FALSE),"")</f>
        <v>01</v>
      </c>
      <c r="BL57" s="19">
        <f>TIME(0,0,0)+46/1440</f>
        <v>3.1944444444444442E-2</v>
      </c>
      <c r="BM57" s="4">
        <f>IFERROR(VLOOKUP(TEXT($B$3,"yyyymmdd")&amp;"_"&amp;TEXT(46,"0000"),RawData!$A$2:$F$1441,5,FALSE),"")</f>
        <v>0</v>
      </c>
      <c r="BN57" s="4">
        <f t="shared" si="1"/>
        <v>0</v>
      </c>
    </row>
    <row r="58" spans="1:66" x14ac:dyDescent="0.6">
      <c r="A58" s="35">
        <v>20</v>
      </c>
      <c r="B58" s="36">
        <f>IFERROR(SUMIFS(RawData!$E$2:$E$1441,RawData!$B$2:$B$1441,$B$3,RawData!$F$2:$F$1441,20),0)</f>
        <v>4.5456550000000012E-2</v>
      </c>
      <c r="BK58" s="4" t="str">
        <f>IFERROR(VLOOKUP(TEXT($B$3,"yyyymmdd")&amp;"_"&amp;TEXT(47,"0000"),RawData!$A$2:$F$1441,4,FALSE),"")</f>
        <v>01</v>
      </c>
      <c r="BL58" s="19">
        <f>TIME(0,0,0)+47/1440</f>
        <v>3.2638888888888891E-2</v>
      </c>
      <c r="BM58" s="4">
        <f>IFERROR(VLOOKUP(TEXT($B$3,"yyyymmdd")&amp;"_"&amp;TEXT(47,"0000"),RawData!$A$2:$F$1441,5,FALSE),"")</f>
        <v>0</v>
      </c>
      <c r="BN58" s="4">
        <f t="shared" si="1"/>
        <v>0</v>
      </c>
    </row>
    <row r="59" spans="1:66" x14ac:dyDescent="0.6">
      <c r="A59" s="35">
        <v>21</v>
      </c>
      <c r="B59" s="36">
        <f>IFERROR(SUMIFS(RawData!$E$2:$E$1441,RawData!$B$2:$B$1441,$B$3,RawData!$F$2:$F$1441,21),0)</f>
        <v>7.758321299999997E-2</v>
      </c>
      <c r="BK59" s="4" t="str">
        <f>IFERROR(VLOOKUP(TEXT($B$3,"yyyymmdd")&amp;"_"&amp;TEXT(48,"0000"),RawData!$A$2:$F$1441,4,FALSE),"")</f>
        <v>01</v>
      </c>
      <c r="BL59" s="19">
        <f>TIME(0,0,0)+48/1440</f>
        <v>3.3333333333333333E-2</v>
      </c>
      <c r="BM59" s="4">
        <f>IFERROR(VLOOKUP(TEXT($B$3,"yyyymmdd")&amp;"_"&amp;TEXT(48,"0000"),RawData!$A$2:$F$1441,5,FALSE),"")</f>
        <v>0</v>
      </c>
      <c r="BN59" s="4">
        <f t="shared" si="1"/>
        <v>0</v>
      </c>
    </row>
    <row r="60" spans="1:66" x14ac:dyDescent="0.6">
      <c r="A60" s="35">
        <v>22</v>
      </c>
      <c r="B60" s="36">
        <f>IFERROR(SUMIFS(RawData!$E$2:$E$1441,RawData!$B$2:$B$1441,$B$3,RawData!$F$2:$F$1441,22),0)</f>
        <v>6.6530000000000001E-3</v>
      </c>
      <c r="BK60" s="4" t="str">
        <f>IFERROR(VLOOKUP(TEXT($B$3,"yyyymmdd")&amp;"_"&amp;TEXT(49,"0000"),RawData!$A$2:$F$1441,4,FALSE),"")</f>
        <v>01</v>
      </c>
      <c r="BL60" s="19">
        <f>TIME(0,0,0)+49/1440</f>
        <v>3.4027777777777775E-2</v>
      </c>
      <c r="BM60" s="4">
        <f>IFERROR(VLOOKUP(TEXT($B$3,"yyyymmdd")&amp;"_"&amp;TEXT(49,"0000"),RawData!$A$2:$F$1441,5,FALSE),"")</f>
        <v>0</v>
      </c>
      <c r="BN60" s="4">
        <f t="shared" si="1"/>
        <v>0</v>
      </c>
    </row>
    <row r="61" spans="1:66" x14ac:dyDescent="0.6">
      <c r="A61" s="35">
        <v>23</v>
      </c>
      <c r="B61" s="36">
        <f>IFERROR(SUMIFS(RawData!$E$2:$E$1441,RawData!$B$2:$B$1441,$B$3,RawData!$F$2:$F$1441,23),0)</f>
        <v>7.1050000000000011E-3</v>
      </c>
      <c r="BK61" s="4" t="str">
        <f>IFERROR(VLOOKUP(TEXT($B$3,"yyyymmdd")&amp;"_"&amp;TEXT(50,"0000"),RawData!$A$2:$F$1441,4,FALSE),"")</f>
        <v>01</v>
      </c>
      <c r="BL61" s="19">
        <f>TIME(0,0,0)+50/1440</f>
        <v>3.4722222222222224E-2</v>
      </c>
      <c r="BM61" s="4">
        <f>IFERROR(VLOOKUP(TEXT($B$3,"yyyymmdd")&amp;"_"&amp;TEXT(50,"0000"),RawData!$A$2:$F$1441,5,FALSE),"")</f>
        <v>0</v>
      </c>
      <c r="BN61" s="4">
        <f t="shared" si="1"/>
        <v>0</v>
      </c>
    </row>
    <row r="62" spans="1:66" x14ac:dyDescent="0.6">
      <c r="BK62" s="4" t="str">
        <f>IFERROR(VLOOKUP(TEXT($B$3,"yyyymmdd")&amp;"_"&amp;TEXT(51,"0000"),RawData!$A$2:$F$1441,4,FALSE),"")</f>
        <v>01</v>
      </c>
      <c r="BL62" s="19">
        <f>TIME(0,0,0)+51/1440</f>
        <v>3.5416666666666666E-2</v>
      </c>
      <c r="BM62" s="4">
        <f>IFERROR(VLOOKUP(TEXT($B$3,"yyyymmdd")&amp;"_"&amp;TEXT(51,"0000"),RawData!$A$2:$F$1441,5,FALSE),"")</f>
        <v>0</v>
      </c>
      <c r="BN62" s="4">
        <f t="shared" si="1"/>
        <v>0</v>
      </c>
    </row>
    <row r="63" spans="1:66" x14ac:dyDescent="0.6">
      <c r="A63" s="38" t="s">
        <v>8</v>
      </c>
      <c r="B63" s="33" t="s">
        <v>36</v>
      </c>
      <c r="BK63" s="4" t="str">
        <f>IFERROR(VLOOKUP(TEXT($B$3,"yyyymmdd")&amp;"_"&amp;TEXT(52,"0000"),RawData!$A$2:$F$1441,4,FALSE),"")</f>
        <v>01</v>
      </c>
      <c r="BL63" s="19">
        <f>TIME(0,0,0)+52/1440</f>
        <v>3.6111111111111108E-2</v>
      </c>
      <c r="BM63" s="4">
        <f>IFERROR(VLOOKUP(TEXT($B$3,"yyyymmdd")&amp;"_"&amp;TEXT(52,"0000"),RawData!$A$2:$F$1441,5,FALSE),"")</f>
        <v>0</v>
      </c>
      <c r="BN63" s="4">
        <f t="shared" si="1"/>
        <v>0</v>
      </c>
    </row>
    <row r="64" spans="1:66" x14ac:dyDescent="0.6">
      <c r="A64" s="46" t="s">
        <v>38</v>
      </c>
      <c r="B64" s="45">
        <f>IFERROR(COUNTIFS(RawData!$B$2:$B$1441,$B$3,RawData!$D$2:$D$1441,"00"),0)</f>
        <v>505</v>
      </c>
      <c r="BK64" s="4" t="str">
        <f>IFERROR(VLOOKUP(TEXT($B$3,"yyyymmdd")&amp;"_"&amp;TEXT(53,"0000"),RawData!$A$2:$F$1441,4,FALSE),"")</f>
        <v>01</v>
      </c>
      <c r="BL64" s="19">
        <f>TIME(0,0,0)+53/1440</f>
        <v>3.6805555555555557E-2</v>
      </c>
      <c r="BM64" s="4">
        <f>IFERROR(VLOOKUP(TEXT($B$3,"yyyymmdd")&amp;"_"&amp;TEXT(53,"0000"),RawData!$A$2:$F$1441,5,FALSE),"")</f>
        <v>0</v>
      </c>
      <c r="BN64" s="4">
        <f t="shared" si="1"/>
        <v>0</v>
      </c>
    </row>
    <row r="65" spans="1:66" x14ac:dyDescent="0.6">
      <c r="A65" s="46" t="s">
        <v>39</v>
      </c>
      <c r="B65" s="45">
        <f>IFERROR(COUNTIFS(RawData!$B$2:$B$1441,$B$3,RawData!$D$2:$D$1441,"01"),0)</f>
        <v>380</v>
      </c>
      <c r="BK65" s="4" t="str">
        <f>IFERROR(VLOOKUP(TEXT($B$3,"yyyymmdd")&amp;"_"&amp;TEXT(54,"0000"),RawData!$A$2:$F$1441,4,FALSE),"")</f>
        <v>01</v>
      </c>
      <c r="BL65" s="19">
        <f>TIME(0,0,0)+54/1440</f>
        <v>3.7499999999999999E-2</v>
      </c>
      <c r="BM65" s="4">
        <f>IFERROR(VLOOKUP(TEXT($B$3,"yyyymmdd")&amp;"_"&amp;TEXT(54,"0000"),RawData!$A$2:$F$1441,5,FALSE),"")</f>
        <v>0</v>
      </c>
      <c r="BN65" s="4">
        <f t="shared" si="1"/>
        <v>0</v>
      </c>
    </row>
    <row r="66" spans="1:66" x14ac:dyDescent="0.6">
      <c r="A66" s="46" t="s">
        <v>40</v>
      </c>
      <c r="B66" s="45">
        <f>IFERROR(COUNTIFS(RawData!$B$2:$B$1441,$B$3,RawData!$D$2:$D$1441,"0A"),0)</f>
        <v>150</v>
      </c>
      <c r="BK66" s="4" t="str">
        <f>IFERROR(VLOOKUP(TEXT($B$3,"yyyymmdd")&amp;"_"&amp;TEXT(55,"0000"),RawData!$A$2:$F$1441,4,FALSE),"")</f>
        <v>01</v>
      </c>
      <c r="BL66" s="19">
        <f>TIME(0,0,0)+55/1440</f>
        <v>3.8194444444444448E-2</v>
      </c>
      <c r="BM66" s="4">
        <f>IFERROR(VLOOKUP(TEXT($B$3,"yyyymmdd")&amp;"_"&amp;TEXT(55,"0000"),RawData!$A$2:$F$1441,5,FALSE),"")</f>
        <v>0</v>
      </c>
      <c r="BN66" s="4">
        <f t="shared" si="1"/>
        <v>0</v>
      </c>
    </row>
    <row r="67" spans="1:66" x14ac:dyDescent="0.6">
      <c r="A67" s="46" t="s">
        <v>41</v>
      </c>
      <c r="B67" s="47">
        <f>IFERROR(COUNTIFS(RawData!$B$2:$B$1441,$B$3,RawData!$D$2:$D$1441,"14"),0)</f>
        <v>50</v>
      </c>
      <c r="BK67" s="4" t="str">
        <f>IFERROR(VLOOKUP(TEXT($B$3,"yyyymmdd")&amp;"_"&amp;TEXT(56,"0000"),RawData!$A$2:$F$1441,4,FALSE),"")</f>
        <v>01</v>
      </c>
      <c r="BL67" s="19">
        <f>TIME(0,0,0)+56/1440</f>
        <v>3.888888888888889E-2</v>
      </c>
      <c r="BM67" s="4">
        <f>IFERROR(VLOOKUP(TEXT($B$3,"yyyymmdd")&amp;"_"&amp;TEXT(56,"0000"),RawData!$A$2:$F$1441,5,FALSE),"")</f>
        <v>0</v>
      </c>
      <c r="BN67" s="4">
        <f t="shared" si="1"/>
        <v>0</v>
      </c>
    </row>
    <row r="68" spans="1:66" x14ac:dyDescent="0.6">
      <c r="A68" s="46" t="s">
        <v>42</v>
      </c>
      <c r="B68" s="47">
        <f>IFERROR(COUNTIFS(RawData!$B$2:$B$1441,$B$3,RawData!$D$2:$D$1441,"1E"),0)</f>
        <v>153</v>
      </c>
      <c r="BK68" s="4" t="str">
        <f>IFERROR(VLOOKUP(TEXT($B$3,"yyyymmdd")&amp;"_"&amp;TEXT(57,"0000"),RawData!$A$2:$F$1441,4,FALSE),"")</f>
        <v>01</v>
      </c>
      <c r="BL68" s="19">
        <f>TIME(0,0,0)+57/1440</f>
        <v>3.9583333333333331E-2</v>
      </c>
      <c r="BM68" s="4">
        <f>IFERROR(VLOOKUP(TEXT($B$3,"yyyymmdd")&amp;"_"&amp;TEXT(57,"0000"),RawData!$A$2:$F$1441,5,FALSE),"")</f>
        <v>0</v>
      </c>
      <c r="BN68" s="4">
        <f t="shared" si="1"/>
        <v>0</v>
      </c>
    </row>
    <row r="69" spans="1:66" x14ac:dyDescent="0.6">
      <c r="A69" s="46" t="s">
        <v>37</v>
      </c>
      <c r="B69" s="47">
        <f>IFERROR(COUNTIFS(RawData!$B$2:$B$1441,$B$3,RawData!$D$2:$D$1441,"FE"),0)</f>
        <v>199</v>
      </c>
      <c r="BK69" s="4" t="str">
        <f>IFERROR(VLOOKUP(TEXT($B$3,"yyyymmdd")&amp;"_"&amp;TEXT(58,"0000"),RawData!$A$2:$F$1441,4,FALSE),"")</f>
        <v>01</v>
      </c>
      <c r="BL69" s="19">
        <f>TIME(0,0,0)+58/1440</f>
        <v>4.027777777777778E-2</v>
      </c>
      <c r="BM69" s="4">
        <f>IFERROR(VLOOKUP(TEXT($B$3,"yyyymmdd")&amp;"_"&amp;TEXT(58,"0000"),RawData!$A$2:$F$1441,5,FALSE),"")</f>
        <v>0</v>
      </c>
      <c r="BN69" s="4">
        <f t="shared" si="1"/>
        <v>0</v>
      </c>
    </row>
    <row r="70" spans="1:66" x14ac:dyDescent="0.6">
      <c r="BK70" s="4" t="str">
        <f>IFERROR(VLOOKUP(TEXT($B$3,"yyyymmdd")&amp;"_"&amp;TEXT(59,"0000"),RawData!$A$2:$F$1441,4,FALSE),"")</f>
        <v>01</v>
      </c>
      <c r="BL70" s="19">
        <f>TIME(0,0,0)+59/1440</f>
        <v>4.0972222222222222E-2</v>
      </c>
      <c r="BM70" s="4">
        <f>IFERROR(VLOOKUP(TEXT($B$3,"yyyymmdd")&amp;"_"&amp;TEXT(59,"0000"),RawData!$A$2:$F$1441,5,FALSE),"")</f>
        <v>0</v>
      </c>
      <c r="BN70" s="4">
        <f t="shared" si="1"/>
        <v>0</v>
      </c>
    </row>
    <row r="71" spans="1:66" x14ac:dyDescent="0.6">
      <c r="BK71" s="4" t="str">
        <f>IFERROR(VLOOKUP(TEXT($B$3,"yyyymmdd")&amp;"_"&amp;TEXT(60,"0000"),RawData!$A$2:$F$1441,4,FALSE),"")</f>
        <v>01</v>
      </c>
      <c r="BL71" s="19">
        <f>TIME(0,0,0)+60/1440</f>
        <v>4.1666666666666664E-2</v>
      </c>
      <c r="BM71" s="4">
        <f>IFERROR(VLOOKUP(TEXT($B$3,"yyyymmdd")&amp;"_"&amp;TEXT(60,"0000"),RawData!$A$2:$F$1441,5,FALSE),"")</f>
        <v>0</v>
      </c>
      <c r="BN71" s="4">
        <f t="shared" si="1"/>
        <v>0</v>
      </c>
    </row>
    <row r="72" spans="1:66" x14ac:dyDescent="0.6">
      <c r="BK72" s="4" t="str">
        <f>IFERROR(VLOOKUP(TEXT($B$3,"yyyymmdd")&amp;"_"&amp;TEXT(61,"0000"),RawData!$A$2:$F$1441,4,FALSE),"")</f>
        <v>01</v>
      </c>
      <c r="BL72" s="19">
        <f>TIME(0,0,0)+61/1440</f>
        <v>4.2361111111111113E-2</v>
      </c>
      <c r="BM72" s="4">
        <f>IFERROR(VLOOKUP(TEXT($B$3,"yyyymmdd")&amp;"_"&amp;TEXT(61,"0000"),RawData!$A$2:$F$1441,5,FALSE),"")</f>
        <v>0</v>
      </c>
      <c r="BN72" s="4">
        <f t="shared" si="1"/>
        <v>0</v>
      </c>
    </row>
    <row r="73" spans="1:66" x14ac:dyDescent="0.6">
      <c r="BK73" s="4" t="str">
        <f>IFERROR(VLOOKUP(TEXT($B$3,"yyyymmdd")&amp;"_"&amp;TEXT(62,"0000"),RawData!$A$2:$F$1441,4,FALSE),"")</f>
        <v>01</v>
      </c>
      <c r="BL73" s="19">
        <f>TIME(0,0,0)+62/1440</f>
        <v>4.3055555555555555E-2</v>
      </c>
      <c r="BM73" s="4">
        <f>IFERROR(VLOOKUP(TEXT($B$3,"yyyymmdd")&amp;"_"&amp;TEXT(62,"0000"),RawData!$A$2:$F$1441,5,FALSE),"")</f>
        <v>0</v>
      </c>
      <c r="BN73" s="4">
        <f t="shared" si="1"/>
        <v>0</v>
      </c>
    </row>
    <row r="74" spans="1:66" x14ac:dyDescent="0.6">
      <c r="BK74" s="4" t="str">
        <f>IFERROR(VLOOKUP(TEXT($B$3,"yyyymmdd")&amp;"_"&amp;TEXT(63,"0000"),RawData!$A$2:$F$1441,4,FALSE),"")</f>
        <v>01</v>
      </c>
      <c r="BL74" s="19">
        <f>TIME(0,0,0)+63/1440</f>
        <v>4.3749999999999997E-2</v>
      </c>
      <c r="BM74" s="4">
        <f>IFERROR(VLOOKUP(TEXT($B$3,"yyyymmdd")&amp;"_"&amp;TEXT(63,"0000"),RawData!$A$2:$F$1441,5,FALSE),"")</f>
        <v>0</v>
      </c>
      <c r="BN74" s="4">
        <f t="shared" si="1"/>
        <v>0</v>
      </c>
    </row>
    <row r="75" spans="1:66" x14ac:dyDescent="0.6">
      <c r="BK75" s="4" t="str">
        <f>IFERROR(VLOOKUP(TEXT($B$3,"yyyymmdd")&amp;"_"&amp;TEXT(64,"0000"),RawData!$A$2:$F$1441,4,FALSE),"")</f>
        <v>01</v>
      </c>
      <c r="BL75" s="19">
        <f>TIME(0,0,0)+64/1440</f>
        <v>4.4444444444444446E-2</v>
      </c>
      <c r="BM75" s="4">
        <f>IFERROR(VLOOKUP(TEXT($B$3,"yyyymmdd")&amp;"_"&amp;TEXT(64,"0000"),RawData!$A$2:$F$1441,5,FALSE),"")</f>
        <v>0</v>
      </c>
      <c r="BN75" s="4">
        <f t="shared" si="1"/>
        <v>0</v>
      </c>
    </row>
    <row r="76" spans="1:66" x14ac:dyDescent="0.6">
      <c r="BK76" s="4" t="str">
        <f>IFERROR(VLOOKUP(TEXT($B$3,"yyyymmdd")&amp;"_"&amp;TEXT(65,"0000"),RawData!$A$2:$F$1441,4,FALSE),"")</f>
        <v>01</v>
      </c>
      <c r="BL76" s="19">
        <f>TIME(0,0,0)+65/1440</f>
        <v>4.5138888888888888E-2</v>
      </c>
      <c r="BM76" s="4">
        <f>IFERROR(VLOOKUP(TEXT($B$3,"yyyymmdd")&amp;"_"&amp;TEXT(65,"0000"),RawData!$A$2:$F$1441,5,FALSE),"")</f>
        <v>0</v>
      </c>
      <c r="BN76" s="4">
        <f t="shared" si="1"/>
        <v>0</v>
      </c>
    </row>
    <row r="77" spans="1:66" x14ac:dyDescent="0.6">
      <c r="BK77" s="4" t="str">
        <f>IFERROR(VLOOKUP(TEXT($B$3,"yyyymmdd")&amp;"_"&amp;TEXT(66,"0000"),RawData!$A$2:$F$1441,4,FALSE),"")</f>
        <v>01</v>
      </c>
      <c r="BL77" s="19">
        <f>TIME(0,0,0)+66/1440</f>
        <v>4.583333333333333E-2</v>
      </c>
      <c r="BM77" s="4">
        <f>IFERROR(VLOOKUP(TEXT($B$3,"yyyymmdd")&amp;"_"&amp;TEXT(66,"0000"),RawData!$A$2:$F$1441,5,FALSE),"")</f>
        <v>0</v>
      </c>
      <c r="BN77" s="4">
        <f t="shared" si="1"/>
        <v>0</v>
      </c>
    </row>
    <row r="78" spans="1:66" x14ac:dyDescent="0.6">
      <c r="BK78" s="4" t="str">
        <f>IFERROR(VLOOKUP(TEXT($B$3,"yyyymmdd")&amp;"_"&amp;TEXT(67,"0000"),RawData!$A$2:$F$1441,4,FALSE),"")</f>
        <v>01</v>
      </c>
      <c r="BL78" s="19">
        <f>TIME(0,0,0)+67/1440</f>
        <v>4.6527777777777779E-2</v>
      </c>
      <c r="BM78" s="4">
        <f>IFERROR(VLOOKUP(TEXT($B$3,"yyyymmdd")&amp;"_"&amp;TEXT(67,"0000"),RawData!$A$2:$F$1441,5,FALSE),"")</f>
        <v>0</v>
      </c>
      <c r="BN78" s="4">
        <f t="shared" si="1"/>
        <v>0</v>
      </c>
    </row>
    <row r="79" spans="1:66" x14ac:dyDescent="0.6">
      <c r="BK79" s="4" t="str">
        <f>IFERROR(VLOOKUP(TEXT($B$3,"yyyymmdd")&amp;"_"&amp;TEXT(68,"0000"),RawData!$A$2:$F$1441,4,FALSE),"")</f>
        <v>01</v>
      </c>
      <c r="BL79" s="19">
        <f>TIME(0,0,0)+68/1440</f>
        <v>4.7222222222222221E-2</v>
      </c>
      <c r="BM79" s="4">
        <f>IFERROR(VLOOKUP(TEXT($B$3,"yyyymmdd")&amp;"_"&amp;TEXT(68,"0000"),RawData!$A$2:$F$1441,5,FALSE),"")</f>
        <v>0</v>
      </c>
      <c r="BN79" s="4">
        <f t="shared" si="1"/>
        <v>0</v>
      </c>
    </row>
    <row r="80" spans="1:66" x14ac:dyDescent="0.6">
      <c r="BK80" s="4" t="str">
        <f>IFERROR(VLOOKUP(TEXT($B$3,"yyyymmdd")&amp;"_"&amp;TEXT(69,"0000"),RawData!$A$2:$F$1441,4,FALSE),"")</f>
        <v>01</v>
      </c>
      <c r="BL80" s="19">
        <f>TIME(0,0,0)+69/1440</f>
        <v>4.791666666666667E-2</v>
      </c>
      <c r="BM80" s="4">
        <f>IFERROR(VLOOKUP(TEXT($B$3,"yyyymmdd")&amp;"_"&amp;TEXT(69,"0000"),RawData!$A$2:$F$1441,5,FALSE),"")</f>
        <v>0</v>
      </c>
      <c r="BN80" s="4">
        <f t="shared" si="1"/>
        <v>0</v>
      </c>
    </row>
    <row r="81" spans="63:66" x14ac:dyDescent="0.6">
      <c r="BK81" s="4" t="str">
        <f>IFERROR(VLOOKUP(TEXT($B$3,"yyyymmdd")&amp;"_"&amp;TEXT(70,"0000"),RawData!$A$2:$F$1441,4,FALSE),"")</f>
        <v>01</v>
      </c>
      <c r="BL81" s="19">
        <f>TIME(0,0,0)+70/1440</f>
        <v>4.8611111111111112E-2</v>
      </c>
      <c r="BM81" s="4">
        <f>IFERROR(VLOOKUP(TEXT($B$3,"yyyymmdd")&amp;"_"&amp;TEXT(70,"0000"),RawData!$A$2:$F$1441,5,FALSE),"")</f>
        <v>0</v>
      </c>
      <c r="BN81" s="4">
        <f t="shared" si="1"/>
        <v>0</v>
      </c>
    </row>
    <row r="82" spans="63:66" x14ac:dyDescent="0.6">
      <c r="BK82" s="4" t="str">
        <f>IFERROR(VLOOKUP(TEXT($B$3,"yyyymmdd")&amp;"_"&amp;TEXT(71,"0000"),RawData!$A$2:$F$1441,4,FALSE),"")</f>
        <v>01</v>
      </c>
      <c r="BL82" s="19">
        <f>TIME(0,0,0)+71/1440</f>
        <v>4.9305555555555554E-2</v>
      </c>
      <c r="BM82" s="4">
        <f>IFERROR(VLOOKUP(TEXT($B$3,"yyyymmdd")&amp;"_"&amp;TEXT(71,"0000"),RawData!$A$2:$F$1441,5,FALSE),"")</f>
        <v>0</v>
      </c>
      <c r="BN82" s="4">
        <f t="shared" si="1"/>
        <v>0</v>
      </c>
    </row>
    <row r="83" spans="63:66" x14ac:dyDescent="0.6">
      <c r="BK83" s="4" t="str">
        <f>IFERROR(VLOOKUP(TEXT($B$3,"yyyymmdd")&amp;"_"&amp;TEXT(72,"0000"),RawData!$A$2:$F$1441,4,FALSE),"")</f>
        <v>01</v>
      </c>
      <c r="BL83" s="19">
        <f>TIME(0,0,0)+72/1440</f>
        <v>0.05</v>
      </c>
      <c r="BM83" s="4">
        <f>IFERROR(VLOOKUP(TEXT($B$3,"yyyymmdd")&amp;"_"&amp;TEXT(72,"0000"),RawData!$A$2:$F$1441,5,FALSE),"")</f>
        <v>0</v>
      </c>
      <c r="BN83" s="4">
        <f t="shared" si="1"/>
        <v>0</v>
      </c>
    </row>
    <row r="84" spans="63:66" x14ac:dyDescent="0.6">
      <c r="BK84" s="4" t="str">
        <f>IFERROR(VLOOKUP(TEXT($B$3,"yyyymmdd")&amp;"_"&amp;TEXT(73,"0000"),RawData!$A$2:$F$1441,4,FALSE),"")</f>
        <v>01</v>
      </c>
      <c r="BL84" s="19">
        <f>TIME(0,0,0)+73/1440</f>
        <v>5.0694444444444445E-2</v>
      </c>
      <c r="BM84" s="4">
        <f>IFERROR(VLOOKUP(TEXT($B$3,"yyyymmdd")&amp;"_"&amp;TEXT(73,"0000"),RawData!$A$2:$F$1441,5,FALSE),"")</f>
        <v>0</v>
      </c>
      <c r="BN84" s="4">
        <f t="shared" si="1"/>
        <v>0</v>
      </c>
    </row>
    <row r="85" spans="63:66" x14ac:dyDescent="0.6">
      <c r="BK85" s="4" t="str">
        <f>IFERROR(VLOOKUP(TEXT($B$3,"yyyymmdd")&amp;"_"&amp;TEXT(74,"0000"),RawData!$A$2:$F$1441,4,FALSE),"")</f>
        <v>01</v>
      </c>
      <c r="BL85" s="19">
        <f>TIME(0,0,0)+74/1440</f>
        <v>5.1388888888888887E-2</v>
      </c>
      <c r="BM85" s="4">
        <f>IFERROR(VLOOKUP(TEXT($B$3,"yyyymmdd")&amp;"_"&amp;TEXT(74,"0000"),RawData!$A$2:$F$1441,5,FALSE),"")</f>
        <v>0</v>
      </c>
      <c r="BN85" s="4">
        <f t="shared" si="1"/>
        <v>0</v>
      </c>
    </row>
    <row r="86" spans="63:66" x14ac:dyDescent="0.6">
      <c r="BK86" s="4" t="str">
        <f>IFERROR(VLOOKUP(TEXT($B$3,"yyyymmdd")&amp;"_"&amp;TEXT(75,"0000"),RawData!$A$2:$F$1441,4,FALSE),"")</f>
        <v>01</v>
      </c>
      <c r="BL86" s="19">
        <f>TIME(0,0,0)+75/1440</f>
        <v>5.2083333333333336E-2</v>
      </c>
      <c r="BM86" s="4">
        <f>IFERROR(VLOOKUP(TEXT($B$3,"yyyymmdd")&amp;"_"&amp;TEXT(75,"0000"),RawData!$A$2:$F$1441,5,FALSE),"")</f>
        <v>0</v>
      </c>
      <c r="BN86" s="4">
        <f t="shared" si="1"/>
        <v>0</v>
      </c>
    </row>
    <row r="87" spans="63:66" x14ac:dyDescent="0.6">
      <c r="BK87" s="4" t="str">
        <f>IFERROR(VLOOKUP(TEXT($B$3,"yyyymmdd")&amp;"_"&amp;TEXT(76,"0000"),RawData!$A$2:$F$1441,4,FALSE),"")</f>
        <v>01</v>
      </c>
      <c r="BL87" s="19">
        <f>TIME(0,0,0)+76/1440</f>
        <v>5.2777777777777778E-2</v>
      </c>
      <c r="BM87" s="4">
        <f>IFERROR(VLOOKUP(TEXT($B$3,"yyyymmdd")&amp;"_"&amp;TEXT(76,"0000"),RawData!$A$2:$F$1441,5,FALSE),"")</f>
        <v>0</v>
      </c>
      <c r="BN87" s="4">
        <f t="shared" si="1"/>
        <v>0</v>
      </c>
    </row>
    <row r="88" spans="63:66" x14ac:dyDescent="0.6">
      <c r="BK88" s="4" t="str">
        <f>IFERROR(VLOOKUP(TEXT($B$3,"yyyymmdd")&amp;"_"&amp;TEXT(77,"0000"),RawData!$A$2:$F$1441,4,FALSE),"")</f>
        <v>01</v>
      </c>
      <c r="BL88" s="19">
        <f>TIME(0,0,0)+77/1440</f>
        <v>5.347222222222222E-2</v>
      </c>
      <c r="BM88" s="4">
        <f>IFERROR(VLOOKUP(TEXT($B$3,"yyyymmdd")&amp;"_"&amp;TEXT(77,"0000"),RawData!$A$2:$F$1441,5,FALSE),"")</f>
        <v>0</v>
      </c>
      <c r="BN88" s="4">
        <f t="shared" si="1"/>
        <v>0</v>
      </c>
    </row>
    <row r="89" spans="63:66" x14ac:dyDescent="0.6">
      <c r="BK89" s="4" t="str">
        <f>IFERROR(VLOOKUP(TEXT($B$3,"yyyymmdd")&amp;"_"&amp;TEXT(78,"0000"),RawData!$A$2:$F$1441,4,FALSE),"")</f>
        <v>01</v>
      </c>
      <c r="BL89" s="19">
        <f>TIME(0,0,0)+78/1440</f>
        <v>5.4166666666666669E-2</v>
      </c>
      <c r="BM89" s="4">
        <f>IFERROR(VLOOKUP(TEXT($B$3,"yyyymmdd")&amp;"_"&amp;TEXT(78,"0000"),RawData!$A$2:$F$1441,5,FALSE),"")</f>
        <v>0</v>
      </c>
      <c r="BN89" s="4">
        <f t="shared" si="1"/>
        <v>0</v>
      </c>
    </row>
    <row r="90" spans="63:66" x14ac:dyDescent="0.6">
      <c r="BK90" s="4" t="str">
        <f>IFERROR(VLOOKUP(TEXT($B$3,"yyyymmdd")&amp;"_"&amp;TEXT(79,"0000"),RawData!$A$2:$F$1441,4,FALSE),"")</f>
        <v>01</v>
      </c>
      <c r="BL90" s="19">
        <f>TIME(0,0,0)+79/1440</f>
        <v>5.486111111111111E-2</v>
      </c>
      <c r="BM90" s="4">
        <f>IFERROR(VLOOKUP(TEXT($B$3,"yyyymmdd")&amp;"_"&amp;TEXT(79,"0000"),RawData!$A$2:$F$1441,5,FALSE),"")</f>
        <v>0</v>
      </c>
      <c r="BN90" s="4">
        <f t="shared" si="1"/>
        <v>0</v>
      </c>
    </row>
    <row r="91" spans="63:66" x14ac:dyDescent="0.6">
      <c r="BK91" s="4" t="str">
        <f>IFERROR(VLOOKUP(TEXT($B$3,"yyyymmdd")&amp;"_"&amp;TEXT(80,"0000"),RawData!$A$2:$F$1441,4,FALSE),"")</f>
        <v>01</v>
      </c>
      <c r="BL91" s="19">
        <f>TIME(0,0,0)+80/1440</f>
        <v>5.5555555555555552E-2</v>
      </c>
      <c r="BM91" s="4">
        <f>IFERROR(VLOOKUP(TEXT($B$3,"yyyymmdd")&amp;"_"&amp;TEXT(80,"0000"),RawData!$A$2:$F$1441,5,FALSE),"")</f>
        <v>0</v>
      </c>
      <c r="BN91" s="4">
        <f t="shared" si="1"/>
        <v>0</v>
      </c>
    </row>
    <row r="92" spans="63:66" x14ac:dyDescent="0.6">
      <c r="BK92" s="4" t="str">
        <f>IFERROR(VLOOKUP(TEXT($B$3,"yyyymmdd")&amp;"_"&amp;TEXT(81,"0000"),RawData!$A$2:$F$1441,4,FALSE),"")</f>
        <v>01</v>
      </c>
      <c r="BL92" s="19">
        <f>TIME(0,0,0)+81/1440</f>
        <v>5.6250000000000001E-2</v>
      </c>
      <c r="BM92" s="4">
        <f>IFERROR(VLOOKUP(TEXT($B$3,"yyyymmdd")&amp;"_"&amp;TEXT(81,"0000"),RawData!$A$2:$F$1441,5,FALSE),"")</f>
        <v>0</v>
      </c>
      <c r="BN92" s="4">
        <f t="shared" si="1"/>
        <v>0</v>
      </c>
    </row>
    <row r="93" spans="63:66" x14ac:dyDescent="0.6">
      <c r="BK93" s="4" t="str">
        <f>IFERROR(VLOOKUP(TEXT($B$3,"yyyymmdd")&amp;"_"&amp;TEXT(82,"0000"),RawData!$A$2:$F$1441,4,FALSE),"")</f>
        <v>01</v>
      </c>
      <c r="BL93" s="19">
        <f>TIME(0,0,0)+82/1440</f>
        <v>5.6944444444444443E-2</v>
      </c>
      <c r="BM93" s="4">
        <f>IFERROR(VLOOKUP(TEXT($B$3,"yyyymmdd")&amp;"_"&amp;TEXT(82,"0000"),RawData!$A$2:$F$1441,5,FALSE),"")</f>
        <v>0</v>
      </c>
      <c r="BN93" s="4">
        <f t="shared" si="1"/>
        <v>0</v>
      </c>
    </row>
    <row r="94" spans="63:66" x14ac:dyDescent="0.6">
      <c r="BK94" s="4" t="str">
        <f>IFERROR(VLOOKUP(TEXT($B$3,"yyyymmdd")&amp;"_"&amp;TEXT(83,"0000"),RawData!$A$2:$F$1441,4,FALSE),"")</f>
        <v>01</v>
      </c>
      <c r="BL94" s="19">
        <f>TIME(0,0,0)+83/1440</f>
        <v>5.7638888888888892E-2</v>
      </c>
      <c r="BM94" s="4">
        <f>IFERROR(VLOOKUP(TEXT($B$3,"yyyymmdd")&amp;"_"&amp;TEXT(83,"0000"),RawData!$A$2:$F$1441,5,FALSE),"")</f>
        <v>0</v>
      </c>
      <c r="BN94" s="4">
        <f t="shared" si="1"/>
        <v>0</v>
      </c>
    </row>
    <row r="95" spans="63:66" x14ac:dyDescent="0.6">
      <c r="BK95" s="4" t="str">
        <f>IFERROR(VLOOKUP(TEXT($B$3,"yyyymmdd")&amp;"_"&amp;TEXT(84,"0000"),RawData!$A$2:$F$1441,4,FALSE),"")</f>
        <v>01</v>
      </c>
      <c r="BL95" s="19">
        <f>TIME(0,0,0)+84/1440</f>
        <v>5.8333333333333334E-2</v>
      </c>
      <c r="BM95" s="4">
        <f>IFERROR(VLOOKUP(TEXT($B$3,"yyyymmdd")&amp;"_"&amp;TEXT(84,"0000"),RawData!$A$2:$F$1441,5,FALSE),"")</f>
        <v>0</v>
      </c>
      <c r="BN95" s="4">
        <f t="shared" ref="BN95:BN158" si="2">IF(BK95="","",IF(BK95&lt;&gt;BK90,1,0))</f>
        <v>0</v>
      </c>
    </row>
    <row r="96" spans="63:66" x14ac:dyDescent="0.6">
      <c r="BK96" s="4" t="str">
        <f>IFERROR(VLOOKUP(TEXT($B$3,"yyyymmdd")&amp;"_"&amp;TEXT(85,"0000"),RawData!$A$2:$F$1441,4,FALSE),"")</f>
        <v>01</v>
      </c>
      <c r="BL96" s="19">
        <f>TIME(0,0,0)+85/1440</f>
        <v>5.9027777777777776E-2</v>
      </c>
      <c r="BM96" s="4">
        <f>IFERROR(VLOOKUP(TEXT($B$3,"yyyymmdd")&amp;"_"&amp;TEXT(85,"0000"),RawData!$A$2:$F$1441,5,FALSE),"")</f>
        <v>0</v>
      </c>
      <c r="BN96" s="4">
        <f t="shared" si="2"/>
        <v>0</v>
      </c>
    </row>
    <row r="97" spans="2:66" x14ac:dyDescent="0.6">
      <c r="BK97" s="4" t="str">
        <f>IFERROR(VLOOKUP(TEXT($B$3,"yyyymmdd")&amp;"_"&amp;TEXT(86,"0000"),RawData!$A$2:$F$1441,4,FALSE),"")</f>
        <v>01</v>
      </c>
      <c r="BL97" s="19">
        <f>TIME(0,0,0)+86/1440</f>
        <v>5.9722222222222225E-2</v>
      </c>
      <c r="BM97" s="4">
        <f>IFERROR(VLOOKUP(TEXT($B$3,"yyyymmdd")&amp;"_"&amp;TEXT(86,"0000"),RawData!$A$2:$F$1441,5,FALSE),"")</f>
        <v>0</v>
      </c>
      <c r="BN97" s="4">
        <f t="shared" si="2"/>
        <v>0</v>
      </c>
    </row>
    <row r="98" spans="2:66" x14ac:dyDescent="0.6">
      <c r="BK98" s="4" t="str">
        <f>IFERROR(VLOOKUP(TEXT($B$3,"yyyymmdd")&amp;"_"&amp;TEXT(87,"0000"),RawData!$A$2:$F$1441,4,FALSE),"")</f>
        <v>01</v>
      </c>
      <c r="BL98" s="19">
        <f>TIME(0,0,0)+87/1440</f>
        <v>6.0416666666666667E-2</v>
      </c>
      <c r="BM98" s="4">
        <f>IFERROR(VLOOKUP(TEXT($B$3,"yyyymmdd")&amp;"_"&amp;TEXT(87,"0000"),RawData!$A$2:$F$1441,5,FALSE),"")</f>
        <v>0</v>
      </c>
      <c r="BN98" s="4">
        <f t="shared" si="2"/>
        <v>0</v>
      </c>
    </row>
    <row r="99" spans="2:66" x14ac:dyDescent="0.6">
      <c r="BK99" s="4" t="str">
        <f>IFERROR(VLOOKUP(TEXT($B$3,"yyyymmdd")&amp;"_"&amp;TEXT(88,"0000"),RawData!$A$2:$F$1441,4,FALSE),"")</f>
        <v>00</v>
      </c>
      <c r="BL99" s="19">
        <f>TIME(0,0,0)+88/1440</f>
        <v>6.1111111111111109E-2</v>
      </c>
      <c r="BM99" s="4">
        <f>IFERROR(VLOOKUP(TEXT($B$3,"yyyymmdd")&amp;"_"&amp;TEXT(88,"0000"),RawData!$A$2:$F$1441,5,FALSE),"")</f>
        <v>0</v>
      </c>
      <c r="BN99" s="4">
        <f t="shared" si="2"/>
        <v>1</v>
      </c>
    </row>
    <row r="100" spans="2:66" x14ac:dyDescent="0.6">
      <c r="BK100" s="4" t="str">
        <f>IFERROR(VLOOKUP(TEXT($B$3,"yyyymmdd")&amp;"_"&amp;TEXT(89,"0000"),RawData!$A$2:$F$1441,4,FALSE),"")</f>
        <v>01</v>
      </c>
      <c r="BL100" s="19">
        <f>TIME(0,0,0)+89/1440</f>
        <v>6.1805555555555558E-2</v>
      </c>
      <c r="BM100" s="4">
        <f>IFERROR(VLOOKUP(TEXT($B$3,"yyyymmdd")&amp;"_"&amp;TEXT(89,"0000"),RawData!$A$2:$F$1441,5,FALSE),"")</f>
        <v>0</v>
      </c>
      <c r="BN100" s="4">
        <f t="shared" si="2"/>
        <v>0</v>
      </c>
    </row>
    <row r="101" spans="2:66" x14ac:dyDescent="0.6">
      <c r="BK101" s="4" t="str">
        <f>IFERROR(VLOOKUP(TEXT($B$3,"yyyymmdd")&amp;"_"&amp;TEXT(90,"0000"),RawData!$A$2:$F$1441,4,FALSE),"")</f>
        <v>01</v>
      </c>
      <c r="BL101" s="19">
        <f>TIME(0,0,0)+90/1440</f>
        <v>6.25E-2</v>
      </c>
      <c r="BM101" s="4">
        <f>IFERROR(VLOOKUP(TEXT($B$3,"yyyymmdd")&amp;"_"&amp;TEXT(90,"0000"),RawData!$A$2:$F$1441,5,FALSE),"")</f>
        <v>0</v>
      </c>
      <c r="BN101" s="4">
        <f t="shared" si="2"/>
        <v>0</v>
      </c>
    </row>
    <row r="102" spans="2:66" x14ac:dyDescent="0.6">
      <c r="BK102" s="4" t="str">
        <f>IFERROR(VLOOKUP(TEXT($B$3,"yyyymmdd")&amp;"_"&amp;TEXT(91,"0000"),RawData!$A$2:$F$1441,4,FALSE),"")</f>
        <v>00</v>
      </c>
      <c r="BL102" s="19">
        <f>TIME(0,0,0)+91/1440</f>
        <v>6.3194444444444442E-2</v>
      </c>
      <c r="BM102" s="4">
        <f>IFERROR(VLOOKUP(TEXT($B$3,"yyyymmdd")&amp;"_"&amp;TEXT(91,"0000"),RawData!$A$2:$F$1441,5,FALSE),"")</f>
        <v>0</v>
      </c>
      <c r="BN102" s="4">
        <f t="shared" si="2"/>
        <v>1</v>
      </c>
    </row>
    <row r="103" spans="2:66" x14ac:dyDescent="0.6">
      <c r="BK103" s="4" t="str">
        <f>IFERROR(VLOOKUP(TEXT($B$3,"yyyymmdd")&amp;"_"&amp;TEXT(92,"0000"),RawData!$A$2:$F$1441,4,FALSE),"")</f>
        <v>00</v>
      </c>
      <c r="BL103" s="19">
        <f>TIME(0,0,0)+92/1440</f>
        <v>6.3888888888888884E-2</v>
      </c>
      <c r="BM103" s="4">
        <f>IFERROR(VLOOKUP(TEXT($B$3,"yyyymmdd")&amp;"_"&amp;TEXT(92,"0000"),RawData!$A$2:$F$1441,5,FALSE),"")</f>
        <v>0</v>
      </c>
      <c r="BN103" s="4">
        <f t="shared" si="2"/>
        <v>1</v>
      </c>
    </row>
    <row r="104" spans="2:66" x14ac:dyDescent="0.6">
      <c r="BK104" s="4" t="str">
        <f>IFERROR(VLOOKUP(TEXT($B$3,"yyyymmdd")&amp;"_"&amp;TEXT(93,"0000"),RawData!$A$2:$F$1441,4,FALSE),"")</f>
        <v>00</v>
      </c>
      <c r="BL104" s="19">
        <f>TIME(0,0,0)+93/1440</f>
        <v>6.458333333333334E-2</v>
      </c>
      <c r="BM104" s="4">
        <f>IFERROR(VLOOKUP(TEXT($B$3,"yyyymmdd")&amp;"_"&amp;TEXT(93,"0000"),RawData!$A$2:$F$1441,5,FALSE),"")</f>
        <v>0</v>
      </c>
      <c r="BN104" s="4">
        <f t="shared" si="2"/>
        <v>0</v>
      </c>
    </row>
    <row r="105" spans="2:66" x14ac:dyDescent="0.6">
      <c r="BK105" s="4" t="str">
        <f>IFERROR(VLOOKUP(TEXT($B$3,"yyyymmdd")&amp;"_"&amp;TEXT(94,"0000"),RawData!$A$2:$F$1441,4,FALSE),"")</f>
        <v>00</v>
      </c>
      <c r="BL105" s="19">
        <f>TIME(0,0,0)+94/1440</f>
        <v>6.5277777777777782E-2</v>
      </c>
      <c r="BM105" s="4">
        <f>IFERROR(VLOOKUP(TEXT($B$3,"yyyymmdd")&amp;"_"&amp;TEXT(94,"0000"),RawData!$A$2:$F$1441,5,FALSE),"")</f>
        <v>0</v>
      </c>
      <c r="BN105" s="4">
        <f t="shared" si="2"/>
        <v>1</v>
      </c>
    </row>
    <row r="106" spans="2:66" x14ac:dyDescent="0.6">
      <c r="BK106" s="4" t="str">
        <f>IFERROR(VLOOKUP(TEXT($B$3,"yyyymmdd")&amp;"_"&amp;TEXT(95,"0000"),RawData!$A$2:$F$1441,4,FALSE),"")</f>
        <v>00</v>
      </c>
      <c r="BL106" s="19">
        <f>TIME(0,0,0)+95/1440</f>
        <v>6.5972222222222224E-2</v>
      </c>
      <c r="BM106" s="4">
        <f>IFERROR(VLOOKUP(TEXT($B$3,"yyyymmdd")&amp;"_"&amp;TEXT(95,"0000"),RawData!$A$2:$F$1441,5,FALSE),"")</f>
        <v>0</v>
      </c>
      <c r="BN106" s="4">
        <f t="shared" si="2"/>
        <v>1</v>
      </c>
    </row>
    <row r="107" spans="2:66" x14ac:dyDescent="0.6">
      <c r="BK107" s="4" t="str">
        <f>IFERROR(VLOOKUP(TEXT($B$3,"yyyymmdd")&amp;"_"&amp;TEXT(96,"0000"),RawData!$A$2:$F$1441,4,FALSE),"")</f>
        <v>00</v>
      </c>
      <c r="BL107" s="19">
        <f>TIME(0,0,0)+96/1440</f>
        <v>6.6666666666666666E-2</v>
      </c>
      <c r="BM107" s="4">
        <f>IFERROR(VLOOKUP(TEXT($B$3,"yyyymmdd")&amp;"_"&amp;TEXT(96,"0000"),RawData!$A$2:$F$1441,5,FALSE),"")</f>
        <v>0</v>
      </c>
      <c r="BN107" s="4">
        <f t="shared" si="2"/>
        <v>0</v>
      </c>
    </row>
    <row r="108" spans="2:66" x14ac:dyDescent="0.6">
      <c r="BK108" s="4" t="str">
        <f>IFERROR(VLOOKUP(TEXT($B$3,"yyyymmdd")&amp;"_"&amp;TEXT(97,"0000"),RawData!$A$2:$F$1441,4,FALSE),"")</f>
        <v>00</v>
      </c>
      <c r="BL108" s="19">
        <f>TIME(0,0,0)+97/1440</f>
        <v>6.7361111111111108E-2</v>
      </c>
      <c r="BM108" s="4">
        <f>IFERROR(VLOOKUP(TEXT($B$3,"yyyymmdd")&amp;"_"&amp;TEXT(97,"0000"),RawData!$A$2:$F$1441,5,FALSE),"")</f>
        <v>0</v>
      </c>
      <c r="BN108" s="4">
        <f t="shared" si="2"/>
        <v>0</v>
      </c>
    </row>
    <row r="109" spans="2:66" x14ac:dyDescent="0.6">
      <c r="C109" s="17">
        <v>0</v>
      </c>
      <c r="D109" s="17">
        <v>1</v>
      </c>
      <c r="E109" s="17">
        <v>2</v>
      </c>
      <c r="F109" s="17">
        <v>3</v>
      </c>
      <c r="G109" s="17">
        <v>4</v>
      </c>
      <c r="H109" s="17">
        <v>5</v>
      </c>
      <c r="I109" s="43">
        <v>6</v>
      </c>
      <c r="J109" s="43">
        <v>7</v>
      </c>
      <c r="K109" s="17">
        <v>8</v>
      </c>
      <c r="L109" s="17">
        <v>9</v>
      </c>
      <c r="M109" s="17">
        <v>10</v>
      </c>
      <c r="N109" s="17">
        <v>11</v>
      </c>
      <c r="O109" s="17">
        <v>12</v>
      </c>
      <c r="P109" s="17">
        <v>13</v>
      </c>
      <c r="Q109" s="17">
        <v>14</v>
      </c>
      <c r="R109" s="17">
        <v>15</v>
      </c>
      <c r="S109" s="17">
        <v>16</v>
      </c>
      <c r="T109" s="17">
        <v>17</v>
      </c>
      <c r="U109" s="17">
        <v>18</v>
      </c>
      <c r="V109" s="17">
        <v>19</v>
      </c>
      <c r="W109" s="17">
        <v>20</v>
      </c>
      <c r="X109" s="17">
        <v>21</v>
      </c>
      <c r="Y109" s="17">
        <v>22</v>
      </c>
      <c r="Z109" s="17">
        <v>23</v>
      </c>
      <c r="AA109" s="17">
        <v>24</v>
      </c>
      <c r="AB109" s="17">
        <v>25</v>
      </c>
      <c r="AC109" s="17">
        <v>26</v>
      </c>
      <c r="AD109" s="17">
        <v>27</v>
      </c>
      <c r="AE109" s="17">
        <v>28</v>
      </c>
      <c r="AF109" s="17">
        <v>29</v>
      </c>
      <c r="AG109" s="17">
        <v>30</v>
      </c>
      <c r="AH109" s="17">
        <v>31</v>
      </c>
      <c r="AI109" s="17">
        <v>32</v>
      </c>
      <c r="AJ109" s="17">
        <v>33</v>
      </c>
      <c r="AK109" s="17">
        <v>34</v>
      </c>
      <c r="AL109" s="17">
        <v>35</v>
      </c>
      <c r="AM109" s="17">
        <v>36</v>
      </c>
      <c r="AN109" s="17">
        <v>37</v>
      </c>
      <c r="AO109" s="17">
        <v>38</v>
      </c>
      <c r="AP109" s="17">
        <v>39</v>
      </c>
      <c r="AQ109" s="17">
        <v>40</v>
      </c>
      <c r="AR109" s="17">
        <v>41</v>
      </c>
      <c r="AS109" s="17">
        <v>42</v>
      </c>
      <c r="AT109" s="17">
        <v>43</v>
      </c>
      <c r="AU109" s="17">
        <v>44</v>
      </c>
      <c r="AV109" s="17">
        <v>45</v>
      </c>
      <c r="AW109" s="17">
        <v>46</v>
      </c>
      <c r="AX109" s="17">
        <v>47</v>
      </c>
      <c r="AY109" s="17">
        <v>48</v>
      </c>
      <c r="AZ109" s="17">
        <v>49</v>
      </c>
      <c r="BA109" s="17">
        <v>50</v>
      </c>
      <c r="BB109" s="17">
        <v>51</v>
      </c>
      <c r="BC109" s="17">
        <v>52</v>
      </c>
      <c r="BD109" s="17">
        <v>53</v>
      </c>
      <c r="BE109" s="17">
        <v>54</v>
      </c>
      <c r="BF109" s="17">
        <v>55</v>
      </c>
      <c r="BG109" s="17">
        <v>56</v>
      </c>
      <c r="BH109" s="17">
        <v>57</v>
      </c>
      <c r="BI109" s="17">
        <v>58</v>
      </c>
      <c r="BJ109" s="17">
        <v>59</v>
      </c>
      <c r="BK109" s="4" t="str">
        <f>IFERROR(VLOOKUP(TEXT($B$3,"yyyymmdd")&amp;"_"&amp;TEXT(98,"0000"),RawData!$A$2:$F$1441,4,FALSE),"")</f>
        <v>00</v>
      </c>
      <c r="BL109" s="19">
        <f>TIME(0,0,0)+98/1440</f>
        <v>6.805555555555555E-2</v>
      </c>
      <c r="BM109" s="4">
        <f>IFERROR(VLOOKUP(TEXT($B$3,"yyyymmdd")&amp;"_"&amp;TEXT(98,"0000"),RawData!$A$2:$F$1441,5,FALSE),"")</f>
        <v>0</v>
      </c>
      <c r="BN109" s="4">
        <f t="shared" si="2"/>
        <v>0</v>
      </c>
    </row>
    <row r="110" spans="2:66" x14ac:dyDescent="0.6">
      <c r="B110" s="18">
        <v>0</v>
      </c>
      <c r="C110" s="51" t="str">
        <f>IFERROR(
  VLOOKUP(
    VLOOKUP(TEXT($B$3,"yyyymmdd")&amp;"_"&amp;TEXT($B110*60+C$109,"0000"),RawData!$A$2:$G$30000,7,FALSE),
    Mapping!$A$4:$B$9,2,FALSE
  ),
"")</f>
        <v>화장실</v>
      </c>
      <c r="D110" s="51" t="str">
        <f>IFERROR(
  VLOOKUP(
    VLOOKUP(TEXT($B$3,"yyyymmdd")&amp;"_"&amp;TEXT($B110*60+D$109,"0000"),RawData!$A$2:$G$30000,7,FALSE),
    Mapping!$A$4:$B$9,2,FALSE
  ),
"")</f>
        <v>침실A</v>
      </c>
      <c r="E110" s="51" t="str">
        <f>IFERROR(
  VLOOKUP(
    VLOOKUP(TEXT($B$3,"yyyymmdd")&amp;"_"&amp;TEXT($B110*60+E$109,"0000"),RawData!$A$2:$G$30000,7,FALSE),
    Mapping!$A$4:$B$9,2,FALSE
  ),
"")</f>
        <v>침실A</v>
      </c>
      <c r="F110" s="51" t="str">
        <f>IFERROR(
  VLOOKUP(
    VLOOKUP(TEXT($B$3,"yyyymmdd")&amp;"_"&amp;TEXT($B110*60+F$109,"0000"),RawData!$A$2:$G$30000,7,FALSE),
    Mapping!$A$4:$B$9,2,FALSE
  ),
"")</f>
        <v>침실A</v>
      </c>
      <c r="G110" s="51" t="str">
        <f>IFERROR(
  VLOOKUP(
    VLOOKUP(TEXT($B$3,"yyyymmdd")&amp;"_"&amp;TEXT($B110*60+G$109,"0000"),RawData!$A$2:$G$30000,7,FALSE),
    Mapping!$A$4:$B$9,2,FALSE
  ),
"")</f>
        <v>침실B</v>
      </c>
      <c r="H110" s="51" t="str">
        <f>IFERROR(
  VLOOKUP(
    VLOOKUP(TEXT($B$3,"yyyymmdd")&amp;"_"&amp;TEXT($B110*60+H$109,"0000"),RawData!$A$2:$G$30000,7,FALSE),
    Mapping!$A$4:$B$9,2,FALSE
  ),
"")</f>
        <v>침실B</v>
      </c>
      <c r="I110" s="51" t="str">
        <f>IFERROR(
  VLOOKUP(
    VLOOKUP(TEXT($B$3,"yyyymmdd")&amp;"_"&amp;TEXT($B110*60+I$109,"0000"),RawData!$A$2:$G$30000,7,FALSE),
    Mapping!$A$4:$B$9,2,FALSE
  ),
"")</f>
        <v>침실B</v>
      </c>
      <c r="J110" s="51" t="str">
        <f>IFERROR(
  VLOOKUP(
    VLOOKUP(TEXT($B$3,"yyyymmdd")&amp;"_"&amp;TEXT($B110*60+J$109,"0000"),RawData!$A$2:$G$30000,7,FALSE),
    Mapping!$A$4:$B$9,2,FALSE
  ),
"")</f>
        <v>침실B</v>
      </c>
      <c r="K110" s="51" t="str">
        <f>IFERROR(
  VLOOKUP(
    VLOOKUP(TEXT($B$3,"yyyymmdd")&amp;"_"&amp;TEXT($B110*60+K$109,"0000"),RawData!$A$2:$G$30000,7,FALSE),
    Mapping!$A$4:$B$9,2,FALSE
  ),
"")</f>
        <v>침실B</v>
      </c>
      <c r="L110" s="51" t="str">
        <f>IFERROR(
  VLOOKUP(
    VLOOKUP(TEXT($B$3,"yyyymmdd")&amp;"_"&amp;TEXT($B110*60+L$109,"0000"),RawData!$A$2:$G$30000,7,FALSE),
    Mapping!$A$4:$B$9,2,FALSE
  ),
"")</f>
        <v>침실B</v>
      </c>
      <c r="M110" s="51" t="str">
        <f>IFERROR(
  VLOOKUP(
    VLOOKUP(TEXT($B$3,"yyyymmdd")&amp;"_"&amp;TEXT($B110*60+M$109,"0000"),RawData!$A$2:$G$30000,7,FALSE),
    Mapping!$A$4:$B$9,2,FALSE
  ),
"")</f>
        <v>침실A</v>
      </c>
      <c r="N110" s="51" t="str">
        <f>IFERROR(
  VLOOKUP(
    VLOOKUP(TEXT($B$3,"yyyymmdd")&amp;"_"&amp;TEXT($B110*60+N$109,"0000"),RawData!$A$2:$G$30000,7,FALSE),
    Mapping!$A$4:$B$9,2,FALSE
  ),
"")</f>
        <v>침실A</v>
      </c>
      <c r="O110" s="51" t="str">
        <f>IFERROR(
  VLOOKUP(
    VLOOKUP(TEXT($B$3,"yyyymmdd")&amp;"_"&amp;TEXT($B110*60+O$109,"0000"),RawData!$A$2:$G$30000,7,FALSE),
    Mapping!$A$4:$B$9,2,FALSE
  ),
"")</f>
        <v>침실A</v>
      </c>
      <c r="P110" s="51" t="str">
        <f>IFERROR(
  VLOOKUP(
    VLOOKUP(TEXT($B$3,"yyyymmdd")&amp;"_"&amp;TEXT($B110*60+P$109,"0000"),RawData!$A$2:$G$30000,7,FALSE),
    Mapping!$A$4:$B$9,2,FALSE
  ),
"")</f>
        <v>침실B</v>
      </c>
      <c r="Q110" s="51" t="str">
        <f>IFERROR(
  VLOOKUP(
    VLOOKUP(TEXT($B$3,"yyyymmdd")&amp;"_"&amp;TEXT($B110*60+Q$109,"0000"),RawData!$A$2:$G$30000,7,FALSE),
    Mapping!$A$4:$B$9,2,FALSE
  ),
"")</f>
        <v>침실B</v>
      </c>
      <c r="R110" s="51" t="str">
        <f>IFERROR(
  VLOOKUP(
    VLOOKUP(TEXT($B$3,"yyyymmdd")&amp;"_"&amp;TEXT($B110*60+R$109,"0000"),RawData!$A$2:$G$30000,7,FALSE),
    Mapping!$A$4:$B$9,2,FALSE
  ),
"")</f>
        <v>침실B</v>
      </c>
      <c r="S110" s="51" t="str">
        <f>IFERROR(
  VLOOKUP(
    VLOOKUP(TEXT($B$3,"yyyymmdd")&amp;"_"&amp;TEXT($B110*60+S$109,"0000"),RawData!$A$2:$G$30000,7,FALSE),
    Mapping!$A$4:$B$9,2,FALSE
  ),
"")</f>
        <v>침실B</v>
      </c>
      <c r="T110" s="51" t="str">
        <f>IFERROR(
  VLOOKUP(
    VLOOKUP(TEXT($B$3,"yyyymmdd")&amp;"_"&amp;TEXT($B110*60+T$109,"0000"),RawData!$A$2:$G$30000,7,FALSE),
    Mapping!$A$4:$B$9,2,FALSE
  ),
"")</f>
        <v>침실B</v>
      </c>
      <c r="U110" s="51" t="str">
        <f>IFERROR(
  VLOOKUP(
    VLOOKUP(TEXT($B$3,"yyyymmdd")&amp;"_"&amp;TEXT($B110*60+U$109,"0000"),RawData!$A$2:$G$30000,7,FALSE),
    Mapping!$A$4:$B$9,2,FALSE
  ),
"")</f>
        <v>침실B</v>
      </c>
      <c r="V110" s="51" t="str">
        <f>IFERROR(
  VLOOKUP(
    VLOOKUP(TEXT($B$3,"yyyymmdd")&amp;"_"&amp;TEXT($B110*60+V$109,"0000"),RawData!$A$2:$G$30000,7,FALSE),
    Mapping!$A$4:$B$9,2,FALSE
  ),
"")</f>
        <v>침실B</v>
      </c>
      <c r="W110" s="51" t="str">
        <f>IFERROR(
  VLOOKUP(
    VLOOKUP(TEXT($B$3,"yyyymmdd")&amp;"_"&amp;TEXT($B110*60+W$109,"0000"),RawData!$A$2:$G$30000,7,FALSE),
    Mapping!$A$4:$B$9,2,FALSE
  ),
"")</f>
        <v>침실B</v>
      </c>
      <c r="X110" s="51" t="str">
        <f>IFERROR(
  VLOOKUP(
    VLOOKUP(TEXT($B$3,"yyyymmdd")&amp;"_"&amp;TEXT($B110*60+X$109,"0000"),RawData!$A$2:$G$30000,7,FALSE),
    Mapping!$A$4:$B$9,2,FALSE
  ),
"")</f>
        <v>침실B</v>
      </c>
      <c r="Y110" s="51" t="str">
        <f>IFERROR(
  VLOOKUP(
    VLOOKUP(TEXT($B$3,"yyyymmdd")&amp;"_"&amp;TEXT($B110*60+Y$109,"0000"),RawData!$A$2:$G$30000,7,FALSE),
    Mapping!$A$4:$B$9,2,FALSE
  ),
"")</f>
        <v>침실B</v>
      </c>
      <c r="Z110" s="51" t="str">
        <f>IFERROR(
  VLOOKUP(
    VLOOKUP(TEXT($B$3,"yyyymmdd")&amp;"_"&amp;TEXT($B110*60+Z$109,"0000"),RawData!$A$2:$G$30000,7,FALSE),
    Mapping!$A$4:$B$9,2,FALSE
  ),
"")</f>
        <v>침실B</v>
      </c>
      <c r="AA110" s="51" t="str">
        <f>IFERROR(
  VLOOKUP(
    VLOOKUP(TEXT($B$3,"yyyymmdd")&amp;"_"&amp;TEXT($B110*60+AA$109,"0000"),RawData!$A$2:$G$30000,7,FALSE),
    Mapping!$A$4:$B$9,2,FALSE
  ),
"")</f>
        <v>침실B</v>
      </c>
      <c r="AB110" s="51" t="str">
        <f>IFERROR(
  VLOOKUP(
    VLOOKUP(TEXT($B$3,"yyyymmdd")&amp;"_"&amp;TEXT($B110*60+AB$109,"0000"),RawData!$A$2:$G$30000,7,FALSE),
    Mapping!$A$4:$B$9,2,FALSE
  ),
"")</f>
        <v>침실B</v>
      </c>
      <c r="AC110" s="51" t="str">
        <f>IFERROR(
  VLOOKUP(
    VLOOKUP(TEXT($B$3,"yyyymmdd")&amp;"_"&amp;TEXT($B110*60+AC$109,"0000"),RawData!$A$2:$G$30000,7,FALSE),
    Mapping!$A$4:$B$9,2,FALSE
  ),
"")</f>
        <v>침실B</v>
      </c>
      <c r="AD110" s="51" t="str">
        <f>IFERROR(
  VLOOKUP(
    VLOOKUP(TEXT($B$3,"yyyymmdd")&amp;"_"&amp;TEXT($B110*60+AD$109,"0000"),RawData!$A$2:$G$30000,7,FALSE),
    Mapping!$A$4:$B$9,2,FALSE
  ),
"")</f>
        <v>침실B</v>
      </c>
      <c r="AE110" s="51" t="str">
        <f>IFERROR(
  VLOOKUP(
    VLOOKUP(TEXT($B$3,"yyyymmdd")&amp;"_"&amp;TEXT($B110*60+AE$109,"0000"),RawData!$A$2:$G$30000,7,FALSE),
    Mapping!$A$4:$B$9,2,FALSE
  ),
"")</f>
        <v>주방</v>
      </c>
      <c r="AF110" s="51" t="str">
        <f>IFERROR(
  VLOOKUP(
    VLOOKUP(TEXT($B$3,"yyyymmdd")&amp;"_"&amp;TEXT($B110*60+AF$109,"0000"),RawData!$A$2:$G$30000,7,FALSE),
    Mapping!$A$4:$B$9,2,FALSE
  ),
"")</f>
        <v>침실A</v>
      </c>
      <c r="AG110" s="51" t="str">
        <f>IFERROR(
  VLOOKUP(
    VLOOKUP(TEXT($B$3,"yyyymmdd")&amp;"_"&amp;TEXT($B110*60+AG$109,"0000"),RawData!$A$2:$G$30000,7,FALSE),
    Mapping!$A$4:$B$9,2,FALSE
  ),
"")</f>
        <v>침실B</v>
      </c>
      <c r="AH110" s="51" t="str">
        <f>IFERROR(
  VLOOKUP(
    VLOOKUP(TEXT($B$3,"yyyymmdd")&amp;"_"&amp;TEXT($B110*60+AH$109,"0000"),RawData!$A$2:$G$30000,7,FALSE),
    Mapping!$A$4:$B$9,2,FALSE
  ),
"")</f>
        <v>침실B</v>
      </c>
      <c r="AI110" s="51" t="str">
        <f>IFERROR(
  VLOOKUP(
    VLOOKUP(TEXT($B$3,"yyyymmdd")&amp;"_"&amp;TEXT($B110*60+AI$109,"0000"),RawData!$A$2:$G$30000,7,FALSE),
    Mapping!$A$4:$B$9,2,FALSE
  ),
"")</f>
        <v>침실B</v>
      </c>
      <c r="AJ110" s="51" t="str">
        <f>IFERROR(
  VLOOKUP(
    VLOOKUP(TEXT($B$3,"yyyymmdd")&amp;"_"&amp;TEXT($B110*60+AJ$109,"0000"),RawData!$A$2:$G$30000,7,FALSE),
    Mapping!$A$4:$B$9,2,FALSE
  ),
"")</f>
        <v>침실B</v>
      </c>
      <c r="AK110" s="51" t="str">
        <f>IFERROR(
  VLOOKUP(
    VLOOKUP(TEXT($B$3,"yyyymmdd")&amp;"_"&amp;TEXT($B110*60+AK$109,"0000"),RawData!$A$2:$G$30000,7,FALSE),
    Mapping!$A$4:$B$9,2,FALSE
  ),
"")</f>
        <v>침실B</v>
      </c>
      <c r="AL110" s="51" t="str">
        <f>IFERROR(
  VLOOKUP(
    VLOOKUP(TEXT($B$3,"yyyymmdd")&amp;"_"&amp;TEXT($B110*60+AL$109,"0000"),RawData!$A$2:$G$30000,7,FALSE),
    Mapping!$A$4:$B$9,2,FALSE
  ),
"")</f>
        <v>주방</v>
      </c>
      <c r="AM110" s="51" t="str">
        <f>IFERROR(
  VLOOKUP(
    VLOOKUP(TEXT($B$3,"yyyymmdd")&amp;"_"&amp;TEXT($B110*60+AM$109,"0000"),RawData!$A$2:$G$30000,7,FALSE),
    Mapping!$A$4:$B$9,2,FALSE
  ),
"")</f>
        <v>침실B</v>
      </c>
      <c r="AN110" s="51" t="str">
        <f>IFERROR(
  VLOOKUP(
    VLOOKUP(TEXT($B$3,"yyyymmdd")&amp;"_"&amp;TEXT($B110*60+AN$109,"0000"),RawData!$A$2:$G$30000,7,FALSE),
    Mapping!$A$4:$B$9,2,FALSE
  ),
"")</f>
        <v>침실B</v>
      </c>
      <c r="AO110" s="51" t="str">
        <f>IFERROR(
  VLOOKUP(
    VLOOKUP(TEXT($B$3,"yyyymmdd")&amp;"_"&amp;TEXT($B110*60+AO$109,"0000"),RawData!$A$2:$G$30000,7,FALSE),
    Mapping!$A$4:$B$9,2,FALSE
  ),
"")</f>
        <v>침실B</v>
      </c>
      <c r="AP110" s="51" t="str">
        <f>IFERROR(
  VLOOKUP(
    VLOOKUP(TEXT($B$3,"yyyymmdd")&amp;"_"&amp;TEXT($B110*60+AP$109,"0000"),RawData!$A$2:$G$30000,7,FALSE),
    Mapping!$A$4:$B$9,2,FALSE
  ),
"")</f>
        <v>거실A</v>
      </c>
      <c r="AQ110" s="51" t="str">
        <f>IFERROR(
  VLOOKUP(
    VLOOKUP(TEXT($B$3,"yyyymmdd")&amp;"_"&amp;TEXT($B110*60+AQ$109,"0000"),RawData!$A$2:$G$30000,7,FALSE),
    Mapping!$A$4:$B$9,2,FALSE
  ),
"")</f>
        <v>침실A</v>
      </c>
      <c r="AR110" s="51" t="str">
        <f>IFERROR(
  VLOOKUP(
    VLOOKUP(TEXT($B$3,"yyyymmdd")&amp;"_"&amp;TEXT($B110*60+AR$109,"0000"),RawData!$A$2:$G$30000,7,FALSE),
    Mapping!$A$4:$B$9,2,FALSE
  ),
"")</f>
        <v>침실B</v>
      </c>
      <c r="AS110" s="51" t="str">
        <f>IFERROR(
  VLOOKUP(
    VLOOKUP(TEXT($B$3,"yyyymmdd")&amp;"_"&amp;TEXT($B110*60+AS$109,"0000"),RawData!$A$2:$G$30000,7,FALSE),
    Mapping!$A$4:$B$9,2,FALSE
  ),
"")</f>
        <v>침실B</v>
      </c>
      <c r="AT110" s="51" t="str">
        <f>IFERROR(
  VLOOKUP(
    VLOOKUP(TEXT($B$3,"yyyymmdd")&amp;"_"&amp;TEXT($B110*60+AT$109,"0000"),RawData!$A$2:$G$30000,7,FALSE),
    Mapping!$A$4:$B$9,2,FALSE
  ),
"")</f>
        <v>침실B</v>
      </c>
      <c r="AU110" s="51" t="str">
        <f>IFERROR(
  VLOOKUP(
    VLOOKUP(TEXT($B$3,"yyyymmdd")&amp;"_"&amp;TEXT($B110*60+AU$109,"0000"),RawData!$A$2:$G$30000,7,FALSE),
    Mapping!$A$4:$B$9,2,FALSE
  ),
"")</f>
        <v>침실B</v>
      </c>
      <c r="AV110" s="51" t="str">
        <f>IFERROR(
  VLOOKUP(
    VLOOKUP(TEXT($B$3,"yyyymmdd")&amp;"_"&amp;TEXT($B110*60+AV$109,"0000"),RawData!$A$2:$G$30000,7,FALSE),
    Mapping!$A$4:$B$9,2,FALSE
  ),
"")</f>
        <v>침실B</v>
      </c>
      <c r="AW110" s="51" t="str">
        <f>IFERROR(
  VLOOKUP(
    VLOOKUP(TEXT($B$3,"yyyymmdd")&amp;"_"&amp;TEXT($B110*60+AW$109,"0000"),RawData!$A$2:$G$30000,7,FALSE),
    Mapping!$A$4:$B$9,2,FALSE
  ),
"")</f>
        <v>침실B</v>
      </c>
      <c r="AX110" s="51" t="str">
        <f>IFERROR(
  VLOOKUP(
    VLOOKUP(TEXT($B$3,"yyyymmdd")&amp;"_"&amp;TEXT($B110*60+AX$109,"0000"),RawData!$A$2:$G$30000,7,FALSE),
    Mapping!$A$4:$B$9,2,FALSE
  ),
"")</f>
        <v>침실B</v>
      </c>
      <c r="AY110" s="51" t="str">
        <f>IFERROR(
  VLOOKUP(
    VLOOKUP(TEXT($B$3,"yyyymmdd")&amp;"_"&amp;TEXT($B110*60+AY$109,"0000"),RawData!$A$2:$G$30000,7,FALSE),
    Mapping!$A$4:$B$9,2,FALSE
  ),
"")</f>
        <v>침실B</v>
      </c>
      <c r="AZ110" s="51" t="str">
        <f>IFERROR(
  VLOOKUP(
    VLOOKUP(TEXT($B$3,"yyyymmdd")&amp;"_"&amp;TEXT($B110*60+AZ$109,"0000"),RawData!$A$2:$G$30000,7,FALSE),
    Mapping!$A$4:$B$9,2,FALSE
  ),
"")</f>
        <v>침실B</v>
      </c>
      <c r="BA110" s="51" t="str">
        <f>IFERROR(
  VLOOKUP(
    VLOOKUP(TEXT($B$3,"yyyymmdd")&amp;"_"&amp;TEXT($B110*60+BA$109,"0000"),RawData!$A$2:$G$30000,7,FALSE),
    Mapping!$A$4:$B$9,2,FALSE
  ),
"")</f>
        <v>침실B</v>
      </c>
      <c r="BB110" s="51" t="str">
        <f>IFERROR(
  VLOOKUP(
    VLOOKUP(TEXT($B$3,"yyyymmdd")&amp;"_"&amp;TEXT($B110*60+BB$109,"0000"),RawData!$A$2:$G$30000,7,FALSE),
    Mapping!$A$4:$B$9,2,FALSE
  ),
"")</f>
        <v>침실B</v>
      </c>
      <c r="BC110" s="51" t="str">
        <f>IFERROR(
  VLOOKUP(
    VLOOKUP(TEXT($B$3,"yyyymmdd")&amp;"_"&amp;TEXT($B110*60+BC$109,"0000"),RawData!$A$2:$G$30000,7,FALSE),
    Mapping!$A$4:$B$9,2,FALSE
  ),
"")</f>
        <v>침실B</v>
      </c>
      <c r="BD110" s="51" t="str">
        <f>IFERROR(
  VLOOKUP(
    VLOOKUP(TEXT($B$3,"yyyymmdd")&amp;"_"&amp;TEXT($B110*60+BD$109,"0000"),RawData!$A$2:$G$30000,7,FALSE),
    Mapping!$A$4:$B$9,2,FALSE
  ),
"")</f>
        <v>침실B</v>
      </c>
      <c r="BE110" s="51" t="str">
        <f>IFERROR(
  VLOOKUP(
    VLOOKUP(TEXT($B$3,"yyyymmdd")&amp;"_"&amp;TEXT($B110*60+BE$109,"0000"),RawData!$A$2:$G$30000,7,FALSE),
    Mapping!$A$4:$B$9,2,FALSE
  ),
"")</f>
        <v>침실B</v>
      </c>
      <c r="BF110" s="51" t="str">
        <f>IFERROR(
  VLOOKUP(
    VLOOKUP(TEXT($B$3,"yyyymmdd")&amp;"_"&amp;TEXT($B110*60+BF$109,"0000"),RawData!$A$2:$G$30000,7,FALSE),
    Mapping!$A$4:$B$9,2,FALSE
  ),
"")</f>
        <v>침실B</v>
      </c>
      <c r="BG110" s="51" t="str">
        <f>IFERROR(
  VLOOKUP(
    VLOOKUP(TEXT($B$3,"yyyymmdd")&amp;"_"&amp;TEXT($B110*60+BG$109,"0000"),RawData!$A$2:$G$30000,7,FALSE),
    Mapping!$A$4:$B$9,2,FALSE
  ),
"")</f>
        <v>침실B</v>
      </c>
      <c r="BH110" s="51" t="str">
        <f>IFERROR(
  VLOOKUP(
    VLOOKUP(TEXT($B$3,"yyyymmdd")&amp;"_"&amp;TEXT($B110*60+BH$109,"0000"),RawData!$A$2:$G$30000,7,FALSE),
    Mapping!$A$4:$B$9,2,FALSE
  ),
"")</f>
        <v>침실B</v>
      </c>
      <c r="BI110" s="51" t="str">
        <f>IFERROR(
  VLOOKUP(
    VLOOKUP(TEXT($B$3,"yyyymmdd")&amp;"_"&amp;TEXT($B110*60+BI$109,"0000"),RawData!$A$2:$G$30000,7,FALSE),
    Mapping!$A$4:$B$9,2,FALSE
  ),
"")</f>
        <v>침실B</v>
      </c>
      <c r="BJ110" s="51" t="str">
        <f>IFERROR(
  VLOOKUP(
    VLOOKUP(TEXT($B$3,"yyyymmdd")&amp;"_"&amp;TEXT($B110*60+BJ$109,"0000"),RawData!$A$2:$G$30000,7,FALSE),
    Mapping!$A$4:$B$9,2,FALSE
  ),
"")</f>
        <v>침실B</v>
      </c>
      <c r="BK110" s="4" t="str">
        <f>IFERROR(VLOOKUP(TEXT($B$3,"yyyymmdd")&amp;"_"&amp;TEXT(99,"0000"),RawData!$A$2:$F$1441,4,FALSE),"")</f>
        <v>01</v>
      </c>
      <c r="BL110" s="19">
        <f>TIME(0,0,0)+99/1440</f>
        <v>6.8750000000000006E-2</v>
      </c>
      <c r="BM110" s="4">
        <f>IFERROR(VLOOKUP(TEXT($B$3,"yyyymmdd")&amp;"_"&amp;TEXT(99,"0000"),RawData!$A$2:$F$1441,5,FALSE),"")</f>
        <v>0</v>
      </c>
      <c r="BN110" s="4">
        <f t="shared" si="2"/>
        <v>1</v>
      </c>
    </row>
    <row r="111" spans="2:66" x14ac:dyDescent="0.6">
      <c r="B111" s="18">
        <v>1</v>
      </c>
      <c r="C111" s="51" t="str">
        <f>IFERROR(
  VLOOKUP(
    VLOOKUP(TEXT($B$3,"yyyymmdd")&amp;"_"&amp;TEXT($B111*60+C$109,"0000"),RawData!$A$2:$G$30000,7,FALSE),
    Mapping!$A$4:$B$9,2,FALSE
  ),
"")</f>
        <v>침실B</v>
      </c>
      <c r="D111" s="51" t="str">
        <f>IFERROR(
  VLOOKUP(
    VLOOKUP(TEXT($B$3,"yyyymmdd")&amp;"_"&amp;TEXT($B111*60+D$109,"0000"),RawData!$A$2:$G$30000,7,FALSE),
    Mapping!$A$4:$B$9,2,FALSE
  ),
"")</f>
        <v>침실B</v>
      </c>
      <c r="E111" s="51" t="str">
        <f>IFERROR(
  VLOOKUP(
    VLOOKUP(TEXT($B$3,"yyyymmdd")&amp;"_"&amp;TEXT($B111*60+E$109,"0000"),RawData!$A$2:$G$30000,7,FALSE),
    Mapping!$A$4:$B$9,2,FALSE
  ),
"")</f>
        <v>침실B</v>
      </c>
      <c r="F111" s="51" t="str">
        <f>IFERROR(
  VLOOKUP(
    VLOOKUP(TEXT($B$3,"yyyymmdd")&amp;"_"&amp;TEXT($B111*60+F$109,"0000"),RawData!$A$2:$G$30000,7,FALSE),
    Mapping!$A$4:$B$9,2,FALSE
  ),
"")</f>
        <v>침실B</v>
      </c>
      <c r="G111" s="51" t="str">
        <f>IFERROR(
  VLOOKUP(
    VLOOKUP(TEXT($B$3,"yyyymmdd")&amp;"_"&amp;TEXT($B111*60+G$109,"0000"),RawData!$A$2:$G$30000,7,FALSE),
    Mapping!$A$4:$B$9,2,FALSE
  ),
"")</f>
        <v>침실B</v>
      </c>
      <c r="H111" s="51" t="str">
        <f>IFERROR(
  VLOOKUP(
    VLOOKUP(TEXT($B$3,"yyyymmdd")&amp;"_"&amp;TEXT($B111*60+H$109,"0000"),RawData!$A$2:$G$30000,7,FALSE),
    Mapping!$A$4:$B$9,2,FALSE
  ),
"")</f>
        <v>침실B</v>
      </c>
      <c r="I111" s="51" t="str">
        <f>IFERROR(
  VLOOKUP(
    VLOOKUP(TEXT($B$3,"yyyymmdd")&amp;"_"&amp;TEXT($B111*60+I$109,"0000"),RawData!$A$2:$G$30000,7,FALSE),
    Mapping!$A$4:$B$9,2,FALSE
  ),
"")</f>
        <v>침실B</v>
      </c>
      <c r="J111" s="51" t="str">
        <f>IFERROR(
  VLOOKUP(
    VLOOKUP(TEXT($B$3,"yyyymmdd")&amp;"_"&amp;TEXT($B111*60+J$109,"0000"),RawData!$A$2:$G$30000,7,FALSE),
    Mapping!$A$4:$B$9,2,FALSE
  ),
"")</f>
        <v>침실B</v>
      </c>
      <c r="K111" s="51" t="str">
        <f>IFERROR(
  VLOOKUP(
    VLOOKUP(TEXT($B$3,"yyyymmdd")&amp;"_"&amp;TEXT($B111*60+K$109,"0000"),RawData!$A$2:$G$30000,7,FALSE),
    Mapping!$A$4:$B$9,2,FALSE
  ),
"")</f>
        <v>침실B</v>
      </c>
      <c r="L111" s="51" t="str">
        <f>IFERROR(
  VLOOKUP(
    VLOOKUP(TEXT($B$3,"yyyymmdd")&amp;"_"&amp;TEXT($B111*60+L$109,"0000"),RawData!$A$2:$G$30000,7,FALSE),
    Mapping!$A$4:$B$9,2,FALSE
  ),
"")</f>
        <v>침실B</v>
      </c>
      <c r="M111" s="51" t="str">
        <f>IFERROR(
  VLOOKUP(
    VLOOKUP(TEXT($B$3,"yyyymmdd")&amp;"_"&amp;TEXT($B111*60+M$109,"0000"),RawData!$A$2:$G$30000,7,FALSE),
    Mapping!$A$4:$B$9,2,FALSE
  ),
"")</f>
        <v>침실B</v>
      </c>
      <c r="N111" s="51" t="str">
        <f>IFERROR(
  VLOOKUP(
    VLOOKUP(TEXT($B$3,"yyyymmdd")&amp;"_"&amp;TEXT($B111*60+N$109,"0000"),RawData!$A$2:$G$30000,7,FALSE),
    Mapping!$A$4:$B$9,2,FALSE
  ),
"")</f>
        <v>침실B</v>
      </c>
      <c r="O111" s="51" t="str">
        <f>IFERROR(
  VLOOKUP(
    VLOOKUP(TEXT($B$3,"yyyymmdd")&amp;"_"&amp;TEXT($B111*60+O$109,"0000"),RawData!$A$2:$G$30000,7,FALSE),
    Mapping!$A$4:$B$9,2,FALSE
  ),
"")</f>
        <v>침실B</v>
      </c>
      <c r="P111" s="51" t="str">
        <f>IFERROR(
  VLOOKUP(
    VLOOKUP(TEXT($B$3,"yyyymmdd")&amp;"_"&amp;TEXT($B111*60+P$109,"0000"),RawData!$A$2:$G$30000,7,FALSE),
    Mapping!$A$4:$B$9,2,FALSE
  ),
"")</f>
        <v>침실B</v>
      </c>
      <c r="Q111" s="51" t="str">
        <f>IFERROR(
  VLOOKUP(
    VLOOKUP(TEXT($B$3,"yyyymmdd")&amp;"_"&amp;TEXT($B111*60+Q$109,"0000"),RawData!$A$2:$G$30000,7,FALSE),
    Mapping!$A$4:$B$9,2,FALSE
  ),
"")</f>
        <v>침실B</v>
      </c>
      <c r="R111" s="51" t="str">
        <f>IFERROR(
  VLOOKUP(
    VLOOKUP(TEXT($B$3,"yyyymmdd")&amp;"_"&amp;TEXT($B111*60+R$109,"0000"),RawData!$A$2:$G$30000,7,FALSE),
    Mapping!$A$4:$B$9,2,FALSE
  ),
"")</f>
        <v>침실B</v>
      </c>
      <c r="S111" s="51" t="str">
        <f>IFERROR(
  VLOOKUP(
    VLOOKUP(TEXT($B$3,"yyyymmdd")&amp;"_"&amp;TEXT($B111*60+S$109,"0000"),RawData!$A$2:$G$30000,7,FALSE),
    Mapping!$A$4:$B$9,2,FALSE
  ),
"")</f>
        <v>침실B</v>
      </c>
      <c r="T111" s="51" t="str">
        <f>IFERROR(
  VLOOKUP(
    VLOOKUP(TEXT($B$3,"yyyymmdd")&amp;"_"&amp;TEXT($B111*60+T$109,"0000"),RawData!$A$2:$G$30000,7,FALSE),
    Mapping!$A$4:$B$9,2,FALSE
  ),
"")</f>
        <v>침실B</v>
      </c>
      <c r="U111" s="51" t="str">
        <f>IFERROR(
  VLOOKUP(
    VLOOKUP(TEXT($B$3,"yyyymmdd")&amp;"_"&amp;TEXT($B111*60+U$109,"0000"),RawData!$A$2:$G$30000,7,FALSE),
    Mapping!$A$4:$B$9,2,FALSE
  ),
"")</f>
        <v>침실B</v>
      </c>
      <c r="V111" s="51" t="str">
        <f>IFERROR(
  VLOOKUP(
    VLOOKUP(TEXT($B$3,"yyyymmdd")&amp;"_"&amp;TEXT($B111*60+V$109,"0000"),RawData!$A$2:$G$30000,7,FALSE),
    Mapping!$A$4:$B$9,2,FALSE
  ),
"")</f>
        <v>침실B</v>
      </c>
      <c r="W111" s="51" t="str">
        <f>IFERROR(
  VLOOKUP(
    VLOOKUP(TEXT($B$3,"yyyymmdd")&amp;"_"&amp;TEXT($B111*60+W$109,"0000"),RawData!$A$2:$G$30000,7,FALSE),
    Mapping!$A$4:$B$9,2,FALSE
  ),
"")</f>
        <v>침실B</v>
      </c>
      <c r="X111" s="51" t="str">
        <f>IFERROR(
  VLOOKUP(
    VLOOKUP(TEXT($B$3,"yyyymmdd")&amp;"_"&amp;TEXT($B111*60+X$109,"0000"),RawData!$A$2:$G$30000,7,FALSE),
    Mapping!$A$4:$B$9,2,FALSE
  ),
"")</f>
        <v>침실B</v>
      </c>
      <c r="Y111" s="51" t="str">
        <f>IFERROR(
  VLOOKUP(
    VLOOKUP(TEXT($B$3,"yyyymmdd")&amp;"_"&amp;TEXT($B111*60+Y$109,"0000"),RawData!$A$2:$G$30000,7,FALSE),
    Mapping!$A$4:$B$9,2,FALSE
  ),
"")</f>
        <v>침실B</v>
      </c>
      <c r="Z111" s="51" t="str">
        <f>IFERROR(
  VLOOKUP(
    VLOOKUP(TEXT($B$3,"yyyymmdd")&amp;"_"&amp;TEXT($B111*60+Z$109,"0000"),RawData!$A$2:$G$30000,7,FALSE),
    Mapping!$A$4:$B$9,2,FALSE
  ),
"")</f>
        <v>침실B</v>
      </c>
      <c r="AA111" s="51" t="str">
        <f>IFERROR(
  VLOOKUP(
    VLOOKUP(TEXT($B$3,"yyyymmdd")&amp;"_"&amp;TEXT($B111*60+AA$109,"0000"),RawData!$A$2:$G$30000,7,FALSE),
    Mapping!$A$4:$B$9,2,FALSE
  ),
"")</f>
        <v>침실B</v>
      </c>
      <c r="AB111" s="51" t="str">
        <f>IFERROR(
  VLOOKUP(
    VLOOKUP(TEXT($B$3,"yyyymmdd")&amp;"_"&amp;TEXT($B111*60+AB$109,"0000"),RawData!$A$2:$G$30000,7,FALSE),
    Mapping!$A$4:$B$9,2,FALSE
  ),
"")</f>
        <v>침실B</v>
      </c>
      <c r="AC111" s="51" t="str">
        <f>IFERROR(
  VLOOKUP(
    VLOOKUP(TEXT($B$3,"yyyymmdd")&amp;"_"&amp;TEXT($B111*60+AC$109,"0000"),RawData!$A$2:$G$30000,7,FALSE),
    Mapping!$A$4:$B$9,2,FALSE
  ),
"")</f>
        <v>침실B</v>
      </c>
      <c r="AD111" s="51" t="str">
        <f>IFERROR(
  VLOOKUP(
    VLOOKUP(TEXT($B$3,"yyyymmdd")&amp;"_"&amp;TEXT($B111*60+AD$109,"0000"),RawData!$A$2:$G$30000,7,FALSE),
    Mapping!$A$4:$B$9,2,FALSE
  ),
"")</f>
        <v>침실B</v>
      </c>
      <c r="AE111" s="51" t="str">
        <f>IFERROR(
  VLOOKUP(
    VLOOKUP(TEXT($B$3,"yyyymmdd")&amp;"_"&amp;TEXT($B111*60+AE$109,"0000"),RawData!$A$2:$G$30000,7,FALSE),
    Mapping!$A$4:$B$9,2,FALSE
  ),
"")</f>
        <v>침실A</v>
      </c>
      <c r="AF111" s="51" t="str">
        <f>IFERROR(
  VLOOKUP(
    VLOOKUP(TEXT($B$3,"yyyymmdd")&amp;"_"&amp;TEXT($B111*60+AF$109,"0000"),RawData!$A$2:$G$30000,7,FALSE),
    Mapping!$A$4:$B$9,2,FALSE
  ),
"")</f>
        <v>침실B</v>
      </c>
      <c r="AG111" s="51" t="str">
        <f>IFERROR(
  VLOOKUP(
    VLOOKUP(TEXT($B$3,"yyyymmdd")&amp;"_"&amp;TEXT($B111*60+AG$109,"0000"),RawData!$A$2:$G$30000,7,FALSE),
    Mapping!$A$4:$B$9,2,FALSE
  ),
"")</f>
        <v>침실B</v>
      </c>
      <c r="AH111" s="51" t="str">
        <f>IFERROR(
  VLOOKUP(
    VLOOKUP(TEXT($B$3,"yyyymmdd")&amp;"_"&amp;TEXT($B111*60+AH$109,"0000"),RawData!$A$2:$G$30000,7,FALSE),
    Mapping!$A$4:$B$9,2,FALSE
  ),
"")</f>
        <v>침실A</v>
      </c>
      <c r="AI111" s="51" t="str">
        <f>IFERROR(
  VLOOKUP(
    VLOOKUP(TEXT($B$3,"yyyymmdd")&amp;"_"&amp;TEXT($B111*60+AI$109,"0000"),RawData!$A$2:$G$30000,7,FALSE),
    Mapping!$A$4:$B$9,2,FALSE
  ),
"")</f>
        <v>침실A</v>
      </c>
      <c r="AJ111" s="51" t="str">
        <f>IFERROR(
  VLOOKUP(
    VLOOKUP(TEXT($B$3,"yyyymmdd")&amp;"_"&amp;TEXT($B111*60+AJ$109,"0000"),RawData!$A$2:$G$30000,7,FALSE),
    Mapping!$A$4:$B$9,2,FALSE
  ),
"")</f>
        <v>침실A</v>
      </c>
      <c r="AK111" s="51" t="str">
        <f>IFERROR(
  VLOOKUP(
    VLOOKUP(TEXT($B$3,"yyyymmdd")&amp;"_"&amp;TEXT($B111*60+AK$109,"0000"),RawData!$A$2:$G$30000,7,FALSE),
    Mapping!$A$4:$B$9,2,FALSE
  ),
"")</f>
        <v>침실A</v>
      </c>
      <c r="AL111" s="51" t="str">
        <f>IFERROR(
  VLOOKUP(
    VLOOKUP(TEXT($B$3,"yyyymmdd")&amp;"_"&amp;TEXT($B111*60+AL$109,"0000"),RawData!$A$2:$G$30000,7,FALSE),
    Mapping!$A$4:$B$9,2,FALSE
  ),
"")</f>
        <v>침실A</v>
      </c>
      <c r="AM111" s="51" t="str">
        <f>IFERROR(
  VLOOKUP(
    VLOOKUP(TEXT($B$3,"yyyymmdd")&amp;"_"&amp;TEXT($B111*60+AM$109,"0000"),RawData!$A$2:$G$30000,7,FALSE),
    Mapping!$A$4:$B$9,2,FALSE
  ),
"")</f>
        <v>침실A</v>
      </c>
      <c r="AN111" s="51" t="str">
        <f>IFERROR(
  VLOOKUP(
    VLOOKUP(TEXT($B$3,"yyyymmdd")&amp;"_"&amp;TEXT($B111*60+AN$109,"0000"),RawData!$A$2:$G$30000,7,FALSE),
    Mapping!$A$4:$B$9,2,FALSE
  ),
"")</f>
        <v>침실A</v>
      </c>
      <c r="AO111" s="51" t="str">
        <f>IFERROR(
  VLOOKUP(
    VLOOKUP(TEXT($B$3,"yyyymmdd")&amp;"_"&amp;TEXT($B111*60+AO$109,"0000"),RawData!$A$2:$G$30000,7,FALSE),
    Mapping!$A$4:$B$9,2,FALSE
  ),
"")</f>
        <v>침실A</v>
      </c>
      <c r="AP111" s="51" t="str">
        <f>IFERROR(
  VLOOKUP(
    VLOOKUP(TEXT($B$3,"yyyymmdd")&amp;"_"&amp;TEXT($B111*60+AP$109,"0000"),RawData!$A$2:$G$30000,7,FALSE),
    Mapping!$A$4:$B$9,2,FALSE
  ),
"")</f>
        <v>침실B</v>
      </c>
      <c r="AQ111" s="51" t="str">
        <f>IFERROR(
  VLOOKUP(
    VLOOKUP(TEXT($B$3,"yyyymmdd")&amp;"_"&amp;TEXT($B111*60+AQ$109,"0000"),RawData!$A$2:$G$30000,7,FALSE),
    Mapping!$A$4:$B$9,2,FALSE
  ),
"")</f>
        <v>화장실</v>
      </c>
      <c r="AR111" s="51" t="str">
        <f>IFERROR(
  VLOOKUP(
    VLOOKUP(TEXT($B$3,"yyyymmdd")&amp;"_"&amp;TEXT($B111*60+AR$109,"0000"),RawData!$A$2:$G$30000,7,FALSE),
    Mapping!$A$4:$B$9,2,FALSE
  ),
"")</f>
        <v>주방</v>
      </c>
      <c r="AS111" s="51" t="str">
        <f>IFERROR(
  VLOOKUP(
    VLOOKUP(TEXT($B$3,"yyyymmdd")&amp;"_"&amp;TEXT($B111*60+AS$109,"0000"),RawData!$A$2:$G$30000,7,FALSE),
    Mapping!$A$4:$B$9,2,FALSE
  ),
"")</f>
        <v>침실B</v>
      </c>
      <c r="AT111" s="51" t="str">
        <f>IFERROR(
  VLOOKUP(
    VLOOKUP(TEXT($B$3,"yyyymmdd")&amp;"_"&amp;TEXT($B111*60+AT$109,"0000"),RawData!$A$2:$G$30000,7,FALSE),
    Mapping!$A$4:$B$9,2,FALSE
  ),
"")</f>
        <v>침실A</v>
      </c>
      <c r="AU111" s="51" t="str">
        <f>IFERROR(
  VLOOKUP(
    VLOOKUP(TEXT($B$3,"yyyymmdd")&amp;"_"&amp;TEXT($B111*60+AU$109,"0000"),RawData!$A$2:$G$30000,7,FALSE),
    Mapping!$A$4:$B$9,2,FALSE
  ),
"")</f>
        <v>화장실</v>
      </c>
      <c r="AV111" s="51" t="str">
        <f>IFERROR(
  VLOOKUP(
    VLOOKUP(TEXT($B$3,"yyyymmdd")&amp;"_"&amp;TEXT($B111*60+AV$109,"0000"),RawData!$A$2:$G$30000,7,FALSE),
    Mapping!$A$4:$B$9,2,FALSE
  ),
"")</f>
        <v>화장실</v>
      </c>
      <c r="AW111" s="51" t="str">
        <f>IFERROR(
  VLOOKUP(
    VLOOKUP(TEXT($B$3,"yyyymmdd")&amp;"_"&amp;TEXT($B111*60+AW$109,"0000"),RawData!$A$2:$G$30000,7,FALSE),
    Mapping!$A$4:$B$9,2,FALSE
  ),
"")</f>
        <v>침실A</v>
      </c>
      <c r="AX111" s="51" t="str">
        <f>IFERROR(
  VLOOKUP(
    VLOOKUP(TEXT($B$3,"yyyymmdd")&amp;"_"&amp;TEXT($B111*60+AX$109,"0000"),RawData!$A$2:$G$30000,7,FALSE),
    Mapping!$A$4:$B$9,2,FALSE
  ),
"")</f>
        <v>침실A</v>
      </c>
      <c r="AY111" s="51" t="str">
        <f>IFERROR(
  VLOOKUP(
    VLOOKUP(TEXT($B$3,"yyyymmdd")&amp;"_"&amp;TEXT($B111*60+AY$109,"0000"),RawData!$A$2:$G$30000,7,FALSE),
    Mapping!$A$4:$B$9,2,FALSE
  ),
"")</f>
        <v>침실A</v>
      </c>
      <c r="AZ111" s="51" t="str">
        <f>IFERROR(
  VLOOKUP(
    VLOOKUP(TEXT($B$3,"yyyymmdd")&amp;"_"&amp;TEXT($B111*60+AZ$109,"0000"),RawData!$A$2:$G$30000,7,FALSE),
    Mapping!$A$4:$B$9,2,FALSE
  ),
"")</f>
        <v>거실A</v>
      </c>
      <c r="BA111" s="51" t="str">
        <f>IFERROR(
  VLOOKUP(
    VLOOKUP(TEXT($B$3,"yyyymmdd")&amp;"_"&amp;TEXT($B111*60+BA$109,"0000"),RawData!$A$2:$G$30000,7,FALSE),
    Mapping!$A$4:$B$9,2,FALSE
  ),
"")</f>
        <v>침실B</v>
      </c>
      <c r="BB111" s="51" t="str">
        <f>IFERROR(
  VLOOKUP(
    VLOOKUP(TEXT($B$3,"yyyymmdd")&amp;"_"&amp;TEXT($B111*60+BB$109,"0000"),RawData!$A$2:$G$30000,7,FALSE),
    Mapping!$A$4:$B$9,2,FALSE
  ),
"")</f>
        <v>침실A</v>
      </c>
      <c r="BC111" s="51" t="str">
        <f>IFERROR(
  VLOOKUP(
    VLOOKUP(TEXT($B$3,"yyyymmdd")&amp;"_"&amp;TEXT($B111*60+BC$109,"0000"),RawData!$A$2:$G$30000,7,FALSE),
    Mapping!$A$4:$B$9,2,FALSE
  ),
"")</f>
        <v>침실A</v>
      </c>
      <c r="BD111" s="51" t="str">
        <f>IFERROR(
  VLOOKUP(
    VLOOKUP(TEXT($B$3,"yyyymmdd")&amp;"_"&amp;TEXT($B111*60+BD$109,"0000"),RawData!$A$2:$G$30000,7,FALSE),
    Mapping!$A$4:$B$9,2,FALSE
  ),
"")</f>
        <v>침실B</v>
      </c>
      <c r="BE111" s="51" t="str">
        <f>IFERROR(
  VLOOKUP(
    VLOOKUP(TEXT($B$3,"yyyymmdd")&amp;"_"&amp;TEXT($B111*60+BE$109,"0000"),RawData!$A$2:$G$30000,7,FALSE),
    Mapping!$A$4:$B$9,2,FALSE
  ),
"")</f>
        <v>침실B</v>
      </c>
      <c r="BF111" s="51" t="str">
        <f>IFERROR(
  VLOOKUP(
    VLOOKUP(TEXT($B$3,"yyyymmdd")&amp;"_"&amp;TEXT($B111*60+BF$109,"0000"),RawData!$A$2:$G$30000,7,FALSE),
    Mapping!$A$4:$B$9,2,FALSE
  ),
"")</f>
        <v>침실B</v>
      </c>
      <c r="BG111" s="51" t="str">
        <f>IFERROR(
  VLOOKUP(
    VLOOKUP(TEXT($B$3,"yyyymmdd")&amp;"_"&amp;TEXT($B111*60+BG$109,"0000"),RawData!$A$2:$G$30000,7,FALSE),
    Mapping!$A$4:$B$9,2,FALSE
  ),
"")</f>
        <v>침실B</v>
      </c>
      <c r="BH111" s="51" t="str">
        <f>IFERROR(
  VLOOKUP(
    VLOOKUP(TEXT($B$3,"yyyymmdd")&amp;"_"&amp;TEXT($B111*60+BH$109,"0000"),RawData!$A$2:$G$30000,7,FALSE),
    Mapping!$A$4:$B$9,2,FALSE
  ),
"")</f>
        <v>침실B</v>
      </c>
      <c r="BI111" s="51" t="str">
        <f>IFERROR(
  VLOOKUP(
    VLOOKUP(TEXT($B$3,"yyyymmdd")&amp;"_"&amp;TEXT($B111*60+BI$109,"0000"),RawData!$A$2:$G$30000,7,FALSE),
    Mapping!$A$4:$B$9,2,FALSE
  ),
"")</f>
        <v>침실B</v>
      </c>
      <c r="BJ111" s="51" t="str">
        <f>IFERROR(
  VLOOKUP(
    VLOOKUP(TEXT($B$3,"yyyymmdd")&amp;"_"&amp;TEXT($B111*60+BJ$109,"0000"),RawData!$A$2:$G$30000,7,FALSE),
    Mapping!$A$4:$B$9,2,FALSE
  ),
"")</f>
        <v>침실A</v>
      </c>
      <c r="BK111" s="4" t="str">
        <f>IFERROR(VLOOKUP(TEXT($B$3,"yyyymmdd")&amp;"_"&amp;TEXT(100,"0000"),RawData!$A$2:$F$1441,4,FALSE),"")</f>
        <v>14</v>
      </c>
      <c r="BL111" s="19">
        <f>TIME(0,0,0)+100/1440</f>
        <v>6.9444444444444448E-2</v>
      </c>
      <c r="BM111" s="4">
        <f>IFERROR(VLOOKUP(TEXT($B$3,"yyyymmdd")&amp;"_"&amp;TEXT(100,"0000"),RawData!$A$2:$F$1441,5,FALSE),"")</f>
        <v>0</v>
      </c>
      <c r="BN111" s="4">
        <f t="shared" si="2"/>
        <v>1</v>
      </c>
    </row>
    <row r="112" spans="2:66" x14ac:dyDescent="0.6">
      <c r="B112" s="18">
        <v>2</v>
      </c>
      <c r="C112" s="51" t="str">
        <f>IFERROR(
  VLOOKUP(
    VLOOKUP(TEXT($B$3,"yyyymmdd")&amp;"_"&amp;TEXT($B112*60+C$109,"0000"),RawData!$A$2:$G$30000,7,FALSE),
    Mapping!$A$4:$B$9,2,FALSE
  ),
"")</f>
        <v>침실B</v>
      </c>
      <c r="D112" s="51" t="str">
        <f>IFERROR(
  VLOOKUP(
    VLOOKUP(TEXT($B$3,"yyyymmdd")&amp;"_"&amp;TEXT($B112*60+D$109,"0000"),RawData!$A$2:$G$30000,7,FALSE),
    Mapping!$A$4:$B$9,2,FALSE
  ),
"")</f>
        <v>침실B</v>
      </c>
      <c r="E112" s="51" t="str">
        <f>IFERROR(
  VLOOKUP(
    VLOOKUP(TEXT($B$3,"yyyymmdd")&amp;"_"&amp;TEXT($B112*60+E$109,"0000"),RawData!$A$2:$G$30000,7,FALSE),
    Mapping!$A$4:$B$9,2,FALSE
  ),
"")</f>
        <v>침실B</v>
      </c>
      <c r="F112" s="51" t="str">
        <f>IFERROR(
  VLOOKUP(
    VLOOKUP(TEXT($B$3,"yyyymmdd")&amp;"_"&amp;TEXT($B112*60+F$109,"0000"),RawData!$A$2:$G$30000,7,FALSE),
    Mapping!$A$4:$B$9,2,FALSE
  ),
"")</f>
        <v>침실B</v>
      </c>
      <c r="G112" s="51" t="str">
        <f>IFERROR(
  VLOOKUP(
    VLOOKUP(TEXT($B$3,"yyyymmdd")&amp;"_"&amp;TEXT($B112*60+G$109,"0000"),RawData!$A$2:$G$30000,7,FALSE),
    Mapping!$A$4:$B$9,2,FALSE
  ),
"")</f>
        <v>침실B</v>
      </c>
      <c r="H112" s="51" t="str">
        <f>IFERROR(
  VLOOKUP(
    VLOOKUP(TEXT($B$3,"yyyymmdd")&amp;"_"&amp;TEXT($B112*60+H$109,"0000"),RawData!$A$2:$G$30000,7,FALSE),
    Mapping!$A$4:$B$9,2,FALSE
  ),
"")</f>
        <v>침실B</v>
      </c>
      <c r="I112" s="51" t="str">
        <f>IFERROR(
  VLOOKUP(
    VLOOKUP(TEXT($B$3,"yyyymmdd")&amp;"_"&amp;TEXT($B112*60+I$109,"0000"),RawData!$A$2:$G$30000,7,FALSE),
    Mapping!$A$4:$B$9,2,FALSE
  ),
"")</f>
        <v>침실B</v>
      </c>
      <c r="J112" s="51" t="str">
        <f>IFERROR(
  VLOOKUP(
    VLOOKUP(TEXT($B$3,"yyyymmdd")&amp;"_"&amp;TEXT($B112*60+J$109,"0000"),RawData!$A$2:$G$30000,7,FALSE),
    Mapping!$A$4:$B$9,2,FALSE
  ),
"")</f>
        <v>침실B</v>
      </c>
      <c r="K112" s="51" t="str">
        <f>IFERROR(
  VLOOKUP(
    VLOOKUP(TEXT($B$3,"yyyymmdd")&amp;"_"&amp;TEXT($B112*60+K$109,"0000"),RawData!$A$2:$G$30000,7,FALSE),
    Mapping!$A$4:$B$9,2,FALSE
  ),
"")</f>
        <v>침실B</v>
      </c>
      <c r="L112" s="51" t="str">
        <f>IFERROR(
  VLOOKUP(
    VLOOKUP(TEXT($B$3,"yyyymmdd")&amp;"_"&amp;TEXT($B112*60+L$109,"0000"),RawData!$A$2:$G$30000,7,FALSE),
    Mapping!$A$4:$B$9,2,FALSE
  ),
"")</f>
        <v>침실B</v>
      </c>
      <c r="M112" s="51" t="str">
        <f>IFERROR(
  VLOOKUP(
    VLOOKUP(TEXT($B$3,"yyyymmdd")&amp;"_"&amp;TEXT($B112*60+M$109,"0000"),RawData!$A$2:$G$30000,7,FALSE),
    Mapping!$A$4:$B$9,2,FALSE
  ),
"")</f>
        <v>침실B</v>
      </c>
      <c r="N112" s="51" t="str">
        <f>IFERROR(
  VLOOKUP(
    VLOOKUP(TEXT($B$3,"yyyymmdd")&amp;"_"&amp;TEXT($B112*60+N$109,"0000"),RawData!$A$2:$G$30000,7,FALSE),
    Mapping!$A$4:$B$9,2,FALSE
  ),
"")</f>
        <v>침실B</v>
      </c>
      <c r="O112" s="51" t="str">
        <f>IFERROR(
  VLOOKUP(
    VLOOKUP(TEXT($B$3,"yyyymmdd")&amp;"_"&amp;TEXT($B112*60+O$109,"0000"),RawData!$A$2:$G$30000,7,FALSE),
    Mapping!$A$4:$B$9,2,FALSE
  ),
"")</f>
        <v>침실B</v>
      </c>
      <c r="P112" s="51" t="str">
        <f>IFERROR(
  VLOOKUP(
    VLOOKUP(TEXT($B$3,"yyyymmdd")&amp;"_"&amp;TEXT($B112*60+P$109,"0000"),RawData!$A$2:$G$30000,7,FALSE),
    Mapping!$A$4:$B$9,2,FALSE
  ),
"")</f>
        <v>침실A</v>
      </c>
      <c r="Q112" s="51" t="str">
        <f>IFERROR(
  VLOOKUP(
    VLOOKUP(TEXT($B$3,"yyyymmdd")&amp;"_"&amp;TEXT($B112*60+Q$109,"0000"),RawData!$A$2:$G$30000,7,FALSE),
    Mapping!$A$4:$B$9,2,FALSE
  ),
"")</f>
        <v>침실B</v>
      </c>
      <c r="R112" s="51" t="str">
        <f>IFERROR(
  VLOOKUP(
    VLOOKUP(TEXT($B$3,"yyyymmdd")&amp;"_"&amp;TEXT($B112*60+R$109,"0000"),RawData!$A$2:$G$30000,7,FALSE),
    Mapping!$A$4:$B$9,2,FALSE
  ),
"")</f>
        <v>침실B</v>
      </c>
      <c r="S112" s="51" t="str">
        <f>IFERROR(
  VLOOKUP(
    VLOOKUP(TEXT($B$3,"yyyymmdd")&amp;"_"&amp;TEXT($B112*60+S$109,"0000"),RawData!$A$2:$G$30000,7,FALSE),
    Mapping!$A$4:$B$9,2,FALSE
  ),
"")</f>
        <v>침실B</v>
      </c>
      <c r="T112" s="51" t="str">
        <f>IFERROR(
  VLOOKUP(
    VLOOKUP(TEXT($B$3,"yyyymmdd")&amp;"_"&amp;TEXT($B112*60+T$109,"0000"),RawData!$A$2:$G$30000,7,FALSE),
    Mapping!$A$4:$B$9,2,FALSE
  ),
"")</f>
        <v>침실B</v>
      </c>
      <c r="U112" s="51" t="str">
        <f>IFERROR(
  VLOOKUP(
    VLOOKUP(TEXT($B$3,"yyyymmdd")&amp;"_"&amp;TEXT($B112*60+U$109,"0000"),RawData!$A$2:$G$30000,7,FALSE),
    Mapping!$A$4:$B$9,2,FALSE
  ),
"")</f>
        <v>침실B</v>
      </c>
      <c r="V112" s="51" t="str">
        <f>IFERROR(
  VLOOKUP(
    VLOOKUP(TEXT($B$3,"yyyymmdd")&amp;"_"&amp;TEXT($B112*60+V$109,"0000"),RawData!$A$2:$G$30000,7,FALSE),
    Mapping!$A$4:$B$9,2,FALSE
  ),
"")</f>
        <v>침실B</v>
      </c>
      <c r="W112" s="51" t="str">
        <f>IFERROR(
  VLOOKUP(
    VLOOKUP(TEXT($B$3,"yyyymmdd")&amp;"_"&amp;TEXT($B112*60+W$109,"0000"),RawData!$A$2:$G$30000,7,FALSE),
    Mapping!$A$4:$B$9,2,FALSE
  ),
"")</f>
        <v>침실B</v>
      </c>
      <c r="X112" s="51" t="str">
        <f>IFERROR(
  VLOOKUP(
    VLOOKUP(TEXT($B$3,"yyyymmdd")&amp;"_"&amp;TEXT($B112*60+X$109,"0000"),RawData!$A$2:$G$30000,7,FALSE),
    Mapping!$A$4:$B$9,2,FALSE
  ),
"")</f>
        <v>침실B</v>
      </c>
      <c r="Y112" s="51" t="str">
        <f>IFERROR(
  VLOOKUP(
    VLOOKUP(TEXT($B$3,"yyyymmdd")&amp;"_"&amp;TEXT($B112*60+Y$109,"0000"),RawData!$A$2:$G$30000,7,FALSE),
    Mapping!$A$4:$B$9,2,FALSE
  ),
"")</f>
        <v>침실B</v>
      </c>
      <c r="Z112" s="51" t="str">
        <f>IFERROR(
  VLOOKUP(
    VLOOKUP(TEXT($B$3,"yyyymmdd")&amp;"_"&amp;TEXT($B112*60+Z$109,"0000"),RawData!$A$2:$G$30000,7,FALSE),
    Mapping!$A$4:$B$9,2,FALSE
  ),
"")</f>
        <v>침실B</v>
      </c>
      <c r="AA112" s="51" t="str">
        <f>IFERROR(
  VLOOKUP(
    VLOOKUP(TEXT($B$3,"yyyymmdd")&amp;"_"&amp;TEXT($B112*60+AA$109,"0000"),RawData!$A$2:$G$30000,7,FALSE),
    Mapping!$A$4:$B$9,2,FALSE
  ),
"")</f>
        <v>침실A</v>
      </c>
      <c r="AB112" s="51" t="str">
        <f>IFERROR(
  VLOOKUP(
    VLOOKUP(TEXT($B$3,"yyyymmdd")&amp;"_"&amp;TEXT($B112*60+AB$109,"0000"),RawData!$A$2:$G$30000,7,FALSE),
    Mapping!$A$4:$B$9,2,FALSE
  ),
"")</f>
        <v>거실A</v>
      </c>
      <c r="AC112" s="51" t="str">
        <f>IFERROR(
  VLOOKUP(
    VLOOKUP(TEXT($B$3,"yyyymmdd")&amp;"_"&amp;TEXT($B112*60+AC$109,"0000"),RawData!$A$2:$G$30000,7,FALSE),
    Mapping!$A$4:$B$9,2,FALSE
  ),
"")</f>
        <v>침실A</v>
      </c>
      <c r="AD112" s="51" t="str">
        <f>IFERROR(
  VLOOKUP(
    VLOOKUP(TEXT($B$3,"yyyymmdd")&amp;"_"&amp;TEXT($B112*60+AD$109,"0000"),RawData!$A$2:$G$30000,7,FALSE),
    Mapping!$A$4:$B$9,2,FALSE
  ),
"")</f>
        <v>침실A</v>
      </c>
      <c r="AE112" s="51" t="str">
        <f>IFERROR(
  VLOOKUP(
    VLOOKUP(TEXT($B$3,"yyyymmdd")&amp;"_"&amp;TEXT($B112*60+AE$109,"0000"),RawData!$A$2:$G$30000,7,FALSE),
    Mapping!$A$4:$B$9,2,FALSE
  ),
"")</f>
        <v>침실A</v>
      </c>
      <c r="AF112" s="51" t="str">
        <f>IFERROR(
  VLOOKUP(
    VLOOKUP(TEXT($B$3,"yyyymmdd")&amp;"_"&amp;TEXT($B112*60+AF$109,"0000"),RawData!$A$2:$G$30000,7,FALSE),
    Mapping!$A$4:$B$9,2,FALSE
  ),
"")</f>
        <v>침실A</v>
      </c>
      <c r="AG112" s="51" t="str">
        <f>IFERROR(
  VLOOKUP(
    VLOOKUP(TEXT($B$3,"yyyymmdd")&amp;"_"&amp;TEXT($B112*60+AG$109,"0000"),RawData!$A$2:$G$30000,7,FALSE),
    Mapping!$A$4:$B$9,2,FALSE
  ),
"")</f>
        <v>침실A</v>
      </c>
      <c r="AH112" s="51" t="str">
        <f>IFERROR(
  VLOOKUP(
    VLOOKUP(TEXT($B$3,"yyyymmdd")&amp;"_"&amp;TEXT($B112*60+AH$109,"0000"),RawData!$A$2:$G$30000,7,FALSE),
    Mapping!$A$4:$B$9,2,FALSE
  ),
"")</f>
        <v>침실A</v>
      </c>
      <c r="AI112" s="51" t="str">
        <f>IFERROR(
  VLOOKUP(
    VLOOKUP(TEXT($B$3,"yyyymmdd")&amp;"_"&amp;TEXT($B112*60+AI$109,"0000"),RawData!$A$2:$G$30000,7,FALSE),
    Mapping!$A$4:$B$9,2,FALSE
  ),
"")</f>
        <v>침실A</v>
      </c>
      <c r="AJ112" s="51" t="str">
        <f>IFERROR(
  VLOOKUP(
    VLOOKUP(TEXT($B$3,"yyyymmdd")&amp;"_"&amp;TEXT($B112*60+AJ$109,"0000"),RawData!$A$2:$G$30000,7,FALSE),
    Mapping!$A$4:$B$9,2,FALSE
  ),
"")</f>
        <v>침실A</v>
      </c>
      <c r="AK112" s="51" t="str">
        <f>IFERROR(
  VLOOKUP(
    VLOOKUP(TEXT($B$3,"yyyymmdd")&amp;"_"&amp;TEXT($B112*60+AK$109,"0000"),RawData!$A$2:$G$30000,7,FALSE),
    Mapping!$A$4:$B$9,2,FALSE
  ),
"")</f>
        <v>침실A</v>
      </c>
      <c r="AL112" s="51" t="str">
        <f>IFERROR(
  VLOOKUP(
    VLOOKUP(TEXT($B$3,"yyyymmdd")&amp;"_"&amp;TEXT($B112*60+AL$109,"0000"),RawData!$A$2:$G$30000,7,FALSE),
    Mapping!$A$4:$B$9,2,FALSE
  ),
"")</f>
        <v>침실A</v>
      </c>
      <c r="AM112" s="51" t="str">
        <f>IFERROR(
  VLOOKUP(
    VLOOKUP(TEXT($B$3,"yyyymmdd")&amp;"_"&amp;TEXT($B112*60+AM$109,"0000"),RawData!$A$2:$G$30000,7,FALSE),
    Mapping!$A$4:$B$9,2,FALSE
  ),
"")</f>
        <v>침실A</v>
      </c>
      <c r="AN112" s="51" t="str">
        <f>IFERROR(
  VLOOKUP(
    VLOOKUP(TEXT($B$3,"yyyymmdd")&amp;"_"&amp;TEXT($B112*60+AN$109,"0000"),RawData!$A$2:$G$30000,7,FALSE),
    Mapping!$A$4:$B$9,2,FALSE
  ),
"")</f>
        <v>침실A</v>
      </c>
      <c r="AO112" s="51" t="str">
        <f>IFERROR(
  VLOOKUP(
    VLOOKUP(TEXT($B$3,"yyyymmdd")&amp;"_"&amp;TEXT($B112*60+AO$109,"0000"),RawData!$A$2:$G$30000,7,FALSE),
    Mapping!$A$4:$B$9,2,FALSE
  ),
"")</f>
        <v>침실A</v>
      </c>
      <c r="AP112" s="51" t="str">
        <f>IFERROR(
  VLOOKUP(
    VLOOKUP(TEXT($B$3,"yyyymmdd")&amp;"_"&amp;TEXT($B112*60+AP$109,"0000"),RawData!$A$2:$G$30000,7,FALSE),
    Mapping!$A$4:$B$9,2,FALSE
  ),
"")</f>
        <v>침실A</v>
      </c>
      <c r="AQ112" s="51" t="str">
        <f>IFERROR(
  VLOOKUP(
    VLOOKUP(TEXT($B$3,"yyyymmdd")&amp;"_"&amp;TEXT($B112*60+AQ$109,"0000"),RawData!$A$2:$G$30000,7,FALSE),
    Mapping!$A$4:$B$9,2,FALSE
  ),
"")</f>
        <v>침실A</v>
      </c>
      <c r="AR112" s="51" t="str">
        <f>IFERROR(
  VLOOKUP(
    VLOOKUP(TEXT($B$3,"yyyymmdd")&amp;"_"&amp;TEXT($B112*60+AR$109,"0000"),RawData!$A$2:$G$30000,7,FALSE),
    Mapping!$A$4:$B$9,2,FALSE
  ),
"")</f>
        <v>침실A</v>
      </c>
      <c r="AS112" s="51" t="str">
        <f>IFERROR(
  VLOOKUP(
    VLOOKUP(TEXT($B$3,"yyyymmdd")&amp;"_"&amp;TEXT($B112*60+AS$109,"0000"),RawData!$A$2:$G$30000,7,FALSE),
    Mapping!$A$4:$B$9,2,FALSE
  ),
"")</f>
        <v>침실A</v>
      </c>
      <c r="AT112" s="51" t="str">
        <f>IFERROR(
  VLOOKUP(
    VLOOKUP(TEXT($B$3,"yyyymmdd")&amp;"_"&amp;TEXT($B112*60+AT$109,"0000"),RawData!$A$2:$G$30000,7,FALSE),
    Mapping!$A$4:$B$9,2,FALSE
  ),
"")</f>
        <v>침실A</v>
      </c>
      <c r="AU112" s="51" t="str">
        <f>IFERROR(
  VLOOKUP(
    VLOOKUP(TEXT($B$3,"yyyymmdd")&amp;"_"&amp;TEXT($B112*60+AU$109,"0000"),RawData!$A$2:$G$30000,7,FALSE),
    Mapping!$A$4:$B$9,2,FALSE
  ),
"")</f>
        <v>침실A</v>
      </c>
      <c r="AV112" s="51" t="str">
        <f>IFERROR(
  VLOOKUP(
    VLOOKUP(TEXT($B$3,"yyyymmdd")&amp;"_"&amp;TEXT($B112*60+AV$109,"0000"),RawData!$A$2:$G$30000,7,FALSE),
    Mapping!$A$4:$B$9,2,FALSE
  ),
"")</f>
        <v>침실A</v>
      </c>
      <c r="AW112" s="51" t="str">
        <f>IFERROR(
  VLOOKUP(
    VLOOKUP(TEXT($B$3,"yyyymmdd")&amp;"_"&amp;TEXT($B112*60+AW$109,"0000"),RawData!$A$2:$G$30000,7,FALSE),
    Mapping!$A$4:$B$9,2,FALSE
  ),
"")</f>
        <v>침실A</v>
      </c>
      <c r="AX112" s="51" t="str">
        <f>IFERROR(
  VLOOKUP(
    VLOOKUP(TEXT($B$3,"yyyymmdd")&amp;"_"&amp;TEXT($B112*60+AX$109,"0000"),RawData!$A$2:$G$30000,7,FALSE),
    Mapping!$A$4:$B$9,2,FALSE
  ),
"")</f>
        <v>침실A</v>
      </c>
      <c r="AY112" s="51" t="str">
        <f>IFERROR(
  VLOOKUP(
    VLOOKUP(TEXT($B$3,"yyyymmdd")&amp;"_"&amp;TEXT($B112*60+AY$109,"0000"),RawData!$A$2:$G$30000,7,FALSE),
    Mapping!$A$4:$B$9,2,FALSE
  ),
"")</f>
        <v>침실A</v>
      </c>
      <c r="AZ112" s="51" t="str">
        <f>IFERROR(
  VLOOKUP(
    VLOOKUP(TEXT($B$3,"yyyymmdd")&amp;"_"&amp;TEXT($B112*60+AZ$109,"0000"),RawData!$A$2:$G$30000,7,FALSE),
    Mapping!$A$4:$B$9,2,FALSE
  ),
"")</f>
        <v>침실A</v>
      </c>
      <c r="BA112" s="51" t="str">
        <f>IFERROR(
  VLOOKUP(
    VLOOKUP(TEXT($B$3,"yyyymmdd")&amp;"_"&amp;TEXT($B112*60+BA$109,"0000"),RawData!$A$2:$G$30000,7,FALSE),
    Mapping!$A$4:$B$9,2,FALSE
  ),
"")</f>
        <v>침실A</v>
      </c>
      <c r="BB112" s="51" t="str">
        <f>IFERROR(
  VLOOKUP(
    VLOOKUP(TEXT($B$3,"yyyymmdd")&amp;"_"&amp;TEXT($B112*60+BB$109,"0000"),RawData!$A$2:$G$30000,7,FALSE),
    Mapping!$A$4:$B$9,2,FALSE
  ),
"")</f>
        <v>침실A</v>
      </c>
      <c r="BC112" s="51" t="str">
        <f>IFERROR(
  VLOOKUP(
    VLOOKUP(TEXT($B$3,"yyyymmdd")&amp;"_"&amp;TEXT($B112*60+BC$109,"0000"),RawData!$A$2:$G$30000,7,FALSE),
    Mapping!$A$4:$B$9,2,FALSE
  ),
"")</f>
        <v>침실A</v>
      </c>
      <c r="BD112" s="51" t="str">
        <f>IFERROR(
  VLOOKUP(
    VLOOKUP(TEXT($B$3,"yyyymmdd")&amp;"_"&amp;TEXT($B112*60+BD$109,"0000"),RawData!$A$2:$G$30000,7,FALSE),
    Mapping!$A$4:$B$9,2,FALSE
  ),
"")</f>
        <v>침실A</v>
      </c>
      <c r="BE112" s="51" t="str">
        <f>IFERROR(
  VLOOKUP(
    VLOOKUP(TEXT($B$3,"yyyymmdd")&amp;"_"&amp;TEXT($B112*60+BE$109,"0000"),RawData!$A$2:$G$30000,7,FALSE),
    Mapping!$A$4:$B$9,2,FALSE
  ),
"")</f>
        <v>침실A</v>
      </c>
      <c r="BF112" s="51" t="str">
        <f>IFERROR(
  VLOOKUP(
    VLOOKUP(TEXT($B$3,"yyyymmdd")&amp;"_"&amp;TEXT($B112*60+BF$109,"0000"),RawData!$A$2:$G$30000,7,FALSE),
    Mapping!$A$4:$B$9,2,FALSE
  ),
"")</f>
        <v>침실A</v>
      </c>
      <c r="BG112" s="51" t="str">
        <f>IFERROR(
  VLOOKUP(
    VLOOKUP(TEXT($B$3,"yyyymmdd")&amp;"_"&amp;TEXT($B112*60+BG$109,"0000"),RawData!$A$2:$G$30000,7,FALSE),
    Mapping!$A$4:$B$9,2,FALSE
  ),
"")</f>
        <v>침실A</v>
      </c>
      <c r="BH112" s="51" t="str">
        <f>IFERROR(
  VLOOKUP(
    VLOOKUP(TEXT($B$3,"yyyymmdd")&amp;"_"&amp;TEXT($B112*60+BH$109,"0000"),RawData!$A$2:$G$30000,7,FALSE),
    Mapping!$A$4:$B$9,2,FALSE
  ),
"")</f>
        <v>침실A</v>
      </c>
      <c r="BI112" s="51" t="str">
        <f>IFERROR(
  VLOOKUP(
    VLOOKUP(TEXT($B$3,"yyyymmdd")&amp;"_"&amp;TEXT($B112*60+BI$109,"0000"),RawData!$A$2:$G$30000,7,FALSE),
    Mapping!$A$4:$B$9,2,FALSE
  ),
"")</f>
        <v>침실A</v>
      </c>
      <c r="BJ112" s="51" t="str">
        <f>IFERROR(
  VLOOKUP(
    VLOOKUP(TEXT($B$3,"yyyymmdd")&amp;"_"&amp;TEXT($B112*60+BJ$109,"0000"),RawData!$A$2:$G$30000,7,FALSE),
    Mapping!$A$4:$B$9,2,FALSE
  ),
"")</f>
        <v>침실A</v>
      </c>
      <c r="BK112" s="4" t="str">
        <f>IFERROR(VLOOKUP(TEXT($B$3,"yyyymmdd")&amp;"_"&amp;TEXT(101,"0000"),RawData!$A$2:$F$1441,4,FALSE),"")</f>
        <v>1E</v>
      </c>
      <c r="BL112" s="19">
        <f>TIME(0,0,0)+101/1440</f>
        <v>7.013888888888889E-2</v>
      </c>
      <c r="BM112" s="4">
        <f>IFERROR(VLOOKUP(TEXT($B$3,"yyyymmdd")&amp;"_"&amp;TEXT(101,"0000"),RawData!$A$2:$F$1441,5,FALSE),"")</f>
        <v>0</v>
      </c>
      <c r="BN112" s="4">
        <f t="shared" si="2"/>
        <v>1</v>
      </c>
    </row>
    <row r="113" spans="2:66" x14ac:dyDescent="0.6">
      <c r="B113" s="18">
        <v>3</v>
      </c>
      <c r="C113" s="51" t="str">
        <f>IFERROR(
  VLOOKUP(
    VLOOKUP(TEXT($B$3,"yyyymmdd")&amp;"_"&amp;TEXT($B113*60+C$109,"0000"),RawData!$A$2:$G$30000,7,FALSE),
    Mapping!$A$4:$B$9,2,FALSE
  ),
"")</f>
        <v>침실A</v>
      </c>
      <c r="D113" s="51" t="str">
        <f>IFERROR(
  VLOOKUP(
    VLOOKUP(TEXT($B$3,"yyyymmdd")&amp;"_"&amp;TEXT($B113*60+D$109,"0000"),RawData!$A$2:$G$30000,7,FALSE),
    Mapping!$A$4:$B$9,2,FALSE
  ),
"")</f>
        <v>침실A</v>
      </c>
      <c r="E113" s="51" t="str">
        <f>IFERROR(
  VLOOKUP(
    VLOOKUP(TEXT($B$3,"yyyymmdd")&amp;"_"&amp;TEXT($B113*60+E$109,"0000"),RawData!$A$2:$G$30000,7,FALSE),
    Mapping!$A$4:$B$9,2,FALSE
  ),
"")</f>
        <v>침실A</v>
      </c>
      <c r="F113" s="51" t="str">
        <f>IFERROR(
  VLOOKUP(
    VLOOKUP(TEXT($B$3,"yyyymmdd")&amp;"_"&amp;TEXT($B113*60+F$109,"0000"),RawData!$A$2:$G$30000,7,FALSE),
    Mapping!$A$4:$B$9,2,FALSE
  ),
"")</f>
        <v>침실A</v>
      </c>
      <c r="G113" s="51" t="str">
        <f>IFERROR(
  VLOOKUP(
    VLOOKUP(TEXT($B$3,"yyyymmdd")&amp;"_"&amp;TEXT($B113*60+G$109,"0000"),RawData!$A$2:$G$30000,7,FALSE),
    Mapping!$A$4:$B$9,2,FALSE
  ),
"")</f>
        <v>침실A</v>
      </c>
      <c r="H113" s="51" t="str">
        <f>IFERROR(
  VLOOKUP(
    VLOOKUP(TEXT($B$3,"yyyymmdd")&amp;"_"&amp;TEXT($B113*60+H$109,"0000"),RawData!$A$2:$G$30000,7,FALSE),
    Mapping!$A$4:$B$9,2,FALSE
  ),
"")</f>
        <v>침실A</v>
      </c>
      <c r="I113" s="51" t="str">
        <f>IFERROR(
  VLOOKUP(
    VLOOKUP(TEXT($B$3,"yyyymmdd")&amp;"_"&amp;TEXT($B113*60+I$109,"0000"),RawData!$A$2:$G$30000,7,FALSE),
    Mapping!$A$4:$B$9,2,FALSE
  ),
"")</f>
        <v>침실A</v>
      </c>
      <c r="J113" s="51" t="str">
        <f>IFERROR(
  VLOOKUP(
    VLOOKUP(TEXT($B$3,"yyyymmdd")&amp;"_"&amp;TEXT($B113*60+J$109,"0000"),RawData!$A$2:$G$30000,7,FALSE),
    Mapping!$A$4:$B$9,2,FALSE
  ),
"")</f>
        <v>침실A</v>
      </c>
      <c r="K113" s="51" t="str">
        <f>IFERROR(
  VLOOKUP(
    VLOOKUP(TEXT($B$3,"yyyymmdd")&amp;"_"&amp;TEXT($B113*60+K$109,"0000"),RawData!$A$2:$G$30000,7,FALSE),
    Mapping!$A$4:$B$9,2,FALSE
  ),
"")</f>
        <v>침실A</v>
      </c>
      <c r="L113" s="51" t="str">
        <f>IFERROR(
  VLOOKUP(
    VLOOKUP(TEXT($B$3,"yyyymmdd")&amp;"_"&amp;TEXT($B113*60+L$109,"0000"),RawData!$A$2:$G$30000,7,FALSE),
    Mapping!$A$4:$B$9,2,FALSE
  ),
"")</f>
        <v>침실A</v>
      </c>
      <c r="M113" s="51" t="str">
        <f>IFERROR(
  VLOOKUP(
    VLOOKUP(TEXT($B$3,"yyyymmdd")&amp;"_"&amp;TEXT($B113*60+M$109,"0000"),RawData!$A$2:$G$30000,7,FALSE),
    Mapping!$A$4:$B$9,2,FALSE
  ),
"")</f>
        <v>침실A</v>
      </c>
      <c r="N113" s="51" t="str">
        <f>IFERROR(
  VLOOKUP(
    VLOOKUP(TEXT($B$3,"yyyymmdd")&amp;"_"&amp;TEXT($B113*60+N$109,"0000"),RawData!$A$2:$G$30000,7,FALSE),
    Mapping!$A$4:$B$9,2,FALSE
  ),
"")</f>
        <v>침실A</v>
      </c>
      <c r="O113" s="51" t="str">
        <f>IFERROR(
  VLOOKUP(
    VLOOKUP(TEXT($B$3,"yyyymmdd")&amp;"_"&amp;TEXT($B113*60+O$109,"0000"),RawData!$A$2:$G$30000,7,FALSE),
    Mapping!$A$4:$B$9,2,FALSE
  ),
"")</f>
        <v>침실A</v>
      </c>
      <c r="P113" s="51" t="str">
        <f>IFERROR(
  VLOOKUP(
    VLOOKUP(TEXT($B$3,"yyyymmdd")&amp;"_"&amp;TEXT($B113*60+P$109,"0000"),RawData!$A$2:$G$30000,7,FALSE),
    Mapping!$A$4:$B$9,2,FALSE
  ),
"")</f>
        <v>침실A</v>
      </c>
      <c r="Q113" s="51" t="str">
        <f>IFERROR(
  VLOOKUP(
    VLOOKUP(TEXT($B$3,"yyyymmdd")&amp;"_"&amp;TEXT($B113*60+Q$109,"0000"),RawData!$A$2:$G$30000,7,FALSE),
    Mapping!$A$4:$B$9,2,FALSE
  ),
"")</f>
        <v>침실A</v>
      </c>
      <c r="R113" s="51" t="str">
        <f>IFERROR(
  VLOOKUP(
    VLOOKUP(TEXT($B$3,"yyyymmdd")&amp;"_"&amp;TEXT($B113*60+R$109,"0000"),RawData!$A$2:$G$30000,7,FALSE),
    Mapping!$A$4:$B$9,2,FALSE
  ),
"")</f>
        <v>침실A</v>
      </c>
      <c r="S113" s="51" t="str">
        <f>IFERROR(
  VLOOKUP(
    VLOOKUP(TEXT($B$3,"yyyymmdd")&amp;"_"&amp;TEXT($B113*60+S$109,"0000"),RawData!$A$2:$G$30000,7,FALSE),
    Mapping!$A$4:$B$9,2,FALSE
  ),
"")</f>
        <v>침실A</v>
      </c>
      <c r="T113" s="51" t="str">
        <f>IFERROR(
  VLOOKUP(
    VLOOKUP(TEXT($B$3,"yyyymmdd")&amp;"_"&amp;TEXT($B113*60+T$109,"0000"),RawData!$A$2:$G$30000,7,FALSE),
    Mapping!$A$4:$B$9,2,FALSE
  ),
"")</f>
        <v>침실A</v>
      </c>
      <c r="U113" s="51" t="str">
        <f>IFERROR(
  VLOOKUP(
    VLOOKUP(TEXT($B$3,"yyyymmdd")&amp;"_"&amp;TEXT($B113*60+U$109,"0000"),RawData!$A$2:$G$30000,7,FALSE),
    Mapping!$A$4:$B$9,2,FALSE
  ),
"")</f>
        <v>침실A</v>
      </c>
      <c r="V113" s="51" t="str">
        <f>IFERROR(
  VLOOKUP(
    VLOOKUP(TEXT($B$3,"yyyymmdd")&amp;"_"&amp;TEXT($B113*60+V$109,"0000"),RawData!$A$2:$G$30000,7,FALSE),
    Mapping!$A$4:$B$9,2,FALSE
  ),
"")</f>
        <v>침실A</v>
      </c>
      <c r="W113" s="51" t="str">
        <f>IFERROR(
  VLOOKUP(
    VLOOKUP(TEXT($B$3,"yyyymmdd")&amp;"_"&amp;TEXT($B113*60+W$109,"0000"),RawData!$A$2:$G$30000,7,FALSE),
    Mapping!$A$4:$B$9,2,FALSE
  ),
"")</f>
        <v>침실A</v>
      </c>
      <c r="X113" s="51" t="str">
        <f>IFERROR(
  VLOOKUP(
    VLOOKUP(TEXT($B$3,"yyyymmdd")&amp;"_"&amp;TEXT($B113*60+X$109,"0000"),RawData!$A$2:$G$30000,7,FALSE),
    Mapping!$A$4:$B$9,2,FALSE
  ),
"")</f>
        <v>침실A</v>
      </c>
      <c r="Y113" s="51" t="str">
        <f>IFERROR(
  VLOOKUP(
    VLOOKUP(TEXT($B$3,"yyyymmdd")&amp;"_"&amp;TEXT($B113*60+Y$109,"0000"),RawData!$A$2:$G$30000,7,FALSE),
    Mapping!$A$4:$B$9,2,FALSE
  ),
"")</f>
        <v>침실A</v>
      </c>
      <c r="Z113" s="51" t="str">
        <f>IFERROR(
  VLOOKUP(
    VLOOKUP(TEXT($B$3,"yyyymmdd")&amp;"_"&amp;TEXT($B113*60+Z$109,"0000"),RawData!$A$2:$G$30000,7,FALSE),
    Mapping!$A$4:$B$9,2,FALSE
  ),
"")</f>
        <v>침실A</v>
      </c>
      <c r="AA113" s="51" t="str">
        <f>IFERROR(
  VLOOKUP(
    VLOOKUP(TEXT($B$3,"yyyymmdd")&amp;"_"&amp;TEXT($B113*60+AA$109,"0000"),RawData!$A$2:$G$30000,7,FALSE),
    Mapping!$A$4:$B$9,2,FALSE
  ),
"")</f>
        <v>침실A</v>
      </c>
      <c r="AB113" s="51" t="str">
        <f>IFERROR(
  VLOOKUP(
    VLOOKUP(TEXT($B$3,"yyyymmdd")&amp;"_"&amp;TEXT($B113*60+AB$109,"0000"),RawData!$A$2:$G$30000,7,FALSE),
    Mapping!$A$4:$B$9,2,FALSE
  ),
"")</f>
        <v>침실A</v>
      </c>
      <c r="AC113" s="51" t="str">
        <f>IFERROR(
  VLOOKUP(
    VLOOKUP(TEXT($B$3,"yyyymmdd")&amp;"_"&amp;TEXT($B113*60+AC$109,"0000"),RawData!$A$2:$G$30000,7,FALSE),
    Mapping!$A$4:$B$9,2,FALSE
  ),
"")</f>
        <v>침실A</v>
      </c>
      <c r="AD113" s="51" t="str">
        <f>IFERROR(
  VLOOKUP(
    VLOOKUP(TEXT($B$3,"yyyymmdd")&amp;"_"&amp;TEXT($B113*60+AD$109,"0000"),RawData!$A$2:$G$30000,7,FALSE),
    Mapping!$A$4:$B$9,2,FALSE
  ),
"")</f>
        <v>침실A</v>
      </c>
      <c r="AE113" s="51" t="str">
        <f>IFERROR(
  VLOOKUP(
    VLOOKUP(TEXT($B$3,"yyyymmdd")&amp;"_"&amp;TEXT($B113*60+AE$109,"0000"),RawData!$A$2:$G$30000,7,FALSE),
    Mapping!$A$4:$B$9,2,FALSE
  ),
"")</f>
        <v>침실A</v>
      </c>
      <c r="AF113" s="51" t="str">
        <f>IFERROR(
  VLOOKUP(
    VLOOKUP(TEXT($B$3,"yyyymmdd")&amp;"_"&amp;TEXT($B113*60+AF$109,"0000"),RawData!$A$2:$G$30000,7,FALSE),
    Mapping!$A$4:$B$9,2,FALSE
  ),
"")</f>
        <v>침실A</v>
      </c>
      <c r="AG113" s="51" t="str">
        <f>IFERROR(
  VLOOKUP(
    VLOOKUP(TEXT($B$3,"yyyymmdd")&amp;"_"&amp;TEXT($B113*60+AG$109,"0000"),RawData!$A$2:$G$30000,7,FALSE),
    Mapping!$A$4:$B$9,2,FALSE
  ),
"")</f>
        <v>침실A</v>
      </c>
      <c r="AH113" s="51" t="str">
        <f>IFERROR(
  VLOOKUP(
    VLOOKUP(TEXT($B$3,"yyyymmdd")&amp;"_"&amp;TEXT($B113*60+AH$109,"0000"),RawData!$A$2:$G$30000,7,FALSE),
    Mapping!$A$4:$B$9,2,FALSE
  ),
"")</f>
        <v>침실A</v>
      </c>
      <c r="AI113" s="51" t="str">
        <f>IFERROR(
  VLOOKUP(
    VLOOKUP(TEXT($B$3,"yyyymmdd")&amp;"_"&amp;TEXT($B113*60+AI$109,"0000"),RawData!$A$2:$G$30000,7,FALSE),
    Mapping!$A$4:$B$9,2,FALSE
  ),
"")</f>
        <v>침실A</v>
      </c>
      <c r="AJ113" s="51" t="str">
        <f>IFERROR(
  VLOOKUP(
    VLOOKUP(TEXT($B$3,"yyyymmdd")&amp;"_"&amp;TEXT($B113*60+AJ$109,"0000"),RawData!$A$2:$G$30000,7,FALSE),
    Mapping!$A$4:$B$9,2,FALSE
  ),
"")</f>
        <v>침실A</v>
      </c>
      <c r="AK113" s="51" t="str">
        <f>IFERROR(
  VLOOKUP(
    VLOOKUP(TEXT($B$3,"yyyymmdd")&amp;"_"&amp;TEXT($B113*60+AK$109,"0000"),RawData!$A$2:$G$30000,7,FALSE),
    Mapping!$A$4:$B$9,2,FALSE
  ),
"")</f>
        <v>침실A</v>
      </c>
      <c r="AL113" s="51" t="str">
        <f>IFERROR(
  VLOOKUP(
    VLOOKUP(TEXT($B$3,"yyyymmdd")&amp;"_"&amp;TEXT($B113*60+AL$109,"0000"),RawData!$A$2:$G$30000,7,FALSE),
    Mapping!$A$4:$B$9,2,FALSE
  ),
"")</f>
        <v>침실A</v>
      </c>
      <c r="AM113" s="51" t="str">
        <f>IFERROR(
  VLOOKUP(
    VLOOKUP(TEXT($B$3,"yyyymmdd")&amp;"_"&amp;TEXT($B113*60+AM$109,"0000"),RawData!$A$2:$G$30000,7,FALSE),
    Mapping!$A$4:$B$9,2,FALSE
  ),
"")</f>
        <v>침실A</v>
      </c>
      <c r="AN113" s="51" t="str">
        <f>IFERROR(
  VLOOKUP(
    VLOOKUP(TEXT($B$3,"yyyymmdd")&amp;"_"&amp;TEXT($B113*60+AN$109,"0000"),RawData!$A$2:$G$30000,7,FALSE),
    Mapping!$A$4:$B$9,2,FALSE
  ),
"")</f>
        <v>침실A</v>
      </c>
      <c r="AO113" s="51" t="str">
        <f>IFERROR(
  VLOOKUP(
    VLOOKUP(TEXT($B$3,"yyyymmdd")&amp;"_"&amp;TEXT($B113*60+AO$109,"0000"),RawData!$A$2:$G$30000,7,FALSE),
    Mapping!$A$4:$B$9,2,FALSE
  ),
"")</f>
        <v>침실A</v>
      </c>
      <c r="AP113" s="51" t="str">
        <f>IFERROR(
  VLOOKUP(
    VLOOKUP(TEXT($B$3,"yyyymmdd")&amp;"_"&amp;TEXT($B113*60+AP$109,"0000"),RawData!$A$2:$G$30000,7,FALSE),
    Mapping!$A$4:$B$9,2,FALSE
  ),
"")</f>
        <v>침실A</v>
      </c>
      <c r="AQ113" s="51" t="str">
        <f>IFERROR(
  VLOOKUP(
    VLOOKUP(TEXT($B$3,"yyyymmdd")&amp;"_"&amp;TEXT($B113*60+AQ$109,"0000"),RawData!$A$2:$G$30000,7,FALSE),
    Mapping!$A$4:$B$9,2,FALSE
  ),
"")</f>
        <v>침실A</v>
      </c>
      <c r="AR113" s="51" t="str">
        <f>IFERROR(
  VLOOKUP(
    VLOOKUP(TEXT($B$3,"yyyymmdd")&amp;"_"&amp;TEXT($B113*60+AR$109,"0000"),RawData!$A$2:$G$30000,7,FALSE),
    Mapping!$A$4:$B$9,2,FALSE
  ),
"")</f>
        <v>침실A</v>
      </c>
      <c r="AS113" s="51" t="str">
        <f>IFERROR(
  VLOOKUP(
    VLOOKUP(TEXT($B$3,"yyyymmdd")&amp;"_"&amp;TEXT($B113*60+AS$109,"0000"),RawData!$A$2:$G$30000,7,FALSE),
    Mapping!$A$4:$B$9,2,FALSE
  ),
"")</f>
        <v>침실A</v>
      </c>
      <c r="AT113" s="51" t="str">
        <f>IFERROR(
  VLOOKUP(
    VLOOKUP(TEXT($B$3,"yyyymmdd")&amp;"_"&amp;TEXT($B113*60+AT$109,"0000"),RawData!$A$2:$G$30000,7,FALSE),
    Mapping!$A$4:$B$9,2,FALSE
  ),
"")</f>
        <v>침실A</v>
      </c>
      <c r="AU113" s="51" t="str">
        <f>IFERROR(
  VLOOKUP(
    VLOOKUP(TEXT($B$3,"yyyymmdd")&amp;"_"&amp;TEXT($B113*60+AU$109,"0000"),RawData!$A$2:$G$30000,7,FALSE),
    Mapping!$A$4:$B$9,2,FALSE
  ),
"")</f>
        <v>침실A</v>
      </c>
      <c r="AV113" s="51" t="str">
        <f>IFERROR(
  VLOOKUP(
    VLOOKUP(TEXT($B$3,"yyyymmdd")&amp;"_"&amp;TEXT($B113*60+AV$109,"0000"),RawData!$A$2:$G$30000,7,FALSE),
    Mapping!$A$4:$B$9,2,FALSE
  ),
"")</f>
        <v>침실A</v>
      </c>
      <c r="AW113" s="51" t="str">
        <f>IFERROR(
  VLOOKUP(
    VLOOKUP(TEXT($B$3,"yyyymmdd")&amp;"_"&amp;TEXT($B113*60+AW$109,"0000"),RawData!$A$2:$G$30000,7,FALSE),
    Mapping!$A$4:$B$9,2,FALSE
  ),
"")</f>
        <v>침실A</v>
      </c>
      <c r="AX113" s="51" t="str">
        <f>IFERROR(
  VLOOKUP(
    VLOOKUP(TEXT($B$3,"yyyymmdd")&amp;"_"&amp;TEXT($B113*60+AX$109,"0000"),RawData!$A$2:$G$30000,7,FALSE),
    Mapping!$A$4:$B$9,2,FALSE
  ),
"")</f>
        <v>침실A</v>
      </c>
      <c r="AY113" s="51" t="str">
        <f>IFERROR(
  VLOOKUP(
    VLOOKUP(TEXT($B$3,"yyyymmdd")&amp;"_"&amp;TEXT($B113*60+AY$109,"0000"),RawData!$A$2:$G$30000,7,FALSE),
    Mapping!$A$4:$B$9,2,FALSE
  ),
"")</f>
        <v>침실A</v>
      </c>
      <c r="AZ113" s="51" t="str">
        <f>IFERROR(
  VLOOKUP(
    VLOOKUP(TEXT($B$3,"yyyymmdd")&amp;"_"&amp;TEXT($B113*60+AZ$109,"0000"),RawData!$A$2:$G$30000,7,FALSE),
    Mapping!$A$4:$B$9,2,FALSE
  ),
"")</f>
        <v>침실A</v>
      </c>
      <c r="BA113" s="51" t="str">
        <f>IFERROR(
  VLOOKUP(
    VLOOKUP(TEXT($B$3,"yyyymmdd")&amp;"_"&amp;TEXT($B113*60+BA$109,"0000"),RawData!$A$2:$G$30000,7,FALSE),
    Mapping!$A$4:$B$9,2,FALSE
  ),
"")</f>
        <v>침실A</v>
      </c>
      <c r="BB113" s="51" t="str">
        <f>IFERROR(
  VLOOKUP(
    VLOOKUP(TEXT($B$3,"yyyymmdd")&amp;"_"&amp;TEXT($B113*60+BB$109,"0000"),RawData!$A$2:$G$30000,7,FALSE),
    Mapping!$A$4:$B$9,2,FALSE
  ),
"")</f>
        <v>침실A</v>
      </c>
      <c r="BC113" s="51" t="str">
        <f>IFERROR(
  VLOOKUP(
    VLOOKUP(TEXT($B$3,"yyyymmdd")&amp;"_"&amp;TEXT($B113*60+BC$109,"0000"),RawData!$A$2:$G$30000,7,FALSE),
    Mapping!$A$4:$B$9,2,FALSE
  ),
"")</f>
        <v>침실A</v>
      </c>
      <c r="BD113" s="51" t="str">
        <f>IFERROR(
  VLOOKUP(
    VLOOKUP(TEXT($B$3,"yyyymmdd")&amp;"_"&amp;TEXT($B113*60+BD$109,"0000"),RawData!$A$2:$G$30000,7,FALSE),
    Mapping!$A$4:$B$9,2,FALSE
  ),
"")</f>
        <v>침실A</v>
      </c>
      <c r="BE113" s="51" t="str">
        <f>IFERROR(
  VLOOKUP(
    VLOOKUP(TEXT($B$3,"yyyymmdd")&amp;"_"&amp;TEXT($B113*60+BE$109,"0000"),RawData!$A$2:$G$30000,7,FALSE),
    Mapping!$A$4:$B$9,2,FALSE
  ),
"")</f>
        <v>침실A</v>
      </c>
      <c r="BF113" s="51" t="str">
        <f>IFERROR(
  VLOOKUP(
    VLOOKUP(TEXT($B$3,"yyyymmdd")&amp;"_"&amp;TEXT($B113*60+BF$109,"0000"),RawData!$A$2:$G$30000,7,FALSE),
    Mapping!$A$4:$B$9,2,FALSE
  ),
"")</f>
        <v>침실A</v>
      </c>
      <c r="BG113" s="51" t="str">
        <f>IFERROR(
  VLOOKUP(
    VLOOKUP(TEXT($B$3,"yyyymmdd")&amp;"_"&amp;TEXT($B113*60+BG$109,"0000"),RawData!$A$2:$G$30000,7,FALSE),
    Mapping!$A$4:$B$9,2,FALSE
  ),
"")</f>
        <v>침실A</v>
      </c>
      <c r="BH113" s="51" t="str">
        <f>IFERROR(
  VLOOKUP(
    VLOOKUP(TEXT($B$3,"yyyymmdd")&amp;"_"&amp;TEXT($B113*60+BH$109,"0000"),RawData!$A$2:$G$30000,7,FALSE),
    Mapping!$A$4:$B$9,2,FALSE
  ),
"")</f>
        <v>침실A</v>
      </c>
      <c r="BI113" s="51" t="str">
        <f>IFERROR(
  VLOOKUP(
    VLOOKUP(TEXT($B$3,"yyyymmdd")&amp;"_"&amp;TEXT($B113*60+BI$109,"0000"),RawData!$A$2:$G$30000,7,FALSE),
    Mapping!$A$4:$B$9,2,FALSE
  ),
"")</f>
        <v>침실A</v>
      </c>
      <c r="BJ113" s="51" t="str">
        <f>IFERROR(
  VLOOKUP(
    VLOOKUP(TEXT($B$3,"yyyymmdd")&amp;"_"&amp;TEXT($B113*60+BJ$109,"0000"),RawData!$A$2:$G$30000,7,FALSE),
    Mapping!$A$4:$B$9,2,FALSE
  ),
"")</f>
        <v>침실A</v>
      </c>
      <c r="BK113" s="4" t="str">
        <f>IFERROR(VLOOKUP(TEXT($B$3,"yyyymmdd")&amp;"_"&amp;TEXT(102,"0000"),RawData!$A$2:$F$1441,4,FALSE),"")</f>
        <v>01</v>
      </c>
      <c r="BL113" s="19">
        <f>TIME(0,0,0)+102/1440</f>
        <v>7.0833333333333331E-2</v>
      </c>
      <c r="BM113" s="4">
        <f>IFERROR(VLOOKUP(TEXT($B$3,"yyyymmdd")&amp;"_"&amp;TEXT(102,"0000"),RawData!$A$2:$F$1441,5,FALSE),"")</f>
        <v>0</v>
      </c>
      <c r="BN113" s="4">
        <f t="shared" si="2"/>
        <v>1</v>
      </c>
    </row>
    <row r="114" spans="2:66" x14ac:dyDescent="0.6">
      <c r="B114" s="18">
        <v>4</v>
      </c>
      <c r="C114" s="51" t="str">
        <f>IFERROR(
  VLOOKUP(
    VLOOKUP(TEXT($B$3,"yyyymmdd")&amp;"_"&amp;TEXT($B114*60+C$109,"0000"),RawData!$A$2:$G$30000,7,FALSE),
    Mapping!$A$4:$B$9,2,FALSE
  ),
"")</f>
        <v>침실A</v>
      </c>
      <c r="D114" s="51" t="str">
        <f>IFERROR(
  VLOOKUP(
    VLOOKUP(TEXT($B$3,"yyyymmdd")&amp;"_"&amp;TEXT($B114*60+D$109,"0000"),RawData!$A$2:$G$30000,7,FALSE),
    Mapping!$A$4:$B$9,2,FALSE
  ),
"")</f>
        <v>침실A</v>
      </c>
      <c r="E114" s="51" t="str">
        <f>IFERROR(
  VLOOKUP(
    VLOOKUP(TEXT($B$3,"yyyymmdd")&amp;"_"&amp;TEXT($B114*60+E$109,"0000"),RawData!$A$2:$G$30000,7,FALSE),
    Mapping!$A$4:$B$9,2,FALSE
  ),
"")</f>
        <v>침실A</v>
      </c>
      <c r="F114" s="51" t="str">
        <f>IFERROR(
  VLOOKUP(
    VLOOKUP(TEXT($B$3,"yyyymmdd")&amp;"_"&amp;TEXT($B114*60+F$109,"0000"),RawData!$A$2:$G$30000,7,FALSE),
    Mapping!$A$4:$B$9,2,FALSE
  ),
"")</f>
        <v>침실A</v>
      </c>
      <c r="G114" s="51" t="str">
        <f>IFERROR(
  VLOOKUP(
    VLOOKUP(TEXT($B$3,"yyyymmdd")&amp;"_"&amp;TEXT($B114*60+G$109,"0000"),RawData!$A$2:$G$30000,7,FALSE),
    Mapping!$A$4:$B$9,2,FALSE
  ),
"")</f>
        <v>침실A</v>
      </c>
      <c r="H114" s="51" t="str">
        <f>IFERROR(
  VLOOKUP(
    VLOOKUP(TEXT($B$3,"yyyymmdd")&amp;"_"&amp;TEXT($B114*60+H$109,"0000"),RawData!$A$2:$G$30000,7,FALSE),
    Mapping!$A$4:$B$9,2,FALSE
  ),
"")</f>
        <v>침실A</v>
      </c>
      <c r="I114" s="51" t="str">
        <f>IFERROR(
  VLOOKUP(
    VLOOKUP(TEXT($B$3,"yyyymmdd")&amp;"_"&amp;TEXT($B114*60+I$109,"0000"),RawData!$A$2:$G$30000,7,FALSE),
    Mapping!$A$4:$B$9,2,FALSE
  ),
"")</f>
        <v>침실A</v>
      </c>
      <c r="J114" s="51" t="str">
        <f>IFERROR(
  VLOOKUP(
    VLOOKUP(TEXT($B$3,"yyyymmdd")&amp;"_"&amp;TEXT($B114*60+J$109,"0000"),RawData!$A$2:$G$30000,7,FALSE),
    Mapping!$A$4:$B$9,2,FALSE
  ),
"")</f>
        <v>침실A</v>
      </c>
      <c r="K114" s="51" t="str">
        <f>IFERROR(
  VLOOKUP(
    VLOOKUP(TEXT($B$3,"yyyymmdd")&amp;"_"&amp;TEXT($B114*60+K$109,"0000"),RawData!$A$2:$G$30000,7,FALSE),
    Mapping!$A$4:$B$9,2,FALSE
  ),
"")</f>
        <v>침실A</v>
      </c>
      <c r="L114" s="51" t="str">
        <f>IFERROR(
  VLOOKUP(
    VLOOKUP(TEXT($B$3,"yyyymmdd")&amp;"_"&amp;TEXT($B114*60+L$109,"0000"),RawData!$A$2:$G$30000,7,FALSE),
    Mapping!$A$4:$B$9,2,FALSE
  ),
"")</f>
        <v>침실A</v>
      </c>
      <c r="M114" s="51" t="str">
        <f>IFERROR(
  VLOOKUP(
    VLOOKUP(TEXT($B$3,"yyyymmdd")&amp;"_"&amp;TEXT($B114*60+M$109,"0000"),RawData!$A$2:$G$30000,7,FALSE),
    Mapping!$A$4:$B$9,2,FALSE
  ),
"")</f>
        <v>침실A</v>
      </c>
      <c r="N114" s="51" t="str">
        <f>IFERROR(
  VLOOKUP(
    VLOOKUP(TEXT($B$3,"yyyymmdd")&amp;"_"&amp;TEXT($B114*60+N$109,"0000"),RawData!$A$2:$G$30000,7,FALSE),
    Mapping!$A$4:$B$9,2,FALSE
  ),
"")</f>
        <v>침실A</v>
      </c>
      <c r="O114" s="51" t="str">
        <f>IFERROR(
  VLOOKUP(
    VLOOKUP(TEXT($B$3,"yyyymmdd")&amp;"_"&amp;TEXT($B114*60+O$109,"0000"),RawData!$A$2:$G$30000,7,FALSE),
    Mapping!$A$4:$B$9,2,FALSE
  ),
"")</f>
        <v>침실A</v>
      </c>
      <c r="P114" s="51" t="str">
        <f>IFERROR(
  VLOOKUP(
    VLOOKUP(TEXT($B$3,"yyyymmdd")&amp;"_"&amp;TEXT($B114*60+P$109,"0000"),RawData!$A$2:$G$30000,7,FALSE),
    Mapping!$A$4:$B$9,2,FALSE
  ),
"")</f>
        <v>침실A</v>
      </c>
      <c r="Q114" s="51" t="str">
        <f>IFERROR(
  VLOOKUP(
    VLOOKUP(TEXT($B$3,"yyyymmdd")&amp;"_"&amp;TEXT($B114*60+Q$109,"0000"),RawData!$A$2:$G$30000,7,FALSE),
    Mapping!$A$4:$B$9,2,FALSE
  ),
"")</f>
        <v>침실A</v>
      </c>
      <c r="R114" s="51" t="str">
        <f>IFERROR(
  VLOOKUP(
    VLOOKUP(TEXT($B$3,"yyyymmdd")&amp;"_"&amp;TEXT($B114*60+R$109,"0000"),RawData!$A$2:$G$30000,7,FALSE),
    Mapping!$A$4:$B$9,2,FALSE
  ),
"")</f>
        <v>침실A</v>
      </c>
      <c r="S114" s="51" t="str">
        <f>IFERROR(
  VLOOKUP(
    VLOOKUP(TEXT($B$3,"yyyymmdd")&amp;"_"&amp;TEXT($B114*60+S$109,"0000"),RawData!$A$2:$G$30000,7,FALSE),
    Mapping!$A$4:$B$9,2,FALSE
  ),
"")</f>
        <v>침실A</v>
      </c>
      <c r="T114" s="51" t="str">
        <f>IFERROR(
  VLOOKUP(
    VLOOKUP(TEXT($B$3,"yyyymmdd")&amp;"_"&amp;TEXT($B114*60+T$109,"0000"),RawData!$A$2:$G$30000,7,FALSE),
    Mapping!$A$4:$B$9,2,FALSE
  ),
"")</f>
        <v>침실A</v>
      </c>
      <c r="U114" s="51" t="str">
        <f>IFERROR(
  VLOOKUP(
    VLOOKUP(TEXT($B$3,"yyyymmdd")&amp;"_"&amp;TEXT($B114*60+U$109,"0000"),RawData!$A$2:$G$30000,7,FALSE),
    Mapping!$A$4:$B$9,2,FALSE
  ),
"")</f>
        <v>침실A</v>
      </c>
      <c r="V114" s="51" t="str">
        <f>IFERROR(
  VLOOKUP(
    VLOOKUP(TEXT($B$3,"yyyymmdd")&amp;"_"&amp;TEXT($B114*60+V$109,"0000"),RawData!$A$2:$G$30000,7,FALSE),
    Mapping!$A$4:$B$9,2,FALSE
  ),
"")</f>
        <v>침실A</v>
      </c>
      <c r="W114" s="51" t="str">
        <f>IFERROR(
  VLOOKUP(
    VLOOKUP(TEXT($B$3,"yyyymmdd")&amp;"_"&amp;TEXT($B114*60+W$109,"0000"),RawData!$A$2:$G$30000,7,FALSE),
    Mapping!$A$4:$B$9,2,FALSE
  ),
"")</f>
        <v>침실A</v>
      </c>
      <c r="X114" s="51" t="str">
        <f>IFERROR(
  VLOOKUP(
    VLOOKUP(TEXT($B$3,"yyyymmdd")&amp;"_"&amp;TEXT($B114*60+X$109,"0000"),RawData!$A$2:$G$30000,7,FALSE),
    Mapping!$A$4:$B$9,2,FALSE
  ),
"")</f>
        <v>침실A</v>
      </c>
      <c r="Y114" s="51" t="str">
        <f>IFERROR(
  VLOOKUP(
    VLOOKUP(TEXT($B$3,"yyyymmdd")&amp;"_"&amp;TEXT($B114*60+Y$109,"0000"),RawData!$A$2:$G$30000,7,FALSE),
    Mapping!$A$4:$B$9,2,FALSE
  ),
"")</f>
        <v>침실A</v>
      </c>
      <c r="Z114" s="51" t="str">
        <f>IFERROR(
  VLOOKUP(
    VLOOKUP(TEXT($B$3,"yyyymmdd")&amp;"_"&amp;TEXT($B114*60+Z$109,"0000"),RawData!$A$2:$G$30000,7,FALSE),
    Mapping!$A$4:$B$9,2,FALSE
  ),
"")</f>
        <v>침실A</v>
      </c>
      <c r="AA114" s="51" t="str">
        <f>IFERROR(
  VLOOKUP(
    VLOOKUP(TEXT($B$3,"yyyymmdd")&amp;"_"&amp;TEXT($B114*60+AA$109,"0000"),RawData!$A$2:$G$30000,7,FALSE),
    Mapping!$A$4:$B$9,2,FALSE
  ),
"")</f>
        <v>침실A</v>
      </c>
      <c r="AB114" s="51" t="str">
        <f>IFERROR(
  VLOOKUP(
    VLOOKUP(TEXT($B$3,"yyyymmdd")&amp;"_"&amp;TEXT($B114*60+AB$109,"0000"),RawData!$A$2:$G$30000,7,FALSE),
    Mapping!$A$4:$B$9,2,FALSE
  ),
"")</f>
        <v>침실A</v>
      </c>
      <c r="AC114" s="51" t="str">
        <f>IFERROR(
  VLOOKUP(
    VLOOKUP(TEXT($B$3,"yyyymmdd")&amp;"_"&amp;TEXT($B114*60+AC$109,"0000"),RawData!$A$2:$G$30000,7,FALSE),
    Mapping!$A$4:$B$9,2,FALSE
  ),
"")</f>
        <v>침실A</v>
      </c>
      <c r="AD114" s="51" t="str">
        <f>IFERROR(
  VLOOKUP(
    VLOOKUP(TEXT($B$3,"yyyymmdd")&amp;"_"&amp;TEXT($B114*60+AD$109,"0000"),RawData!$A$2:$G$30000,7,FALSE),
    Mapping!$A$4:$B$9,2,FALSE
  ),
"")</f>
        <v>침실A</v>
      </c>
      <c r="AE114" s="51" t="str">
        <f>IFERROR(
  VLOOKUP(
    VLOOKUP(TEXT($B$3,"yyyymmdd")&amp;"_"&amp;TEXT($B114*60+AE$109,"0000"),RawData!$A$2:$G$30000,7,FALSE),
    Mapping!$A$4:$B$9,2,FALSE
  ),
"")</f>
        <v>침실A</v>
      </c>
      <c r="AF114" s="51" t="str">
        <f>IFERROR(
  VLOOKUP(
    VLOOKUP(TEXT($B$3,"yyyymmdd")&amp;"_"&amp;TEXT($B114*60+AF$109,"0000"),RawData!$A$2:$G$30000,7,FALSE),
    Mapping!$A$4:$B$9,2,FALSE
  ),
"")</f>
        <v>침실A</v>
      </c>
      <c r="AG114" s="51" t="str">
        <f>IFERROR(
  VLOOKUP(
    VLOOKUP(TEXT($B$3,"yyyymmdd")&amp;"_"&amp;TEXT($B114*60+AG$109,"0000"),RawData!$A$2:$G$30000,7,FALSE),
    Mapping!$A$4:$B$9,2,FALSE
  ),
"")</f>
        <v>침실A</v>
      </c>
      <c r="AH114" s="51" t="str">
        <f>IFERROR(
  VLOOKUP(
    VLOOKUP(TEXT($B$3,"yyyymmdd")&amp;"_"&amp;TEXT($B114*60+AH$109,"0000"),RawData!$A$2:$G$30000,7,FALSE),
    Mapping!$A$4:$B$9,2,FALSE
  ),
"")</f>
        <v>침실A</v>
      </c>
      <c r="AI114" s="51" t="str">
        <f>IFERROR(
  VLOOKUP(
    VLOOKUP(TEXT($B$3,"yyyymmdd")&amp;"_"&amp;TEXT($B114*60+AI$109,"0000"),RawData!$A$2:$G$30000,7,FALSE),
    Mapping!$A$4:$B$9,2,FALSE
  ),
"")</f>
        <v>침실A</v>
      </c>
      <c r="AJ114" s="51" t="str">
        <f>IFERROR(
  VLOOKUP(
    VLOOKUP(TEXT($B$3,"yyyymmdd")&amp;"_"&amp;TEXT($B114*60+AJ$109,"0000"),RawData!$A$2:$G$30000,7,FALSE),
    Mapping!$A$4:$B$9,2,FALSE
  ),
"")</f>
        <v>침실A</v>
      </c>
      <c r="AK114" s="51" t="str">
        <f>IFERROR(
  VLOOKUP(
    VLOOKUP(TEXT($B$3,"yyyymmdd")&amp;"_"&amp;TEXT($B114*60+AK$109,"0000"),RawData!$A$2:$G$30000,7,FALSE),
    Mapping!$A$4:$B$9,2,FALSE
  ),
"")</f>
        <v>침실A</v>
      </c>
      <c r="AL114" s="51" t="str">
        <f>IFERROR(
  VLOOKUP(
    VLOOKUP(TEXT($B$3,"yyyymmdd")&amp;"_"&amp;TEXT($B114*60+AL$109,"0000"),RawData!$A$2:$G$30000,7,FALSE),
    Mapping!$A$4:$B$9,2,FALSE
  ),
"")</f>
        <v>침실A</v>
      </c>
      <c r="AM114" s="51" t="str">
        <f>IFERROR(
  VLOOKUP(
    VLOOKUP(TEXT($B$3,"yyyymmdd")&amp;"_"&amp;TEXT($B114*60+AM$109,"0000"),RawData!$A$2:$G$30000,7,FALSE),
    Mapping!$A$4:$B$9,2,FALSE
  ),
"")</f>
        <v>침실A</v>
      </c>
      <c r="AN114" s="51" t="str">
        <f>IFERROR(
  VLOOKUP(
    VLOOKUP(TEXT($B$3,"yyyymmdd")&amp;"_"&amp;TEXT($B114*60+AN$109,"0000"),RawData!$A$2:$G$30000,7,FALSE),
    Mapping!$A$4:$B$9,2,FALSE
  ),
"")</f>
        <v>침실A</v>
      </c>
      <c r="AO114" s="51" t="str">
        <f>IFERROR(
  VLOOKUP(
    VLOOKUP(TEXT($B$3,"yyyymmdd")&amp;"_"&amp;TEXT($B114*60+AO$109,"0000"),RawData!$A$2:$G$30000,7,FALSE),
    Mapping!$A$4:$B$9,2,FALSE
  ),
"")</f>
        <v>침실A</v>
      </c>
      <c r="AP114" s="51" t="str">
        <f>IFERROR(
  VLOOKUP(
    VLOOKUP(TEXT($B$3,"yyyymmdd")&amp;"_"&amp;TEXT($B114*60+AP$109,"0000"),RawData!$A$2:$G$30000,7,FALSE),
    Mapping!$A$4:$B$9,2,FALSE
  ),
"")</f>
        <v>침실A</v>
      </c>
      <c r="AQ114" s="51" t="str">
        <f>IFERROR(
  VLOOKUP(
    VLOOKUP(TEXT($B$3,"yyyymmdd")&amp;"_"&amp;TEXT($B114*60+AQ$109,"0000"),RawData!$A$2:$G$30000,7,FALSE),
    Mapping!$A$4:$B$9,2,FALSE
  ),
"")</f>
        <v>침실A</v>
      </c>
      <c r="AR114" s="51" t="str">
        <f>IFERROR(
  VLOOKUP(
    VLOOKUP(TEXT($B$3,"yyyymmdd")&amp;"_"&amp;TEXT($B114*60+AR$109,"0000"),RawData!$A$2:$G$30000,7,FALSE),
    Mapping!$A$4:$B$9,2,FALSE
  ),
"")</f>
        <v>침실A</v>
      </c>
      <c r="AS114" s="51" t="str">
        <f>IFERROR(
  VLOOKUP(
    VLOOKUP(TEXT($B$3,"yyyymmdd")&amp;"_"&amp;TEXT($B114*60+AS$109,"0000"),RawData!$A$2:$G$30000,7,FALSE),
    Mapping!$A$4:$B$9,2,FALSE
  ),
"")</f>
        <v>침실A</v>
      </c>
      <c r="AT114" s="51" t="str">
        <f>IFERROR(
  VLOOKUP(
    VLOOKUP(TEXT($B$3,"yyyymmdd")&amp;"_"&amp;TEXT($B114*60+AT$109,"0000"),RawData!$A$2:$G$30000,7,FALSE),
    Mapping!$A$4:$B$9,2,FALSE
  ),
"")</f>
        <v>침실A</v>
      </c>
      <c r="AU114" s="51" t="str">
        <f>IFERROR(
  VLOOKUP(
    VLOOKUP(TEXT($B$3,"yyyymmdd")&amp;"_"&amp;TEXT($B114*60+AU$109,"0000"),RawData!$A$2:$G$30000,7,FALSE),
    Mapping!$A$4:$B$9,2,FALSE
  ),
"")</f>
        <v>침실A</v>
      </c>
      <c r="AV114" s="51" t="str">
        <f>IFERROR(
  VLOOKUP(
    VLOOKUP(TEXT($B$3,"yyyymmdd")&amp;"_"&amp;TEXT($B114*60+AV$109,"0000"),RawData!$A$2:$G$30000,7,FALSE),
    Mapping!$A$4:$B$9,2,FALSE
  ),
"")</f>
        <v>침실A</v>
      </c>
      <c r="AW114" s="51" t="str">
        <f>IFERROR(
  VLOOKUP(
    VLOOKUP(TEXT($B$3,"yyyymmdd")&amp;"_"&amp;TEXT($B114*60+AW$109,"0000"),RawData!$A$2:$G$30000,7,FALSE),
    Mapping!$A$4:$B$9,2,FALSE
  ),
"")</f>
        <v>침실A</v>
      </c>
      <c r="AX114" s="51" t="str">
        <f>IFERROR(
  VLOOKUP(
    VLOOKUP(TEXT($B$3,"yyyymmdd")&amp;"_"&amp;TEXT($B114*60+AX$109,"0000"),RawData!$A$2:$G$30000,7,FALSE),
    Mapping!$A$4:$B$9,2,FALSE
  ),
"")</f>
        <v>침실A</v>
      </c>
      <c r="AY114" s="51" t="str">
        <f>IFERROR(
  VLOOKUP(
    VLOOKUP(TEXT($B$3,"yyyymmdd")&amp;"_"&amp;TEXT($B114*60+AY$109,"0000"),RawData!$A$2:$G$30000,7,FALSE),
    Mapping!$A$4:$B$9,2,FALSE
  ),
"")</f>
        <v>침실A</v>
      </c>
      <c r="AZ114" s="51" t="str">
        <f>IFERROR(
  VLOOKUP(
    VLOOKUP(TEXT($B$3,"yyyymmdd")&amp;"_"&amp;TEXT($B114*60+AZ$109,"0000"),RawData!$A$2:$G$30000,7,FALSE),
    Mapping!$A$4:$B$9,2,FALSE
  ),
"")</f>
        <v>침실A</v>
      </c>
      <c r="BA114" s="51" t="str">
        <f>IFERROR(
  VLOOKUP(
    VLOOKUP(TEXT($B$3,"yyyymmdd")&amp;"_"&amp;TEXT($B114*60+BA$109,"0000"),RawData!$A$2:$G$30000,7,FALSE),
    Mapping!$A$4:$B$9,2,FALSE
  ),
"")</f>
        <v>침실A</v>
      </c>
      <c r="BB114" s="51" t="str">
        <f>IFERROR(
  VLOOKUP(
    VLOOKUP(TEXT($B$3,"yyyymmdd")&amp;"_"&amp;TEXT($B114*60+BB$109,"0000"),RawData!$A$2:$G$30000,7,FALSE),
    Mapping!$A$4:$B$9,2,FALSE
  ),
"")</f>
        <v>침실A</v>
      </c>
      <c r="BC114" s="51" t="str">
        <f>IFERROR(
  VLOOKUP(
    VLOOKUP(TEXT($B$3,"yyyymmdd")&amp;"_"&amp;TEXT($B114*60+BC$109,"0000"),RawData!$A$2:$G$30000,7,FALSE),
    Mapping!$A$4:$B$9,2,FALSE
  ),
"")</f>
        <v>침실A</v>
      </c>
      <c r="BD114" s="51" t="str">
        <f>IFERROR(
  VLOOKUP(
    VLOOKUP(TEXT($B$3,"yyyymmdd")&amp;"_"&amp;TEXT($B114*60+BD$109,"0000"),RawData!$A$2:$G$30000,7,FALSE),
    Mapping!$A$4:$B$9,2,FALSE
  ),
"")</f>
        <v>침실A</v>
      </c>
      <c r="BE114" s="51" t="str">
        <f>IFERROR(
  VLOOKUP(
    VLOOKUP(TEXT($B$3,"yyyymmdd")&amp;"_"&amp;TEXT($B114*60+BE$109,"0000"),RawData!$A$2:$G$30000,7,FALSE),
    Mapping!$A$4:$B$9,2,FALSE
  ),
"")</f>
        <v>침실A</v>
      </c>
      <c r="BF114" s="51" t="str">
        <f>IFERROR(
  VLOOKUP(
    VLOOKUP(TEXT($B$3,"yyyymmdd")&amp;"_"&amp;TEXT($B114*60+BF$109,"0000"),RawData!$A$2:$G$30000,7,FALSE),
    Mapping!$A$4:$B$9,2,FALSE
  ),
"")</f>
        <v>침실A</v>
      </c>
      <c r="BG114" s="51" t="str">
        <f>IFERROR(
  VLOOKUP(
    VLOOKUP(TEXT($B$3,"yyyymmdd")&amp;"_"&amp;TEXT($B114*60+BG$109,"0000"),RawData!$A$2:$G$30000,7,FALSE),
    Mapping!$A$4:$B$9,2,FALSE
  ),
"")</f>
        <v>침실A</v>
      </c>
      <c r="BH114" s="51" t="str">
        <f>IFERROR(
  VLOOKUP(
    VLOOKUP(TEXT($B$3,"yyyymmdd")&amp;"_"&amp;TEXT($B114*60+BH$109,"0000"),RawData!$A$2:$G$30000,7,FALSE),
    Mapping!$A$4:$B$9,2,FALSE
  ),
"")</f>
        <v>침실A</v>
      </c>
      <c r="BI114" s="51" t="str">
        <f>IFERROR(
  VLOOKUP(
    VLOOKUP(TEXT($B$3,"yyyymmdd")&amp;"_"&amp;TEXT($B114*60+BI$109,"0000"),RawData!$A$2:$G$30000,7,FALSE),
    Mapping!$A$4:$B$9,2,FALSE
  ),
"")</f>
        <v>침실A</v>
      </c>
      <c r="BJ114" s="51" t="str">
        <f>IFERROR(
  VLOOKUP(
    VLOOKUP(TEXT($B$3,"yyyymmdd")&amp;"_"&amp;TEXT($B114*60+BJ$109,"0000"),RawData!$A$2:$G$30000,7,FALSE),
    Mapping!$A$4:$B$9,2,FALSE
  ),
"")</f>
        <v>침실A</v>
      </c>
      <c r="BK114" s="4" t="str">
        <f>IFERROR(VLOOKUP(TEXT($B$3,"yyyymmdd")&amp;"_"&amp;TEXT(103,"0000"),RawData!$A$2:$F$1441,4,FALSE),"")</f>
        <v>00</v>
      </c>
      <c r="BL114" s="19">
        <f>TIME(0,0,0)+103/1440</f>
        <v>7.1527777777777773E-2</v>
      </c>
      <c r="BM114" s="4">
        <f>IFERROR(VLOOKUP(TEXT($B$3,"yyyymmdd")&amp;"_"&amp;TEXT(103,"0000"),RawData!$A$2:$F$1441,5,FALSE),"")</f>
        <v>0</v>
      </c>
      <c r="BN114" s="4">
        <f t="shared" si="2"/>
        <v>0</v>
      </c>
    </row>
    <row r="115" spans="2:66" x14ac:dyDescent="0.6">
      <c r="B115" s="18">
        <v>5</v>
      </c>
      <c r="C115" s="51" t="str">
        <f>IFERROR(
  VLOOKUP(
    VLOOKUP(TEXT($B$3,"yyyymmdd")&amp;"_"&amp;TEXT($B115*60+C$109,"0000"),RawData!$A$2:$G$30000,7,FALSE),
    Mapping!$A$4:$B$9,2,FALSE
  ),
"")</f>
        <v>침실A</v>
      </c>
      <c r="D115" s="51" t="str">
        <f>IFERROR(
  VLOOKUP(
    VLOOKUP(TEXT($B$3,"yyyymmdd")&amp;"_"&amp;TEXT($B115*60+D$109,"0000"),RawData!$A$2:$G$30000,7,FALSE),
    Mapping!$A$4:$B$9,2,FALSE
  ),
"")</f>
        <v>침실A</v>
      </c>
      <c r="E115" s="51" t="str">
        <f>IFERROR(
  VLOOKUP(
    VLOOKUP(TEXT($B$3,"yyyymmdd")&amp;"_"&amp;TEXT($B115*60+E$109,"0000"),RawData!$A$2:$G$30000,7,FALSE),
    Mapping!$A$4:$B$9,2,FALSE
  ),
"")</f>
        <v>침실A</v>
      </c>
      <c r="F115" s="51" t="str">
        <f>IFERROR(
  VLOOKUP(
    VLOOKUP(TEXT($B$3,"yyyymmdd")&amp;"_"&amp;TEXT($B115*60+F$109,"0000"),RawData!$A$2:$G$30000,7,FALSE),
    Mapping!$A$4:$B$9,2,FALSE
  ),
"")</f>
        <v>침실A</v>
      </c>
      <c r="G115" s="51" t="str">
        <f>IFERROR(
  VLOOKUP(
    VLOOKUP(TEXT($B$3,"yyyymmdd")&amp;"_"&amp;TEXT($B115*60+G$109,"0000"),RawData!$A$2:$G$30000,7,FALSE),
    Mapping!$A$4:$B$9,2,FALSE
  ),
"")</f>
        <v>침실A</v>
      </c>
      <c r="H115" s="51" t="str">
        <f>IFERROR(
  VLOOKUP(
    VLOOKUP(TEXT($B$3,"yyyymmdd")&amp;"_"&amp;TEXT($B115*60+H$109,"0000"),RawData!$A$2:$G$30000,7,FALSE),
    Mapping!$A$4:$B$9,2,FALSE
  ),
"")</f>
        <v>침실A</v>
      </c>
      <c r="I115" s="51" t="str">
        <f>IFERROR(
  VLOOKUP(
    VLOOKUP(TEXT($B$3,"yyyymmdd")&amp;"_"&amp;TEXT($B115*60+I$109,"0000"),RawData!$A$2:$G$30000,7,FALSE),
    Mapping!$A$4:$B$9,2,FALSE
  ),
"")</f>
        <v>침실A</v>
      </c>
      <c r="J115" s="51" t="str">
        <f>IFERROR(
  VLOOKUP(
    VLOOKUP(TEXT($B$3,"yyyymmdd")&amp;"_"&amp;TEXT($B115*60+J$109,"0000"),RawData!$A$2:$G$30000,7,FALSE),
    Mapping!$A$4:$B$9,2,FALSE
  ),
"")</f>
        <v>침실A</v>
      </c>
      <c r="K115" s="51" t="str">
        <f>IFERROR(
  VLOOKUP(
    VLOOKUP(TEXT($B$3,"yyyymmdd")&amp;"_"&amp;TEXT($B115*60+K$109,"0000"),RawData!$A$2:$G$30000,7,FALSE),
    Mapping!$A$4:$B$9,2,FALSE
  ),
"")</f>
        <v>침실A</v>
      </c>
      <c r="L115" s="51" t="str">
        <f>IFERROR(
  VLOOKUP(
    VLOOKUP(TEXT($B$3,"yyyymmdd")&amp;"_"&amp;TEXT($B115*60+L$109,"0000"),RawData!$A$2:$G$30000,7,FALSE),
    Mapping!$A$4:$B$9,2,FALSE
  ),
"")</f>
        <v>침실A</v>
      </c>
      <c r="M115" s="51" t="str">
        <f>IFERROR(
  VLOOKUP(
    VLOOKUP(TEXT($B$3,"yyyymmdd")&amp;"_"&amp;TEXT($B115*60+M$109,"0000"),RawData!$A$2:$G$30000,7,FALSE),
    Mapping!$A$4:$B$9,2,FALSE
  ),
"")</f>
        <v>침실A</v>
      </c>
      <c r="N115" s="51" t="str">
        <f>IFERROR(
  VLOOKUP(
    VLOOKUP(TEXT($B$3,"yyyymmdd")&amp;"_"&amp;TEXT($B115*60+N$109,"0000"),RawData!$A$2:$G$30000,7,FALSE),
    Mapping!$A$4:$B$9,2,FALSE
  ),
"")</f>
        <v>침실A</v>
      </c>
      <c r="O115" s="51" t="str">
        <f>IFERROR(
  VLOOKUP(
    VLOOKUP(TEXT($B$3,"yyyymmdd")&amp;"_"&amp;TEXT($B115*60+O$109,"0000"),RawData!$A$2:$G$30000,7,FALSE),
    Mapping!$A$4:$B$9,2,FALSE
  ),
"")</f>
        <v>침실A</v>
      </c>
      <c r="P115" s="51" t="str">
        <f>IFERROR(
  VLOOKUP(
    VLOOKUP(TEXT($B$3,"yyyymmdd")&amp;"_"&amp;TEXT($B115*60+P$109,"0000"),RawData!$A$2:$G$30000,7,FALSE),
    Mapping!$A$4:$B$9,2,FALSE
  ),
"")</f>
        <v>침실A</v>
      </c>
      <c r="Q115" s="51" t="str">
        <f>IFERROR(
  VLOOKUP(
    VLOOKUP(TEXT($B$3,"yyyymmdd")&amp;"_"&amp;TEXT($B115*60+Q$109,"0000"),RawData!$A$2:$G$30000,7,FALSE),
    Mapping!$A$4:$B$9,2,FALSE
  ),
"")</f>
        <v>침실A</v>
      </c>
      <c r="R115" s="51" t="str">
        <f>IFERROR(
  VLOOKUP(
    VLOOKUP(TEXT($B$3,"yyyymmdd")&amp;"_"&amp;TEXT($B115*60+R$109,"0000"),RawData!$A$2:$G$30000,7,FALSE),
    Mapping!$A$4:$B$9,2,FALSE
  ),
"")</f>
        <v>침실A</v>
      </c>
      <c r="S115" s="51" t="str">
        <f>IFERROR(
  VLOOKUP(
    VLOOKUP(TEXT($B$3,"yyyymmdd")&amp;"_"&amp;TEXT($B115*60+S$109,"0000"),RawData!$A$2:$G$30000,7,FALSE),
    Mapping!$A$4:$B$9,2,FALSE
  ),
"")</f>
        <v>침실A</v>
      </c>
      <c r="T115" s="51" t="str">
        <f>IFERROR(
  VLOOKUP(
    VLOOKUP(TEXT($B$3,"yyyymmdd")&amp;"_"&amp;TEXT($B115*60+T$109,"0000"),RawData!$A$2:$G$30000,7,FALSE),
    Mapping!$A$4:$B$9,2,FALSE
  ),
"")</f>
        <v>침실A</v>
      </c>
      <c r="U115" s="51" t="str">
        <f>IFERROR(
  VLOOKUP(
    VLOOKUP(TEXT($B$3,"yyyymmdd")&amp;"_"&amp;TEXT($B115*60+U$109,"0000"),RawData!$A$2:$G$30000,7,FALSE),
    Mapping!$A$4:$B$9,2,FALSE
  ),
"")</f>
        <v>침실A</v>
      </c>
      <c r="V115" s="51" t="str">
        <f>IFERROR(
  VLOOKUP(
    VLOOKUP(TEXT($B$3,"yyyymmdd")&amp;"_"&amp;TEXT($B115*60+V$109,"0000"),RawData!$A$2:$G$30000,7,FALSE),
    Mapping!$A$4:$B$9,2,FALSE
  ),
"")</f>
        <v>침실A</v>
      </c>
      <c r="W115" s="51" t="str">
        <f>IFERROR(
  VLOOKUP(
    VLOOKUP(TEXT($B$3,"yyyymmdd")&amp;"_"&amp;TEXT($B115*60+W$109,"0000"),RawData!$A$2:$G$30000,7,FALSE),
    Mapping!$A$4:$B$9,2,FALSE
  ),
"")</f>
        <v>침실A</v>
      </c>
      <c r="X115" s="51" t="str">
        <f>IFERROR(
  VLOOKUP(
    VLOOKUP(TEXT($B$3,"yyyymmdd")&amp;"_"&amp;TEXT($B115*60+X$109,"0000"),RawData!$A$2:$G$30000,7,FALSE),
    Mapping!$A$4:$B$9,2,FALSE
  ),
"")</f>
        <v>침실A</v>
      </c>
      <c r="Y115" s="51" t="str">
        <f>IFERROR(
  VLOOKUP(
    VLOOKUP(TEXT($B$3,"yyyymmdd")&amp;"_"&amp;TEXT($B115*60+Y$109,"0000"),RawData!$A$2:$G$30000,7,FALSE),
    Mapping!$A$4:$B$9,2,FALSE
  ),
"")</f>
        <v>침실A</v>
      </c>
      <c r="Z115" s="51" t="str">
        <f>IFERROR(
  VLOOKUP(
    VLOOKUP(TEXT($B$3,"yyyymmdd")&amp;"_"&amp;TEXT($B115*60+Z$109,"0000"),RawData!$A$2:$G$30000,7,FALSE),
    Mapping!$A$4:$B$9,2,FALSE
  ),
"")</f>
        <v>침실A</v>
      </c>
      <c r="AA115" s="51" t="str">
        <f>IFERROR(
  VLOOKUP(
    VLOOKUP(TEXT($B$3,"yyyymmdd")&amp;"_"&amp;TEXT($B115*60+AA$109,"0000"),RawData!$A$2:$G$30000,7,FALSE),
    Mapping!$A$4:$B$9,2,FALSE
  ),
"")</f>
        <v>침실A</v>
      </c>
      <c r="AB115" s="51" t="str">
        <f>IFERROR(
  VLOOKUP(
    VLOOKUP(TEXT($B$3,"yyyymmdd")&amp;"_"&amp;TEXT($B115*60+AB$109,"0000"),RawData!$A$2:$G$30000,7,FALSE),
    Mapping!$A$4:$B$9,2,FALSE
  ),
"")</f>
        <v>침실A</v>
      </c>
      <c r="AC115" s="51" t="str">
        <f>IFERROR(
  VLOOKUP(
    VLOOKUP(TEXT($B$3,"yyyymmdd")&amp;"_"&amp;TEXT($B115*60+AC$109,"0000"),RawData!$A$2:$G$30000,7,FALSE),
    Mapping!$A$4:$B$9,2,FALSE
  ),
"")</f>
        <v>침실A</v>
      </c>
      <c r="AD115" s="51" t="str">
        <f>IFERROR(
  VLOOKUP(
    VLOOKUP(TEXT($B$3,"yyyymmdd")&amp;"_"&amp;TEXT($B115*60+AD$109,"0000"),RawData!$A$2:$G$30000,7,FALSE),
    Mapping!$A$4:$B$9,2,FALSE
  ),
"")</f>
        <v>침실A</v>
      </c>
      <c r="AE115" s="51" t="str">
        <f>IFERROR(
  VLOOKUP(
    VLOOKUP(TEXT($B$3,"yyyymmdd")&amp;"_"&amp;TEXT($B115*60+AE$109,"0000"),RawData!$A$2:$G$30000,7,FALSE),
    Mapping!$A$4:$B$9,2,FALSE
  ),
"")</f>
        <v>침실A</v>
      </c>
      <c r="AF115" s="51" t="str">
        <f>IFERROR(
  VLOOKUP(
    VLOOKUP(TEXT($B$3,"yyyymmdd")&amp;"_"&amp;TEXT($B115*60+AF$109,"0000"),RawData!$A$2:$G$30000,7,FALSE),
    Mapping!$A$4:$B$9,2,FALSE
  ),
"")</f>
        <v>침실A</v>
      </c>
      <c r="AG115" s="51" t="str">
        <f>IFERROR(
  VLOOKUP(
    VLOOKUP(TEXT($B$3,"yyyymmdd")&amp;"_"&amp;TEXT($B115*60+AG$109,"0000"),RawData!$A$2:$G$30000,7,FALSE),
    Mapping!$A$4:$B$9,2,FALSE
  ),
"")</f>
        <v>침실A</v>
      </c>
      <c r="AH115" s="51" t="str">
        <f>IFERROR(
  VLOOKUP(
    VLOOKUP(TEXT($B$3,"yyyymmdd")&amp;"_"&amp;TEXT($B115*60+AH$109,"0000"),RawData!$A$2:$G$30000,7,FALSE),
    Mapping!$A$4:$B$9,2,FALSE
  ),
"")</f>
        <v>침실A</v>
      </c>
      <c r="AI115" s="51" t="str">
        <f>IFERROR(
  VLOOKUP(
    VLOOKUP(TEXT($B$3,"yyyymmdd")&amp;"_"&amp;TEXT($B115*60+AI$109,"0000"),RawData!$A$2:$G$30000,7,FALSE),
    Mapping!$A$4:$B$9,2,FALSE
  ),
"")</f>
        <v>침실A</v>
      </c>
      <c r="AJ115" s="51" t="str">
        <f>IFERROR(
  VLOOKUP(
    VLOOKUP(TEXT($B$3,"yyyymmdd")&amp;"_"&amp;TEXT($B115*60+AJ$109,"0000"),RawData!$A$2:$G$30000,7,FALSE),
    Mapping!$A$4:$B$9,2,FALSE
  ),
"")</f>
        <v>침실A</v>
      </c>
      <c r="AK115" s="51" t="str">
        <f>IFERROR(
  VLOOKUP(
    VLOOKUP(TEXT($B$3,"yyyymmdd")&amp;"_"&amp;TEXT($B115*60+AK$109,"0000"),RawData!$A$2:$G$30000,7,FALSE),
    Mapping!$A$4:$B$9,2,FALSE
  ),
"")</f>
        <v>침실A</v>
      </c>
      <c r="AL115" s="51" t="str">
        <f>IFERROR(
  VLOOKUP(
    VLOOKUP(TEXT($B$3,"yyyymmdd")&amp;"_"&amp;TEXT($B115*60+AL$109,"0000"),RawData!$A$2:$G$30000,7,FALSE),
    Mapping!$A$4:$B$9,2,FALSE
  ),
"")</f>
        <v>침실A</v>
      </c>
      <c r="AM115" s="51" t="str">
        <f>IFERROR(
  VLOOKUP(
    VLOOKUP(TEXT($B$3,"yyyymmdd")&amp;"_"&amp;TEXT($B115*60+AM$109,"0000"),RawData!$A$2:$G$30000,7,FALSE),
    Mapping!$A$4:$B$9,2,FALSE
  ),
"")</f>
        <v>침실A</v>
      </c>
      <c r="AN115" s="51" t="str">
        <f>IFERROR(
  VLOOKUP(
    VLOOKUP(TEXT($B$3,"yyyymmdd")&amp;"_"&amp;TEXT($B115*60+AN$109,"0000"),RawData!$A$2:$G$30000,7,FALSE),
    Mapping!$A$4:$B$9,2,FALSE
  ),
"")</f>
        <v>침실A</v>
      </c>
      <c r="AO115" s="51" t="str">
        <f>IFERROR(
  VLOOKUP(
    VLOOKUP(TEXT($B$3,"yyyymmdd")&amp;"_"&amp;TEXT($B115*60+AO$109,"0000"),RawData!$A$2:$G$30000,7,FALSE),
    Mapping!$A$4:$B$9,2,FALSE
  ),
"")</f>
        <v>침실A</v>
      </c>
      <c r="AP115" s="51" t="str">
        <f>IFERROR(
  VLOOKUP(
    VLOOKUP(TEXT($B$3,"yyyymmdd")&amp;"_"&amp;TEXT($B115*60+AP$109,"0000"),RawData!$A$2:$G$30000,7,FALSE),
    Mapping!$A$4:$B$9,2,FALSE
  ),
"")</f>
        <v>침실A</v>
      </c>
      <c r="AQ115" s="51" t="str">
        <f>IFERROR(
  VLOOKUP(
    VLOOKUP(TEXT($B$3,"yyyymmdd")&amp;"_"&amp;TEXT($B115*60+AQ$109,"0000"),RawData!$A$2:$G$30000,7,FALSE),
    Mapping!$A$4:$B$9,2,FALSE
  ),
"")</f>
        <v>침실A</v>
      </c>
      <c r="AR115" s="51" t="str">
        <f>IFERROR(
  VLOOKUP(
    VLOOKUP(TEXT($B$3,"yyyymmdd")&amp;"_"&amp;TEXT($B115*60+AR$109,"0000"),RawData!$A$2:$G$30000,7,FALSE),
    Mapping!$A$4:$B$9,2,FALSE
  ),
"")</f>
        <v>침실A</v>
      </c>
      <c r="AS115" s="51" t="str">
        <f>IFERROR(
  VLOOKUP(
    VLOOKUP(TEXT($B$3,"yyyymmdd")&amp;"_"&amp;TEXT($B115*60+AS$109,"0000"),RawData!$A$2:$G$30000,7,FALSE),
    Mapping!$A$4:$B$9,2,FALSE
  ),
"")</f>
        <v>침실A</v>
      </c>
      <c r="AT115" s="51" t="str">
        <f>IFERROR(
  VLOOKUP(
    VLOOKUP(TEXT($B$3,"yyyymmdd")&amp;"_"&amp;TEXT($B115*60+AT$109,"0000"),RawData!$A$2:$G$30000,7,FALSE),
    Mapping!$A$4:$B$9,2,FALSE
  ),
"")</f>
        <v>침실A</v>
      </c>
      <c r="AU115" s="51" t="str">
        <f>IFERROR(
  VLOOKUP(
    VLOOKUP(TEXT($B$3,"yyyymmdd")&amp;"_"&amp;TEXT($B115*60+AU$109,"0000"),RawData!$A$2:$G$30000,7,FALSE),
    Mapping!$A$4:$B$9,2,FALSE
  ),
"")</f>
        <v>침실A</v>
      </c>
      <c r="AV115" s="51" t="str">
        <f>IFERROR(
  VLOOKUP(
    VLOOKUP(TEXT($B$3,"yyyymmdd")&amp;"_"&amp;TEXT($B115*60+AV$109,"0000"),RawData!$A$2:$G$30000,7,FALSE),
    Mapping!$A$4:$B$9,2,FALSE
  ),
"")</f>
        <v>침실A</v>
      </c>
      <c r="AW115" s="51" t="str">
        <f>IFERROR(
  VLOOKUP(
    VLOOKUP(TEXT($B$3,"yyyymmdd")&amp;"_"&amp;TEXT($B115*60+AW$109,"0000"),RawData!$A$2:$G$30000,7,FALSE),
    Mapping!$A$4:$B$9,2,FALSE
  ),
"")</f>
        <v>침실A</v>
      </c>
      <c r="AX115" s="51" t="str">
        <f>IFERROR(
  VLOOKUP(
    VLOOKUP(TEXT($B$3,"yyyymmdd")&amp;"_"&amp;TEXT($B115*60+AX$109,"0000"),RawData!$A$2:$G$30000,7,FALSE),
    Mapping!$A$4:$B$9,2,FALSE
  ),
"")</f>
        <v>침실A</v>
      </c>
      <c r="AY115" s="51" t="str">
        <f>IFERROR(
  VLOOKUP(
    VLOOKUP(TEXT($B$3,"yyyymmdd")&amp;"_"&amp;TEXT($B115*60+AY$109,"0000"),RawData!$A$2:$G$30000,7,FALSE),
    Mapping!$A$4:$B$9,2,FALSE
  ),
"")</f>
        <v>침실A</v>
      </c>
      <c r="AZ115" s="51" t="str">
        <f>IFERROR(
  VLOOKUP(
    VLOOKUP(TEXT($B$3,"yyyymmdd")&amp;"_"&amp;TEXT($B115*60+AZ$109,"0000"),RawData!$A$2:$G$30000,7,FALSE),
    Mapping!$A$4:$B$9,2,FALSE
  ),
"")</f>
        <v>침실A</v>
      </c>
      <c r="BA115" s="51" t="str">
        <f>IFERROR(
  VLOOKUP(
    VLOOKUP(TEXT($B$3,"yyyymmdd")&amp;"_"&amp;TEXT($B115*60+BA$109,"0000"),RawData!$A$2:$G$30000,7,FALSE),
    Mapping!$A$4:$B$9,2,FALSE
  ),
"")</f>
        <v>침실A</v>
      </c>
      <c r="BB115" s="51" t="str">
        <f>IFERROR(
  VLOOKUP(
    VLOOKUP(TEXT($B$3,"yyyymmdd")&amp;"_"&amp;TEXT($B115*60+BB$109,"0000"),RawData!$A$2:$G$30000,7,FALSE),
    Mapping!$A$4:$B$9,2,FALSE
  ),
"")</f>
        <v>침실A</v>
      </c>
      <c r="BC115" s="51" t="str">
        <f>IFERROR(
  VLOOKUP(
    VLOOKUP(TEXT($B$3,"yyyymmdd")&amp;"_"&amp;TEXT($B115*60+BC$109,"0000"),RawData!$A$2:$G$30000,7,FALSE),
    Mapping!$A$4:$B$9,2,FALSE
  ),
"")</f>
        <v>침실A</v>
      </c>
      <c r="BD115" s="51" t="str">
        <f>IFERROR(
  VLOOKUP(
    VLOOKUP(TEXT($B$3,"yyyymmdd")&amp;"_"&amp;TEXT($B115*60+BD$109,"0000"),RawData!$A$2:$G$30000,7,FALSE),
    Mapping!$A$4:$B$9,2,FALSE
  ),
"")</f>
        <v>침실A</v>
      </c>
      <c r="BE115" s="51" t="str">
        <f>IFERROR(
  VLOOKUP(
    VLOOKUP(TEXT($B$3,"yyyymmdd")&amp;"_"&amp;TEXT($B115*60+BE$109,"0000"),RawData!$A$2:$G$30000,7,FALSE),
    Mapping!$A$4:$B$9,2,FALSE
  ),
"")</f>
        <v>침실A</v>
      </c>
      <c r="BF115" s="51" t="str">
        <f>IFERROR(
  VLOOKUP(
    VLOOKUP(TEXT($B$3,"yyyymmdd")&amp;"_"&amp;TEXT($B115*60+BF$109,"0000"),RawData!$A$2:$G$30000,7,FALSE),
    Mapping!$A$4:$B$9,2,FALSE
  ),
"")</f>
        <v>침실A</v>
      </c>
      <c r="BG115" s="51" t="str">
        <f>IFERROR(
  VLOOKUP(
    VLOOKUP(TEXT($B$3,"yyyymmdd")&amp;"_"&amp;TEXT($B115*60+BG$109,"0000"),RawData!$A$2:$G$30000,7,FALSE),
    Mapping!$A$4:$B$9,2,FALSE
  ),
"")</f>
        <v>침실A</v>
      </c>
      <c r="BH115" s="51" t="str">
        <f>IFERROR(
  VLOOKUP(
    VLOOKUP(TEXT($B$3,"yyyymmdd")&amp;"_"&amp;TEXT($B115*60+BH$109,"0000"),RawData!$A$2:$G$30000,7,FALSE),
    Mapping!$A$4:$B$9,2,FALSE
  ),
"")</f>
        <v>침실A</v>
      </c>
      <c r="BI115" s="51" t="str">
        <f>IFERROR(
  VLOOKUP(
    VLOOKUP(TEXT($B$3,"yyyymmdd")&amp;"_"&amp;TEXT($B115*60+BI$109,"0000"),RawData!$A$2:$G$30000,7,FALSE),
    Mapping!$A$4:$B$9,2,FALSE
  ),
"")</f>
        <v>침실A</v>
      </c>
      <c r="BJ115" s="51" t="str">
        <f>IFERROR(
  VLOOKUP(
    VLOOKUP(TEXT($B$3,"yyyymmdd")&amp;"_"&amp;TEXT($B115*60+BJ$109,"0000"),RawData!$A$2:$G$30000,7,FALSE),
    Mapping!$A$4:$B$9,2,FALSE
  ),
"")</f>
        <v>침실A</v>
      </c>
      <c r="BK115" s="4" t="str">
        <f>IFERROR(VLOOKUP(TEXT($B$3,"yyyymmdd")&amp;"_"&amp;TEXT(104,"0000"),RawData!$A$2:$F$1441,4,FALSE),"")</f>
        <v>14</v>
      </c>
      <c r="BL115" s="19">
        <f>TIME(0,0,0)+104/1440</f>
        <v>7.2222222222222215E-2</v>
      </c>
      <c r="BM115" s="4">
        <f>IFERROR(VLOOKUP(TEXT($B$3,"yyyymmdd")&amp;"_"&amp;TEXT(104,"0000"),RawData!$A$2:$F$1441,5,FALSE),"")</f>
        <v>0</v>
      </c>
      <c r="BN115" s="4">
        <f t="shared" si="2"/>
        <v>1</v>
      </c>
    </row>
    <row r="116" spans="2:66" x14ac:dyDescent="0.6">
      <c r="B116" s="18">
        <v>6</v>
      </c>
      <c r="C116" s="51" t="str">
        <f>IFERROR(
  VLOOKUP(
    VLOOKUP(TEXT($B$3,"yyyymmdd")&amp;"_"&amp;TEXT($B116*60+C$109,"0000"),RawData!$A$2:$G$30000,7,FALSE),
    Mapping!$A$4:$B$9,2,FALSE
  ),
"")</f>
        <v>침실A</v>
      </c>
      <c r="D116" s="51" t="str">
        <f>IFERROR(
  VLOOKUP(
    VLOOKUP(TEXT($B$3,"yyyymmdd")&amp;"_"&amp;TEXT($B116*60+D$109,"0000"),RawData!$A$2:$G$30000,7,FALSE),
    Mapping!$A$4:$B$9,2,FALSE
  ),
"")</f>
        <v>침실A</v>
      </c>
      <c r="E116" s="51" t="str">
        <f>IFERROR(
  VLOOKUP(
    VLOOKUP(TEXT($B$3,"yyyymmdd")&amp;"_"&amp;TEXT($B116*60+E$109,"0000"),RawData!$A$2:$G$30000,7,FALSE),
    Mapping!$A$4:$B$9,2,FALSE
  ),
"")</f>
        <v>침실A</v>
      </c>
      <c r="F116" s="51" t="str">
        <f>IFERROR(
  VLOOKUP(
    VLOOKUP(TEXT($B$3,"yyyymmdd")&amp;"_"&amp;TEXT($B116*60+F$109,"0000"),RawData!$A$2:$G$30000,7,FALSE),
    Mapping!$A$4:$B$9,2,FALSE
  ),
"")</f>
        <v>침실A</v>
      </c>
      <c r="G116" s="51" t="str">
        <f>IFERROR(
  VLOOKUP(
    VLOOKUP(TEXT($B$3,"yyyymmdd")&amp;"_"&amp;TEXT($B116*60+G$109,"0000"),RawData!$A$2:$G$30000,7,FALSE),
    Mapping!$A$4:$B$9,2,FALSE
  ),
"")</f>
        <v>침실A</v>
      </c>
      <c r="H116" s="51" t="str">
        <f>IFERROR(
  VLOOKUP(
    VLOOKUP(TEXT($B$3,"yyyymmdd")&amp;"_"&amp;TEXT($B116*60+H$109,"0000"),RawData!$A$2:$G$30000,7,FALSE),
    Mapping!$A$4:$B$9,2,FALSE
  ),
"")</f>
        <v>침실A</v>
      </c>
      <c r="I116" s="51" t="str">
        <f>IFERROR(
  VLOOKUP(
    VLOOKUP(TEXT($B$3,"yyyymmdd")&amp;"_"&amp;TEXT($B116*60+I$109,"0000"),RawData!$A$2:$G$30000,7,FALSE),
    Mapping!$A$4:$B$9,2,FALSE
  ),
"")</f>
        <v>침실A</v>
      </c>
      <c r="J116" s="51" t="str">
        <f>IFERROR(
  VLOOKUP(
    VLOOKUP(TEXT($B$3,"yyyymmdd")&amp;"_"&amp;TEXT($B116*60+J$109,"0000"),RawData!$A$2:$G$30000,7,FALSE),
    Mapping!$A$4:$B$9,2,FALSE
  ),
"")</f>
        <v>침실A</v>
      </c>
      <c r="K116" s="51" t="str">
        <f>IFERROR(
  VLOOKUP(
    VLOOKUP(TEXT($B$3,"yyyymmdd")&amp;"_"&amp;TEXT($B116*60+K$109,"0000"),RawData!$A$2:$G$30000,7,FALSE),
    Mapping!$A$4:$B$9,2,FALSE
  ),
"")</f>
        <v>침실A</v>
      </c>
      <c r="L116" s="51" t="str">
        <f>IFERROR(
  VLOOKUP(
    VLOOKUP(TEXT($B$3,"yyyymmdd")&amp;"_"&amp;TEXT($B116*60+L$109,"0000"),RawData!$A$2:$G$30000,7,FALSE),
    Mapping!$A$4:$B$9,2,FALSE
  ),
"")</f>
        <v>침실A</v>
      </c>
      <c r="M116" s="51" t="str">
        <f>IFERROR(
  VLOOKUP(
    VLOOKUP(TEXT($B$3,"yyyymmdd")&amp;"_"&amp;TEXT($B116*60+M$109,"0000"),RawData!$A$2:$G$30000,7,FALSE),
    Mapping!$A$4:$B$9,2,FALSE
  ),
"")</f>
        <v>침실A</v>
      </c>
      <c r="N116" s="51" t="str">
        <f>IFERROR(
  VLOOKUP(
    VLOOKUP(TEXT($B$3,"yyyymmdd")&amp;"_"&amp;TEXT($B116*60+N$109,"0000"),RawData!$A$2:$G$30000,7,FALSE),
    Mapping!$A$4:$B$9,2,FALSE
  ),
"")</f>
        <v>침실A</v>
      </c>
      <c r="O116" s="51" t="str">
        <f>IFERROR(
  VLOOKUP(
    VLOOKUP(TEXT($B$3,"yyyymmdd")&amp;"_"&amp;TEXT($B116*60+O$109,"0000"),RawData!$A$2:$G$30000,7,FALSE),
    Mapping!$A$4:$B$9,2,FALSE
  ),
"")</f>
        <v>침실A</v>
      </c>
      <c r="P116" s="51" t="str">
        <f>IFERROR(
  VLOOKUP(
    VLOOKUP(TEXT($B$3,"yyyymmdd")&amp;"_"&amp;TEXT($B116*60+P$109,"0000"),RawData!$A$2:$G$30000,7,FALSE),
    Mapping!$A$4:$B$9,2,FALSE
  ),
"")</f>
        <v>침실A</v>
      </c>
      <c r="Q116" s="51" t="str">
        <f>IFERROR(
  VLOOKUP(
    VLOOKUP(TEXT($B$3,"yyyymmdd")&amp;"_"&amp;TEXT($B116*60+Q$109,"0000"),RawData!$A$2:$G$30000,7,FALSE),
    Mapping!$A$4:$B$9,2,FALSE
  ),
"")</f>
        <v>침실A</v>
      </c>
      <c r="R116" s="51" t="str">
        <f>IFERROR(
  VLOOKUP(
    VLOOKUP(TEXT($B$3,"yyyymmdd")&amp;"_"&amp;TEXT($B116*60+R$109,"0000"),RawData!$A$2:$G$30000,7,FALSE),
    Mapping!$A$4:$B$9,2,FALSE
  ),
"")</f>
        <v>침실A</v>
      </c>
      <c r="S116" s="51" t="str">
        <f>IFERROR(
  VLOOKUP(
    VLOOKUP(TEXT($B$3,"yyyymmdd")&amp;"_"&amp;TEXT($B116*60+S$109,"0000"),RawData!$A$2:$G$30000,7,FALSE),
    Mapping!$A$4:$B$9,2,FALSE
  ),
"")</f>
        <v>침실A</v>
      </c>
      <c r="T116" s="51" t="str">
        <f>IFERROR(
  VLOOKUP(
    VLOOKUP(TEXT($B$3,"yyyymmdd")&amp;"_"&amp;TEXT($B116*60+T$109,"0000"),RawData!$A$2:$G$30000,7,FALSE),
    Mapping!$A$4:$B$9,2,FALSE
  ),
"")</f>
        <v>침실A</v>
      </c>
      <c r="U116" s="51" t="str">
        <f>IFERROR(
  VLOOKUP(
    VLOOKUP(TEXT($B$3,"yyyymmdd")&amp;"_"&amp;TEXT($B116*60+U$109,"0000"),RawData!$A$2:$G$30000,7,FALSE),
    Mapping!$A$4:$B$9,2,FALSE
  ),
"")</f>
        <v>침실A</v>
      </c>
      <c r="V116" s="51" t="str">
        <f>IFERROR(
  VLOOKUP(
    VLOOKUP(TEXT($B$3,"yyyymmdd")&amp;"_"&amp;TEXT($B116*60+V$109,"0000"),RawData!$A$2:$G$30000,7,FALSE),
    Mapping!$A$4:$B$9,2,FALSE
  ),
"")</f>
        <v>침실A</v>
      </c>
      <c r="W116" s="51" t="str">
        <f>IFERROR(
  VLOOKUP(
    VLOOKUP(TEXT($B$3,"yyyymmdd")&amp;"_"&amp;TEXT($B116*60+W$109,"0000"),RawData!$A$2:$G$30000,7,FALSE),
    Mapping!$A$4:$B$9,2,FALSE
  ),
"")</f>
        <v>침실A</v>
      </c>
      <c r="X116" s="51" t="str">
        <f>IFERROR(
  VLOOKUP(
    VLOOKUP(TEXT($B$3,"yyyymmdd")&amp;"_"&amp;TEXT($B116*60+X$109,"0000"),RawData!$A$2:$G$30000,7,FALSE),
    Mapping!$A$4:$B$9,2,FALSE
  ),
"")</f>
        <v>침실A</v>
      </c>
      <c r="Y116" s="51" t="str">
        <f>IFERROR(
  VLOOKUP(
    VLOOKUP(TEXT($B$3,"yyyymmdd")&amp;"_"&amp;TEXT($B116*60+Y$109,"0000"),RawData!$A$2:$G$30000,7,FALSE),
    Mapping!$A$4:$B$9,2,FALSE
  ),
"")</f>
        <v>침실A</v>
      </c>
      <c r="Z116" s="51" t="str">
        <f>IFERROR(
  VLOOKUP(
    VLOOKUP(TEXT($B$3,"yyyymmdd")&amp;"_"&amp;TEXT($B116*60+Z$109,"0000"),RawData!$A$2:$G$30000,7,FALSE),
    Mapping!$A$4:$B$9,2,FALSE
  ),
"")</f>
        <v>침실A</v>
      </c>
      <c r="AA116" s="51" t="str">
        <f>IFERROR(
  VLOOKUP(
    VLOOKUP(TEXT($B$3,"yyyymmdd")&amp;"_"&amp;TEXT($B116*60+AA$109,"0000"),RawData!$A$2:$G$30000,7,FALSE),
    Mapping!$A$4:$B$9,2,FALSE
  ),
"")</f>
        <v>침실A</v>
      </c>
      <c r="AB116" s="51" t="str">
        <f>IFERROR(
  VLOOKUP(
    VLOOKUP(TEXT($B$3,"yyyymmdd")&amp;"_"&amp;TEXT($B116*60+AB$109,"0000"),RawData!$A$2:$G$30000,7,FALSE),
    Mapping!$A$4:$B$9,2,FALSE
  ),
"")</f>
        <v>침실A</v>
      </c>
      <c r="AC116" s="51" t="str">
        <f>IFERROR(
  VLOOKUP(
    VLOOKUP(TEXT($B$3,"yyyymmdd")&amp;"_"&amp;TEXT($B116*60+AC$109,"0000"),RawData!$A$2:$G$30000,7,FALSE),
    Mapping!$A$4:$B$9,2,FALSE
  ),
"")</f>
        <v>침실A</v>
      </c>
      <c r="AD116" s="51" t="str">
        <f>IFERROR(
  VLOOKUP(
    VLOOKUP(TEXT($B$3,"yyyymmdd")&amp;"_"&amp;TEXT($B116*60+AD$109,"0000"),RawData!$A$2:$G$30000,7,FALSE),
    Mapping!$A$4:$B$9,2,FALSE
  ),
"")</f>
        <v>침실A</v>
      </c>
      <c r="AE116" s="51" t="str">
        <f>IFERROR(
  VLOOKUP(
    VLOOKUP(TEXT($B$3,"yyyymmdd")&amp;"_"&amp;TEXT($B116*60+AE$109,"0000"),RawData!$A$2:$G$30000,7,FALSE),
    Mapping!$A$4:$B$9,2,FALSE
  ),
"")</f>
        <v>침실A</v>
      </c>
      <c r="AF116" s="51" t="str">
        <f>IFERROR(
  VLOOKUP(
    VLOOKUP(TEXT($B$3,"yyyymmdd")&amp;"_"&amp;TEXT($B116*60+AF$109,"0000"),RawData!$A$2:$G$30000,7,FALSE),
    Mapping!$A$4:$B$9,2,FALSE
  ),
"")</f>
        <v>침실A</v>
      </c>
      <c r="AG116" s="51" t="str">
        <f>IFERROR(
  VLOOKUP(
    VLOOKUP(TEXT($B$3,"yyyymmdd")&amp;"_"&amp;TEXT($B116*60+AG$109,"0000"),RawData!$A$2:$G$30000,7,FALSE),
    Mapping!$A$4:$B$9,2,FALSE
  ),
"")</f>
        <v>침실A</v>
      </c>
      <c r="AH116" s="51" t="str">
        <f>IFERROR(
  VLOOKUP(
    VLOOKUP(TEXT($B$3,"yyyymmdd")&amp;"_"&amp;TEXT($B116*60+AH$109,"0000"),RawData!$A$2:$G$30000,7,FALSE),
    Mapping!$A$4:$B$9,2,FALSE
  ),
"")</f>
        <v>침실A</v>
      </c>
      <c r="AI116" s="51" t="str">
        <f>IFERROR(
  VLOOKUP(
    VLOOKUP(TEXT($B$3,"yyyymmdd")&amp;"_"&amp;TEXT($B116*60+AI$109,"0000"),RawData!$A$2:$G$30000,7,FALSE),
    Mapping!$A$4:$B$9,2,FALSE
  ),
"")</f>
        <v>침실A</v>
      </c>
      <c r="AJ116" s="51" t="str">
        <f>IFERROR(
  VLOOKUP(
    VLOOKUP(TEXT($B$3,"yyyymmdd")&amp;"_"&amp;TEXT($B116*60+AJ$109,"0000"),RawData!$A$2:$G$30000,7,FALSE),
    Mapping!$A$4:$B$9,2,FALSE
  ),
"")</f>
        <v>침실A</v>
      </c>
      <c r="AK116" s="51" t="str">
        <f>IFERROR(
  VLOOKUP(
    VLOOKUP(TEXT($B$3,"yyyymmdd")&amp;"_"&amp;TEXT($B116*60+AK$109,"0000"),RawData!$A$2:$G$30000,7,FALSE),
    Mapping!$A$4:$B$9,2,FALSE
  ),
"")</f>
        <v>침실A</v>
      </c>
      <c r="AL116" s="51" t="str">
        <f>IFERROR(
  VLOOKUP(
    VLOOKUP(TEXT($B$3,"yyyymmdd")&amp;"_"&amp;TEXT($B116*60+AL$109,"0000"),RawData!$A$2:$G$30000,7,FALSE),
    Mapping!$A$4:$B$9,2,FALSE
  ),
"")</f>
        <v>침실A</v>
      </c>
      <c r="AM116" s="51" t="str">
        <f>IFERROR(
  VLOOKUP(
    VLOOKUP(TEXT($B$3,"yyyymmdd")&amp;"_"&amp;TEXT($B116*60+AM$109,"0000"),RawData!$A$2:$G$30000,7,FALSE),
    Mapping!$A$4:$B$9,2,FALSE
  ),
"")</f>
        <v>침실A</v>
      </c>
      <c r="AN116" s="51" t="str">
        <f>IFERROR(
  VLOOKUP(
    VLOOKUP(TEXT($B$3,"yyyymmdd")&amp;"_"&amp;TEXT($B116*60+AN$109,"0000"),RawData!$A$2:$G$30000,7,FALSE),
    Mapping!$A$4:$B$9,2,FALSE
  ),
"")</f>
        <v>침실A</v>
      </c>
      <c r="AO116" s="51" t="str">
        <f>IFERROR(
  VLOOKUP(
    VLOOKUP(TEXT($B$3,"yyyymmdd")&amp;"_"&amp;TEXT($B116*60+AO$109,"0000"),RawData!$A$2:$G$30000,7,FALSE),
    Mapping!$A$4:$B$9,2,FALSE
  ),
"")</f>
        <v>침실A</v>
      </c>
      <c r="AP116" s="51" t="str">
        <f>IFERROR(
  VLOOKUP(
    VLOOKUP(TEXT($B$3,"yyyymmdd")&amp;"_"&amp;TEXT($B116*60+AP$109,"0000"),RawData!$A$2:$G$30000,7,FALSE),
    Mapping!$A$4:$B$9,2,FALSE
  ),
"")</f>
        <v>침실A</v>
      </c>
      <c r="AQ116" s="51" t="str">
        <f>IFERROR(
  VLOOKUP(
    VLOOKUP(TEXT($B$3,"yyyymmdd")&amp;"_"&amp;TEXT($B116*60+AQ$109,"0000"),RawData!$A$2:$G$30000,7,FALSE),
    Mapping!$A$4:$B$9,2,FALSE
  ),
"")</f>
        <v>침실A</v>
      </c>
      <c r="AR116" s="51" t="str">
        <f>IFERROR(
  VLOOKUP(
    VLOOKUP(TEXT($B$3,"yyyymmdd")&amp;"_"&amp;TEXT($B116*60+AR$109,"0000"),RawData!$A$2:$G$30000,7,FALSE),
    Mapping!$A$4:$B$9,2,FALSE
  ),
"")</f>
        <v>침실A</v>
      </c>
      <c r="AS116" s="51" t="str">
        <f>IFERROR(
  VLOOKUP(
    VLOOKUP(TEXT($B$3,"yyyymmdd")&amp;"_"&amp;TEXT($B116*60+AS$109,"0000"),RawData!$A$2:$G$30000,7,FALSE),
    Mapping!$A$4:$B$9,2,FALSE
  ),
"")</f>
        <v>침실A</v>
      </c>
      <c r="AT116" s="51" t="str">
        <f>IFERROR(
  VLOOKUP(
    VLOOKUP(TEXT($B$3,"yyyymmdd")&amp;"_"&amp;TEXT($B116*60+AT$109,"0000"),RawData!$A$2:$G$30000,7,FALSE),
    Mapping!$A$4:$B$9,2,FALSE
  ),
"")</f>
        <v>침실A</v>
      </c>
      <c r="AU116" s="51" t="str">
        <f>IFERROR(
  VLOOKUP(
    VLOOKUP(TEXT($B$3,"yyyymmdd")&amp;"_"&amp;TEXT($B116*60+AU$109,"0000"),RawData!$A$2:$G$30000,7,FALSE),
    Mapping!$A$4:$B$9,2,FALSE
  ),
"")</f>
        <v>침실A</v>
      </c>
      <c r="AV116" s="51" t="str">
        <f>IFERROR(
  VLOOKUP(
    VLOOKUP(TEXT($B$3,"yyyymmdd")&amp;"_"&amp;TEXT($B116*60+AV$109,"0000"),RawData!$A$2:$G$30000,7,FALSE),
    Mapping!$A$4:$B$9,2,FALSE
  ),
"")</f>
        <v>침실A</v>
      </c>
      <c r="AW116" s="51" t="str">
        <f>IFERROR(
  VLOOKUP(
    VLOOKUP(TEXT($B$3,"yyyymmdd")&amp;"_"&amp;TEXT($B116*60+AW$109,"0000"),RawData!$A$2:$G$30000,7,FALSE),
    Mapping!$A$4:$B$9,2,FALSE
  ),
"")</f>
        <v>침실A</v>
      </c>
      <c r="AX116" s="51" t="str">
        <f>IFERROR(
  VLOOKUP(
    VLOOKUP(TEXT($B$3,"yyyymmdd")&amp;"_"&amp;TEXT($B116*60+AX$109,"0000"),RawData!$A$2:$G$30000,7,FALSE),
    Mapping!$A$4:$B$9,2,FALSE
  ),
"")</f>
        <v>침실A</v>
      </c>
      <c r="AY116" s="51" t="str">
        <f>IFERROR(
  VLOOKUP(
    VLOOKUP(TEXT($B$3,"yyyymmdd")&amp;"_"&amp;TEXT($B116*60+AY$109,"0000"),RawData!$A$2:$G$30000,7,FALSE),
    Mapping!$A$4:$B$9,2,FALSE
  ),
"")</f>
        <v>침실A</v>
      </c>
      <c r="AZ116" s="51" t="str">
        <f>IFERROR(
  VLOOKUP(
    VLOOKUP(TEXT($B$3,"yyyymmdd")&amp;"_"&amp;TEXT($B116*60+AZ$109,"0000"),RawData!$A$2:$G$30000,7,FALSE),
    Mapping!$A$4:$B$9,2,FALSE
  ),
"")</f>
        <v>침실A</v>
      </c>
      <c r="BA116" s="51" t="str">
        <f>IFERROR(
  VLOOKUP(
    VLOOKUP(TEXT($B$3,"yyyymmdd")&amp;"_"&amp;TEXT($B116*60+BA$109,"0000"),RawData!$A$2:$G$30000,7,FALSE),
    Mapping!$A$4:$B$9,2,FALSE
  ),
"")</f>
        <v>침실A</v>
      </c>
      <c r="BB116" s="51" t="str">
        <f>IFERROR(
  VLOOKUP(
    VLOOKUP(TEXT($B$3,"yyyymmdd")&amp;"_"&amp;TEXT($B116*60+BB$109,"0000"),RawData!$A$2:$G$30000,7,FALSE),
    Mapping!$A$4:$B$9,2,FALSE
  ),
"")</f>
        <v>침실A</v>
      </c>
      <c r="BC116" s="51" t="str">
        <f>IFERROR(
  VLOOKUP(
    VLOOKUP(TEXT($B$3,"yyyymmdd")&amp;"_"&amp;TEXT($B116*60+BC$109,"0000"),RawData!$A$2:$G$30000,7,FALSE),
    Mapping!$A$4:$B$9,2,FALSE
  ),
"")</f>
        <v>침실A</v>
      </c>
      <c r="BD116" s="51" t="str">
        <f>IFERROR(
  VLOOKUP(
    VLOOKUP(TEXT($B$3,"yyyymmdd")&amp;"_"&amp;TEXT($B116*60+BD$109,"0000"),RawData!$A$2:$G$30000,7,FALSE),
    Mapping!$A$4:$B$9,2,FALSE
  ),
"")</f>
        <v>침실A</v>
      </c>
      <c r="BE116" s="51" t="str">
        <f>IFERROR(
  VLOOKUP(
    VLOOKUP(TEXT($B$3,"yyyymmdd")&amp;"_"&amp;TEXT($B116*60+BE$109,"0000"),RawData!$A$2:$G$30000,7,FALSE),
    Mapping!$A$4:$B$9,2,FALSE
  ),
"")</f>
        <v>침실A</v>
      </c>
      <c r="BF116" s="51" t="str">
        <f>IFERROR(
  VLOOKUP(
    VLOOKUP(TEXT($B$3,"yyyymmdd")&amp;"_"&amp;TEXT($B116*60+BF$109,"0000"),RawData!$A$2:$G$30000,7,FALSE),
    Mapping!$A$4:$B$9,2,FALSE
  ),
"")</f>
        <v>침실A</v>
      </c>
      <c r="BG116" s="51" t="str">
        <f>IFERROR(
  VLOOKUP(
    VLOOKUP(TEXT($B$3,"yyyymmdd")&amp;"_"&amp;TEXT($B116*60+BG$109,"0000"),RawData!$A$2:$G$30000,7,FALSE),
    Mapping!$A$4:$B$9,2,FALSE
  ),
"")</f>
        <v>침실A</v>
      </c>
      <c r="BH116" s="51" t="str">
        <f>IFERROR(
  VLOOKUP(
    VLOOKUP(TEXT($B$3,"yyyymmdd")&amp;"_"&amp;TEXT($B116*60+BH$109,"0000"),RawData!$A$2:$G$30000,7,FALSE),
    Mapping!$A$4:$B$9,2,FALSE
  ),
"")</f>
        <v>침실A</v>
      </c>
      <c r="BI116" s="51" t="str">
        <f>IFERROR(
  VLOOKUP(
    VLOOKUP(TEXT($B$3,"yyyymmdd")&amp;"_"&amp;TEXT($B116*60+BI$109,"0000"),RawData!$A$2:$G$30000,7,FALSE),
    Mapping!$A$4:$B$9,2,FALSE
  ),
"")</f>
        <v>침실A</v>
      </c>
      <c r="BJ116" s="51" t="str">
        <f>IFERROR(
  VLOOKUP(
    VLOOKUP(TEXT($B$3,"yyyymmdd")&amp;"_"&amp;TEXT($B116*60+BJ$109,"0000"),RawData!$A$2:$G$30000,7,FALSE),
    Mapping!$A$4:$B$9,2,FALSE
  ),
"")</f>
        <v>침실A</v>
      </c>
      <c r="BK116" s="4" t="str">
        <f>IFERROR(VLOOKUP(TEXT($B$3,"yyyymmdd")&amp;"_"&amp;TEXT(105,"0000"),RawData!$A$2:$F$1441,4,FALSE),"")</f>
        <v>14</v>
      </c>
      <c r="BL116" s="19">
        <f>TIME(0,0,0)+105/1440</f>
        <v>7.2916666666666671E-2</v>
      </c>
      <c r="BM116" s="4">
        <f>IFERROR(VLOOKUP(TEXT($B$3,"yyyymmdd")&amp;"_"&amp;TEXT(105,"0000"),RawData!$A$2:$F$1441,5,FALSE),"")</f>
        <v>0</v>
      </c>
      <c r="BN116" s="4">
        <f t="shared" si="2"/>
        <v>0</v>
      </c>
    </row>
    <row r="117" spans="2:66" x14ac:dyDescent="0.6">
      <c r="B117" s="18">
        <v>7</v>
      </c>
      <c r="C117" s="51" t="str">
        <f>IFERROR(
  VLOOKUP(
    VLOOKUP(TEXT($B$3,"yyyymmdd")&amp;"_"&amp;TEXT($B117*60+C$109,"0000"),RawData!$A$2:$G$30000,7,FALSE),
    Mapping!$A$4:$B$9,2,FALSE
  ),
"")</f>
        <v>침실A</v>
      </c>
      <c r="D117" s="51" t="str">
        <f>IFERROR(
  VLOOKUP(
    VLOOKUP(TEXT($B$3,"yyyymmdd")&amp;"_"&amp;TEXT($B117*60+D$109,"0000"),RawData!$A$2:$G$30000,7,FALSE),
    Mapping!$A$4:$B$9,2,FALSE
  ),
"")</f>
        <v>침실A</v>
      </c>
      <c r="E117" s="51" t="str">
        <f>IFERROR(
  VLOOKUP(
    VLOOKUP(TEXT($B$3,"yyyymmdd")&amp;"_"&amp;TEXT($B117*60+E$109,"0000"),RawData!$A$2:$G$30000,7,FALSE),
    Mapping!$A$4:$B$9,2,FALSE
  ),
"")</f>
        <v>침실A</v>
      </c>
      <c r="F117" s="51" t="str">
        <f>IFERROR(
  VLOOKUP(
    VLOOKUP(TEXT($B$3,"yyyymmdd")&amp;"_"&amp;TEXT($B117*60+F$109,"0000"),RawData!$A$2:$G$30000,7,FALSE),
    Mapping!$A$4:$B$9,2,FALSE
  ),
"")</f>
        <v>침실A</v>
      </c>
      <c r="G117" s="51" t="str">
        <f>IFERROR(
  VLOOKUP(
    VLOOKUP(TEXT($B$3,"yyyymmdd")&amp;"_"&amp;TEXT($B117*60+G$109,"0000"),RawData!$A$2:$G$30000,7,FALSE),
    Mapping!$A$4:$B$9,2,FALSE
  ),
"")</f>
        <v>침실A</v>
      </c>
      <c r="H117" s="51" t="str">
        <f>IFERROR(
  VLOOKUP(
    VLOOKUP(TEXT($B$3,"yyyymmdd")&amp;"_"&amp;TEXT($B117*60+H$109,"0000"),RawData!$A$2:$G$30000,7,FALSE),
    Mapping!$A$4:$B$9,2,FALSE
  ),
"")</f>
        <v>침실A</v>
      </c>
      <c r="I117" s="51" t="str">
        <f>IFERROR(
  VLOOKUP(
    VLOOKUP(TEXT($B$3,"yyyymmdd")&amp;"_"&amp;TEXT($B117*60+I$109,"0000"),RawData!$A$2:$G$30000,7,FALSE),
    Mapping!$A$4:$B$9,2,FALSE
  ),
"")</f>
        <v>침실A</v>
      </c>
      <c r="J117" s="51" t="str">
        <f>IFERROR(
  VLOOKUP(
    VLOOKUP(TEXT($B$3,"yyyymmdd")&amp;"_"&amp;TEXT($B117*60+J$109,"0000"),RawData!$A$2:$G$30000,7,FALSE),
    Mapping!$A$4:$B$9,2,FALSE
  ),
"")</f>
        <v>침실A</v>
      </c>
      <c r="K117" s="51" t="str">
        <f>IFERROR(
  VLOOKUP(
    VLOOKUP(TEXT($B$3,"yyyymmdd")&amp;"_"&amp;TEXT($B117*60+K$109,"0000"),RawData!$A$2:$G$30000,7,FALSE),
    Mapping!$A$4:$B$9,2,FALSE
  ),
"")</f>
        <v>침실A</v>
      </c>
      <c r="L117" s="51" t="str">
        <f>IFERROR(
  VLOOKUP(
    VLOOKUP(TEXT($B$3,"yyyymmdd")&amp;"_"&amp;TEXT($B117*60+L$109,"0000"),RawData!$A$2:$G$30000,7,FALSE),
    Mapping!$A$4:$B$9,2,FALSE
  ),
"")</f>
        <v>침실A</v>
      </c>
      <c r="M117" s="51" t="str">
        <f>IFERROR(
  VLOOKUP(
    VLOOKUP(TEXT($B$3,"yyyymmdd")&amp;"_"&amp;TEXT($B117*60+M$109,"0000"),RawData!$A$2:$G$30000,7,FALSE),
    Mapping!$A$4:$B$9,2,FALSE
  ),
"")</f>
        <v>침실A</v>
      </c>
      <c r="N117" s="51" t="str">
        <f>IFERROR(
  VLOOKUP(
    VLOOKUP(TEXT($B$3,"yyyymmdd")&amp;"_"&amp;TEXT($B117*60+N$109,"0000"),RawData!$A$2:$G$30000,7,FALSE),
    Mapping!$A$4:$B$9,2,FALSE
  ),
"")</f>
        <v>침실A</v>
      </c>
      <c r="O117" s="51" t="str">
        <f>IFERROR(
  VLOOKUP(
    VLOOKUP(TEXT($B$3,"yyyymmdd")&amp;"_"&amp;TEXT($B117*60+O$109,"0000"),RawData!$A$2:$G$30000,7,FALSE),
    Mapping!$A$4:$B$9,2,FALSE
  ),
"")</f>
        <v>침실A</v>
      </c>
      <c r="P117" s="51" t="str">
        <f>IFERROR(
  VLOOKUP(
    VLOOKUP(TEXT($B$3,"yyyymmdd")&amp;"_"&amp;TEXT($B117*60+P$109,"0000"),RawData!$A$2:$G$30000,7,FALSE),
    Mapping!$A$4:$B$9,2,FALSE
  ),
"")</f>
        <v>침실A</v>
      </c>
      <c r="Q117" s="51" t="str">
        <f>IFERROR(
  VLOOKUP(
    VLOOKUP(TEXT($B$3,"yyyymmdd")&amp;"_"&amp;TEXT($B117*60+Q$109,"0000"),RawData!$A$2:$G$30000,7,FALSE),
    Mapping!$A$4:$B$9,2,FALSE
  ),
"")</f>
        <v>침실A</v>
      </c>
      <c r="R117" s="51" t="str">
        <f>IFERROR(
  VLOOKUP(
    VLOOKUP(TEXT($B$3,"yyyymmdd")&amp;"_"&amp;TEXT($B117*60+R$109,"0000"),RawData!$A$2:$G$30000,7,FALSE),
    Mapping!$A$4:$B$9,2,FALSE
  ),
"")</f>
        <v>침실A</v>
      </c>
      <c r="S117" s="51" t="str">
        <f>IFERROR(
  VLOOKUP(
    VLOOKUP(TEXT($B$3,"yyyymmdd")&amp;"_"&amp;TEXT($B117*60+S$109,"0000"),RawData!$A$2:$G$30000,7,FALSE),
    Mapping!$A$4:$B$9,2,FALSE
  ),
"")</f>
        <v>침실A</v>
      </c>
      <c r="T117" s="51" t="str">
        <f>IFERROR(
  VLOOKUP(
    VLOOKUP(TEXT($B$3,"yyyymmdd")&amp;"_"&amp;TEXT($B117*60+T$109,"0000"),RawData!$A$2:$G$30000,7,FALSE),
    Mapping!$A$4:$B$9,2,FALSE
  ),
"")</f>
        <v>침실A</v>
      </c>
      <c r="U117" s="51" t="str">
        <f>IFERROR(
  VLOOKUP(
    VLOOKUP(TEXT($B$3,"yyyymmdd")&amp;"_"&amp;TEXT($B117*60+U$109,"0000"),RawData!$A$2:$G$30000,7,FALSE),
    Mapping!$A$4:$B$9,2,FALSE
  ),
"")</f>
        <v>침실A</v>
      </c>
      <c r="V117" s="51" t="str">
        <f>IFERROR(
  VLOOKUP(
    VLOOKUP(TEXT($B$3,"yyyymmdd")&amp;"_"&amp;TEXT($B117*60+V$109,"0000"),RawData!$A$2:$G$30000,7,FALSE),
    Mapping!$A$4:$B$9,2,FALSE
  ),
"")</f>
        <v>침실A</v>
      </c>
      <c r="W117" s="51" t="str">
        <f>IFERROR(
  VLOOKUP(
    VLOOKUP(TEXT($B$3,"yyyymmdd")&amp;"_"&amp;TEXT($B117*60+W$109,"0000"),RawData!$A$2:$G$30000,7,FALSE),
    Mapping!$A$4:$B$9,2,FALSE
  ),
"")</f>
        <v>침실A</v>
      </c>
      <c r="X117" s="51" t="str">
        <f>IFERROR(
  VLOOKUP(
    VLOOKUP(TEXT($B$3,"yyyymmdd")&amp;"_"&amp;TEXT($B117*60+X$109,"0000"),RawData!$A$2:$G$30000,7,FALSE),
    Mapping!$A$4:$B$9,2,FALSE
  ),
"")</f>
        <v>침실A</v>
      </c>
      <c r="Y117" s="51" t="str">
        <f>IFERROR(
  VLOOKUP(
    VLOOKUP(TEXT($B$3,"yyyymmdd")&amp;"_"&amp;TEXT($B117*60+Y$109,"0000"),RawData!$A$2:$G$30000,7,FALSE),
    Mapping!$A$4:$B$9,2,FALSE
  ),
"")</f>
        <v>침실A</v>
      </c>
      <c r="Z117" s="51" t="str">
        <f>IFERROR(
  VLOOKUP(
    VLOOKUP(TEXT($B$3,"yyyymmdd")&amp;"_"&amp;TEXT($B117*60+Z$109,"0000"),RawData!$A$2:$G$30000,7,FALSE),
    Mapping!$A$4:$B$9,2,FALSE
  ),
"")</f>
        <v>침실A</v>
      </c>
      <c r="AA117" s="51" t="str">
        <f>IFERROR(
  VLOOKUP(
    VLOOKUP(TEXT($B$3,"yyyymmdd")&amp;"_"&amp;TEXT($B117*60+AA$109,"0000"),RawData!$A$2:$G$30000,7,FALSE),
    Mapping!$A$4:$B$9,2,FALSE
  ),
"")</f>
        <v>침실A</v>
      </c>
      <c r="AB117" s="51" t="str">
        <f>IFERROR(
  VLOOKUP(
    VLOOKUP(TEXT($B$3,"yyyymmdd")&amp;"_"&amp;TEXT($B117*60+AB$109,"0000"),RawData!$A$2:$G$30000,7,FALSE),
    Mapping!$A$4:$B$9,2,FALSE
  ),
"")</f>
        <v>침실A</v>
      </c>
      <c r="AC117" s="51" t="str">
        <f>IFERROR(
  VLOOKUP(
    VLOOKUP(TEXT($B$3,"yyyymmdd")&amp;"_"&amp;TEXT($B117*60+AC$109,"0000"),RawData!$A$2:$G$30000,7,FALSE),
    Mapping!$A$4:$B$9,2,FALSE
  ),
"")</f>
        <v>침실A</v>
      </c>
      <c r="AD117" s="51" t="str">
        <f>IFERROR(
  VLOOKUP(
    VLOOKUP(TEXT($B$3,"yyyymmdd")&amp;"_"&amp;TEXT($B117*60+AD$109,"0000"),RawData!$A$2:$G$30000,7,FALSE),
    Mapping!$A$4:$B$9,2,FALSE
  ),
"")</f>
        <v>침실A</v>
      </c>
      <c r="AE117" s="51" t="str">
        <f>IFERROR(
  VLOOKUP(
    VLOOKUP(TEXT($B$3,"yyyymmdd")&amp;"_"&amp;TEXT($B117*60+AE$109,"0000"),RawData!$A$2:$G$30000,7,FALSE),
    Mapping!$A$4:$B$9,2,FALSE
  ),
"")</f>
        <v>침실A</v>
      </c>
      <c r="AF117" s="51" t="str">
        <f>IFERROR(
  VLOOKUP(
    VLOOKUP(TEXT($B$3,"yyyymmdd")&amp;"_"&amp;TEXT($B117*60+AF$109,"0000"),RawData!$A$2:$G$30000,7,FALSE),
    Mapping!$A$4:$B$9,2,FALSE
  ),
"")</f>
        <v>침실A</v>
      </c>
      <c r="AG117" s="51" t="str">
        <f>IFERROR(
  VLOOKUP(
    VLOOKUP(TEXT($B$3,"yyyymmdd")&amp;"_"&amp;TEXT($B117*60+AG$109,"0000"),RawData!$A$2:$G$30000,7,FALSE),
    Mapping!$A$4:$B$9,2,FALSE
  ),
"")</f>
        <v>침실A</v>
      </c>
      <c r="AH117" s="51" t="str">
        <f>IFERROR(
  VLOOKUP(
    VLOOKUP(TEXT($B$3,"yyyymmdd")&amp;"_"&amp;TEXT($B117*60+AH$109,"0000"),RawData!$A$2:$G$30000,7,FALSE),
    Mapping!$A$4:$B$9,2,FALSE
  ),
"")</f>
        <v>침실A</v>
      </c>
      <c r="AI117" s="51" t="str">
        <f>IFERROR(
  VLOOKUP(
    VLOOKUP(TEXT($B$3,"yyyymmdd")&amp;"_"&amp;TEXT($B117*60+AI$109,"0000"),RawData!$A$2:$G$30000,7,FALSE),
    Mapping!$A$4:$B$9,2,FALSE
  ),
"")</f>
        <v>침실A</v>
      </c>
      <c r="AJ117" s="51" t="str">
        <f>IFERROR(
  VLOOKUP(
    VLOOKUP(TEXT($B$3,"yyyymmdd")&amp;"_"&amp;TEXT($B117*60+AJ$109,"0000"),RawData!$A$2:$G$30000,7,FALSE),
    Mapping!$A$4:$B$9,2,FALSE
  ),
"")</f>
        <v>침실A</v>
      </c>
      <c r="AK117" s="51" t="str">
        <f>IFERROR(
  VLOOKUP(
    VLOOKUP(TEXT($B$3,"yyyymmdd")&amp;"_"&amp;TEXT($B117*60+AK$109,"0000"),RawData!$A$2:$G$30000,7,FALSE),
    Mapping!$A$4:$B$9,2,FALSE
  ),
"")</f>
        <v>침실A</v>
      </c>
      <c r="AL117" s="51" t="str">
        <f>IFERROR(
  VLOOKUP(
    VLOOKUP(TEXT($B$3,"yyyymmdd")&amp;"_"&amp;TEXT($B117*60+AL$109,"0000"),RawData!$A$2:$G$30000,7,FALSE),
    Mapping!$A$4:$B$9,2,FALSE
  ),
"")</f>
        <v>침실A</v>
      </c>
      <c r="AM117" s="51" t="str">
        <f>IFERROR(
  VLOOKUP(
    VLOOKUP(TEXT($B$3,"yyyymmdd")&amp;"_"&amp;TEXT($B117*60+AM$109,"0000"),RawData!$A$2:$G$30000,7,FALSE),
    Mapping!$A$4:$B$9,2,FALSE
  ),
"")</f>
        <v>침실A</v>
      </c>
      <c r="AN117" s="51" t="str">
        <f>IFERROR(
  VLOOKUP(
    VLOOKUP(TEXT($B$3,"yyyymmdd")&amp;"_"&amp;TEXT($B117*60+AN$109,"0000"),RawData!$A$2:$G$30000,7,FALSE),
    Mapping!$A$4:$B$9,2,FALSE
  ),
"")</f>
        <v>침실A</v>
      </c>
      <c r="AO117" s="51" t="str">
        <f>IFERROR(
  VLOOKUP(
    VLOOKUP(TEXT($B$3,"yyyymmdd")&amp;"_"&amp;TEXT($B117*60+AO$109,"0000"),RawData!$A$2:$G$30000,7,FALSE),
    Mapping!$A$4:$B$9,2,FALSE
  ),
"")</f>
        <v>침실A</v>
      </c>
      <c r="AP117" s="51" t="str">
        <f>IFERROR(
  VLOOKUP(
    VLOOKUP(TEXT($B$3,"yyyymmdd")&amp;"_"&amp;TEXT($B117*60+AP$109,"0000"),RawData!$A$2:$G$30000,7,FALSE),
    Mapping!$A$4:$B$9,2,FALSE
  ),
"")</f>
        <v>침실A</v>
      </c>
      <c r="AQ117" s="51" t="str">
        <f>IFERROR(
  VLOOKUP(
    VLOOKUP(TEXT($B$3,"yyyymmdd")&amp;"_"&amp;TEXT($B117*60+AQ$109,"0000"),RawData!$A$2:$G$30000,7,FALSE),
    Mapping!$A$4:$B$9,2,FALSE
  ),
"")</f>
        <v>침실A</v>
      </c>
      <c r="AR117" s="51" t="str">
        <f>IFERROR(
  VLOOKUP(
    VLOOKUP(TEXT($B$3,"yyyymmdd")&amp;"_"&amp;TEXT($B117*60+AR$109,"0000"),RawData!$A$2:$G$30000,7,FALSE),
    Mapping!$A$4:$B$9,2,FALSE
  ),
"")</f>
        <v>침실A</v>
      </c>
      <c r="AS117" s="51" t="str">
        <f>IFERROR(
  VLOOKUP(
    VLOOKUP(TEXT($B$3,"yyyymmdd")&amp;"_"&amp;TEXT($B117*60+AS$109,"0000"),RawData!$A$2:$G$30000,7,FALSE),
    Mapping!$A$4:$B$9,2,FALSE
  ),
"")</f>
        <v>침실A</v>
      </c>
      <c r="AT117" s="51" t="str">
        <f>IFERROR(
  VLOOKUP(
    VLOOKUP(TEXT($B$3,"yyyymmdd")&amp;"_"&amp;TEXT($B117*60+AT$109,"0000"),RawData!$A$2:$G$30000,7,FALSE),
    Mapping!$A$4:$B$9,2,FALSE
  ),
"")</f>
        <v>침실A</v>
      </c>
      <c r="AU117" s="51" t="str">
        <f>IFERROR(
  VLOOKUP(
    VLOOKUP(TEXT($B$3,"yyyymmdd")&amp;"_"&amp;TEXT($B117*60+AU$109,"0000"),RawData!$A$2:$G$30000,7,FALSE),
    Mapping!$A$4:$B$9,2,FALSE
  ),
"")</f>
        <v>침실A</v>
      </c>
      <c r="AV117" s="51" t="str">
        <f>IFERROR(
  VLOOKUP(
    VLOOKUP(TEXT($B$3,"yyyymmdd")&amp;"_"&amp;TEXT($B117*60+AV$109,"0000"),RawData!$A$2:$G$30000,7,FALSE),
    Mapping!$A$4:$B$9,2,FALSE
  ),
"")</f>
        <v>침실A</v>
      </c>
      <c r="AW117" s="51" t="str">
        <f>IFERROR(
  VLOOKUP(
    VLOOKUP(TEXT($B$3,"yyyymmdd")&amp;"_"&amp;TEXT($B117*60+AW$109,"0000"),RawData!$A$2:$G$30000,7,FALSE),
    Mapping!$A$4:$B$9,2,FALSE
  ),
"")</f>
        <v>침실A</v>
      </c>
      <c r="AX117" s="51" t="str">
        <f>IFERROR(
  VLOOKUP(
    VLOOKUP(TEXT($B$3,"yyyymmdd")&amp;"_"&amp;TEXT($B117*60+AX$109,"0000"),RawData!$A$2:$G$30000,7,FALSE),
    Mapping!$A$4:$B$9,2,FALSE
  ),
"")</f>
        <v>침실A</v>
      </c>
      <c r="AY117" s="51" t="str">
        <f>IFERROR(
  VLOOKUP(
    VLOOKUP(TEXT($B$3,"yyyymmdd")&amp;"_"&amp;TEXT($B117*60+AY$109,"0000"),RawData!$A$2:$G$30000,7,FALSE),
    Mapping!$A$4:$B$9,2,FALSE
  ),
"")</f>
        <v>침실A</v>
      </c>
      <c r="AZ117" s="51" t="str">
        <f>IFERROR(
  VLOOKUP(
    VLOOKUP(TEXT($B$3,"yyyymmdd")&amp;"_"&amp;TEXT($B117*60+AZ$109,"0000"),RawData!$A$2:$G$30000,7,FALSE),
    Mapping!$A$4:$B$9,2,FALSE
  ),
"")</f>
        <v>침실A</v>
      </c>
      <c r="BA117" s="51" t="str">
        <f>IFERROR(
  VLOOKUP(
    VLOOKUP(TEXT($B$3,"yyyymmdd")&amp;"_"&amp;TEXT($B117*60+BA$109,"0000"),RawData!$A$2:$G$30000,7,FALSE),
    Mapping!$A$4:$B$9,2,FALSE
  ),
"")</f>
        <v>침실A</v>
      </c>
      <c r="BB117" s="51" t="str">
        <f>IFERROR(
  VLOOKUP(
    VLOOKUP(TEXT($B$3,"yyyymmdd")&amp;"_"&amp;TEXT($B117*60+BB$109,"0000"),RawData!$A$2:$G$30000,7,FALSE),
    Mapping!$A$4:$B$9,2,FALSE
  ),
"")</f>
        <v>침실A</v>
      </c>
      <c r="BC117" s="51" t="str">
        <f>IFERROR(
  VLOOKUP(
    VLOOKUP(TEXT($B$3,"yyyymmdd")&amp;"_"&amp;TEXT($B117*60+BC$109,"0000"),RawData!$A$2:$G$30000,7,FALSE),
    Mapping!$A$4:$B$9,2,FALSE
  ),
"")</f>
        <v>침실A</v>
      </c>
      <c r="BD117" s="51" t="str">
        <f>IFERROR(
  VLOOKUP(
    VLOOKUP(TEXT($B$3,"yyyymmdd")&amp;"_"&amp;TEXT($B117*60+BD$109,"0000"),RawData!$A$2:$G$30000,7,FALSE),
    Mapping!$A$4:$B$9,2,FALSE
  ),
"")</f>
        <v>침실A</v>
      </c>
      <c r="BE117" s="51" t="str">
        <f>IFERROR(
  VLOOKUP(
    VLOOKUP(TEXT($B$3,"yyyymmdd")&amp;"_"&amp;TEXT($B117*60+BE$109,"0000"),RawData!$A$2:$G$30000,7,FALSE),
    Mapping!$A$4:$B$9,2,FALSE
  ),
"")</f>
        <v>침실A</v>
      </c>
      <c r="BF117" s="51" t="str">
        <f>IFERROR(
  VLOOKUP(
    VLOOKUP(TEXT($B$3,"yyyymmdd")&amp;"_"&amp;TEXT($B117*60+BF$109,"0000"),RawData!$A$2:$G$30000,7,FALSE),
    Mapping!$A$4:$B$9,2,FALSE
  ),
"")</f>
        <v>침실A</v>
      </c>
      <c r="BG117" s="51" t="str">
        <f>IFERROR(
  VLOOKUP(
    VLOOKUP(TEXT($B$3,"yyyymmdd")&amp;"_"&amp;TEXT($B117*60+BG$109,"0000"),RawData!$A$2:$G$30000,7,FALSE),
    Mapping!$A$4:$B$9,2,FALSE
  ),
"")</f>
        <v>침실A</v>
      </c>
      <c r="BH117" s="51" t="str">
        <f>IFERROR(
  VLOOKUP(
    VLOOKUP(TEXT($B$3,"yyyymmdd")&amp;"_"&amp;TEXT($B117*60+BH$109,"0000"),RawData!$A$2:$G$30000,7,FALSE),
    Mapping!$A$4:$B$9,2,FALSE
  ),
"")</f>
        <v>침실A</v>
      </c>
      <c r="BI117" s="51" t="str">
        <f>IFERROR(
  VLOOKUP(
    VLOOKUP(TEXT($B$3,"yyyymmdd")&amp;"_"&amp;TEXT($B117*60+BI$109,"0000"),RawData!$A$2:$G$30000,7,FALSE),
    Mapping!$A$4:$B$9,2,FALSE
  ),
"")</f>
        <v>침실A</v>
      </c>
      <c r="BJ117" s="51" t="str">
        <f>IFERROR(
  VLOOKUP(
    VLOOKUP(TEXT($B$3,"yyyymmdd")&amp;"_"&amp;TEXT($B117*60+BJ$109,"0000"),RawData!$A$2:$G$30000,7,FALSE),
    Mapping!$A$4:$B$9,2,FALSE
  ),
"")</f>
        <v>침실A</v>
      </c>
      <c r="BK117" s="4" t="str">
        <f>IFERROR(VLOOKUP(TEXT($B$3,"yyyymmdd")&amp;"_"&amp;TEXT(106,"0000"),RawData!$A$2:$F$1441,4,FALSE),"")</f>
        <v>00</v>
      </c>
      <c r="BL117" s="19">
        <f>TIME(0,0,0)+106/1440</f>
        <v>7.3611111111111113E-2</v>
      </c>
      <c r="BM117" s="4">
        <f>IFERROR(VLOOKUP(TEXT($B$3,"yyyymmdd")&amp;"_"&amp;TEXT(106,"0000"),RawData!$A$2:$F$1441,5,FALSE),"")</f>
        <v>0</v>
      </c>
      <c r="BN117" s="4">
        <f t="shared" si="2"/>
        <v>1</v>
      </c>
    </row>
    <row r="118" spans="2:66" x14ac:dyDescent="0.6">
      <c r="B118" s="18">
        <v>8</v>
      </c>
      <c r="C118" s="51" t="str">
        <f>IFERROR(
  VLOOKUP(
    VLOOKUP(TEXT($B$3,"yyyymmdd")&amp;"_"&amp;TEXT($B118*60+C$109,"0000"),RawData!$A$2:$G$30000,7,FALSE),
    Mapping!$A$4:$B$9,2,FALSE
  ),
"")</f>
        <v>침실A</v>
      </c>
      <c r="D118" s="51" t="str">
        <f>IFERROR(
  VLOOKUP(
    VLOOKUP(TEXT($B$3,"yyyymmdd")&amp;"_"&amp;TEXT($B118*60+D$109,"0000"),RawData!$A$2:$G$30000,7,FALSE),
    Mapping!$A$4:$B$9,2,FALSE
  ),
"")</f>
        <v>침실A</v>
      </c>
      <c r="E118" s="51" t="str">
        <f>IFERROR(
  VLOOKUP(
    VLOOKUP(TEXT($B$3,"yyyymmdd")&amp;"_"&amp;TEXT($B118*60+E$109,"0000"),RawData!$A$2:$G$30000,7,FALSE),
    Mapping!$A$4:$B$9,2,FALSE
  ),
"")</f>
        <v>침실A</v>
      </c>
      <c r="F118" s="51" t="str">
        <f>IFERROR(
  VLOOKUP(
    VLOOKUP(TEXT($B$3,"yyyymmdd")&amp;"_"&amp;TEXT($B118*60+F$109,"0000"),RawData!$A$2:$G$30000,7,FALSE),
    Mapping!$A$4:$B$9,2,FALSE
  ),
"")</f>
        <v>침실A</v>
      </c>
      <c r="G118" s="51" t="str">
        <f>IFERROR(
  VLOOKUP(
    VLOOKUP(TEXT($B$3,"yyyymmdd")&amp;"_"&amp;TEXT($B118*60+G$109,"0000"),RawData!$A$2:$G$30000,7,FALSE),
    Mapping!$A$4:$B$9,2,FALSE
  ),
"")</f>
        <v>침실A</v>
      </c>
      <c r="H118" s="51" t="str">
        <f>IFERROR(
  VLOOKUP(
    VLOOKUP(TEXT($B$3,"yyyymmdd")&amp;"_"&amp;TEXT($B118*60+H$109,"0000"),RawData!$A$2:$G$30000,7,FALSE),
    Mapping!$A$4:$B$9,2,FALSE
  ),
"")</f>
        <v>침실A</v>
      </c>
      <c r="I118" s="51" t="str">
        <f>IFERROR(
  VLOOKUP(
    VLOOKUP(TEXT($B$3,"yyyymmdd")&amp;"_"&amp;TEXT($B118*60+I$109,"0000"),RawData!$A$2:$G$30000,7,FALSE),
    Mapping!$A$4:$B$9,2,FALSE
  ),
"")</f>
        <v>침실A</v>
      </c>
      <c r="J118" s="51" t="str">
        <f>IFERROR(
  VLOOKUP(
    VLOOKUP(TEXT($B$3,"yyyymmdd")&amp;"_"&amp;TEXT($B118*60+J$109,"0000"),RawData!$A$2:$G$30000,7,FALSE),
    Mapping!$A$4:$B$9,2,FALSE
  ),
"")</f>
        <v>침실A</v>
      </c>
      <c r="K118" s="51" t="str">
        <f>IFERROR(
  VLOOKUP(
    VLOOKUP(TEXT($B$3,"yyyymmdd")&amp;"_"&amp;TEXT($B118*60+K$109,"0000"),RawData!$A$2:$G$30000,7,FALSE),
    Mapping!$A$4:$B$9,2,FALSE
  ),
"")</f>
        <v>침실A</v>
      </c>
      <c r="L118" s="51" t="str">
        <f>IFERROR(
  VLOOKUP(
    VLOOKUP(TEXT($B$3,"yyyymmdd")&amp;"_"&amp;TEXT($B118*60+L$109,"0000"),RawData!$A$2:$G$30000,7,FALSE),
    Mapping!$A$4:$B$9,2,FALSE
  ),
"")</f>
        <v>침실A</v>
      </c>
      <c r="M118" s="51" t="str">
        <f>IFERROR(
  VLOOKUP(
    VLOOKUP(TEXT($B$3,"yyyymmdd")&amp;"_"&amp;TEXT($B118*60+M$109,"0000"),RawData!$A$2:$G$30000,7,FALSE),
    Mapping!$A$4:$B$9,2,FALSE
  ),
"")</f>
        <v>침실A</v>
      </c>
      <c r="N118" s="51" t="str">
        <f>IFERROR(
  VLOOKUP(
    VLOOKUP(TEXT($B$3,"yyyymmdd")&amp;"_"&amp;TEXT($B118*60+N$109,"0000"),RawData!$A$2:$G$30000,7,FALSE),
    Mapping!$A$4:$B$9,2,FALSE
  ),
"")</f>
        <v>침실A</v>
      </c>
      <c r="O118" s="51" t="str">
        <f>IFERROR(
  VLOOKUP(
    VLOOKUP(TEXT($B$3,"yyyymmdd")&amp;"_"&amp;TEXT($B118*60+O$109,"0000"),RawData!$A$2:$G$30000,7,FALSE),
    Mapping!$A$4:$B$9,2,FALSE
  ),
"")</f>
        <v>침실A</v>
      </c>
      <c r="P118" s="51" t="str">
        <f>IFERROR(
  VLOOKUP(
    VLOOKUP(TEXT($B$3,"yyyymmdd")&amp;"_"&amp;TEXT($B118*60+P$109,"0000"),RawData!$A$2:$G$30000,7,FALSE),
    Mapping!$A$4:$B$9,2,FALSE
  ),
"")</f>
        <v>침실A</v>
      </c>
      <c r="Q118" s="51" t="str">
        <f>IFERROR(
  VLOOKUP(
    VLOOKUP(TEXT($B$3,"yyyymmdd")&amp;"_"&amp;TEXT($B118*60+Q$109,"0000"),RawData!$A$2:$G$30000,7,FALSE),
    Mapping!$A$4:$B$9,2,FALSE
  ),
"")</f>
        <v>침실A</v>
      </c>
      <c r="R118" s="51" t="str">
        <f>IFERROR(
  VLOOKUP(
    VLOOKUP(TEXT($B$3,"yyyymmdd")&amp;"_"&amp;TEXT($B118*60+R$109,"0000"),RawData!$A$2:$G$30000,7,FALSE),
    Mapping!$A$4:$B$9,2,FALSE
  ),
"")</f>
        <v>침실A</v>
      </c>
      <c r="S118" s="51" t="str">
        <f>IFERROR(
  VLOOKUP(
    VLOOKUP(TEXT($B$3,"yyyymmdd")&amp;"_"&amp;TEXT($B118*60+S$109,"0000"),RawData!$A$2:$G$30000,7,FALSE),
    Mapping!$A$4:$B$9,2,FALSE
  ),
"")</f>
        <v>침실A</v>
      </c>
      <c r="T118" s="51" t="str">
        <f>IFERROR(
  VLOOKUP(
    VLOOKUP(TEXT($B$3,"yyyymmdd")&amp;"_"&amp;TEXT($B118*60+T$109,"0000"),RawData!$A$2:$G$30000,7,FALSE),
    Mapping!$A$4:$B$9,2,FALSE
  ),
"")</f>
        <v>침실A</v>
      </c>
      <c r="U118" s="51" t="str">
        <f>IFERROR(
  VLOOKUP(
    VLOOKUP(TEXT($B$3,"yyyymmdd")&amp;"_"&amp;TEXT($B118*60+U$109,"0000"),RawData!$A$2:$G$30000,7,FALSE),
    Mapping!$A$4:$B$9,2,FALSE
  ),
"")</f>
        <v>침실A</v>
      </c>
      <c r="V118" s="51" t="str">
        <f>IFERROR(
  VLOOKUP(
    VLOOKUP(TEXT($B$3,"yyyymmdd")&amp;"_"&amp;TEXT($B118*60+V$109,"0000"),RawData!$A$2:$G$30000,7,FALSE),
    Mapping!$A$4:$B$9,2,FALSE
  ),
"")</f>
        <v>침실A</v>
      </c>
      <c r="W118" s="51" t="str">
        <f>IFERROR(
  VLOOKUP(
    VLOOKUP(TEXT($B$3,"yyyymmdd")&amp;"_"&amp;TEXT($B118*60+W$109,"0000"),RawData!$A$2:$G$30000,7,FALSE),
    Mapping!$A$4:$B$9,2,FALSE
  ),
"")</f>
        <v>침실A</v>
      </c>
      <c r="X118" s="51" t="str">
        <f>IFERROR(
  VLOOKUP(
    VLOOKUP(TEXT($B$3,"yyyymmdd")&amp;"_"&amp;TEXT($B118*60+X$109,"0000"),RawData!$A$2:$G$30000,7,FALSE),
    Mapping!$A$4:$B$9,2,FALSE
  ),
"")</f>
        <v>침실A</v>
      </c>
      <c r="Y118" s="51" t="str">
        <f>IFERROR(
  VLOOKUP(
    VLOOKUP(TEXT($B$3,"yyyymmdd")&amp;"_"&amp;TEXT($B118*60+Y$109,"0000"),RawData!$A$2:$G$30000,7,FALSE),
    Mapping!$A$4:$B$9,2,FALSE
  ),
"")</f>
        <v>침실A</v>
      </c>
      <c r="Z118" s="51" t="str">
        <f>IFERROR(
  VLOOKUP(
    VLOOKUP(TEXT($B$3,"yyyymmdd")&amp;"_"&amp;TEXT($B118*60+Z$109,"0000"),RawData!$A$2:$G$30000,7,FALSE),
    Mapping!$A$4:$B$9,2,FALSE
  ),
"")</f>
        <v>침실A</v>
      </c>
      <c r="AA118" s="51" t="str">
        <f>IFERROR(
  VLOOKUP(
    VLOOKUP(TEXT($B$3,"yyyymmdd")&amp;"_"&amp;TEXT($B118*60+AA$109,"0000"),RawData!$A$2:$G$30000,7,FALSE),
    Mapping!$A$4:$B$9,2,FALSE
  ),
"")</f>
        <v>침실A</v>
      </c>
      <c r="AB118" s="51" t="str">
        <f>IFERROR(
  VLOOKUP(
    VLOOKUP(TEXT($B$3,"yyyymmdd")&amp;"_"&amp;TEXT($B118*60+AB$109,"0000"),RawData!$A$2:$G$30000,7,FALSE),
    Mapping!$A$4:$B$9,2,FALSE
  ),
"")</f>
        <v>침실A</v>
      </c>
      <c r="AC118" s="51" t="str">
        <f>IFERROR(
  VLOOKUP(
    VLOOKUP(TEXT($B$3,"yyyymmdd")&amp;"_"&amp;TEXT($B118*60+AC$109,"0000"),RawData!$A$2:$G$30000,7,FALSE),
    Mapping!$A$4:$B$9,2,FALSE
  ),
"")</f>
        <v>침실A</v>
      </c>
      <c r="AD118" s="51" t="str">
        <f>IFERROR(
  VLOOKUP(
    VLOOKUP(TEXT($B$3,"yyyymmdd")&amp;"_"&amp;TEXT($B118*60+AD$109,"0000"),RawData!$A$2:$G$30000,7,FALSE),
    Mapping!$A$4:$B$9,2,FALSE
  ),
"")</f>
        <v>침실A</v>
      </c>
      <c r="AE118" s="51" t="str">
        <f>IFERROR(
  VLOOKUP(
    VLOOKUP(TEXT($B$3,"yyyymmdd")&amp;"_"&amp;TEXT($B118*60+AE$109,"0000"),RawData!$A$2:$G$30000,7,FALSE),
    Mapping!$A$4:$B$9,2,FALSE
  ),
"")</f>
        <v>침실A</v>
      </c>
      <c r="AF118" s="51" t="str">
        <f>IFERROR(
  VLOOKUP(
    VLOOKUP(TEXT($B$3,"yyyymmdd")&amp;"_"&amp;TEXT($B118*60+AF$109,"0000"),RawData!$A$2:$G$30000,7,FALSE),
    Mapping!$A$4:$B$9,2,FALSE
  ),
"")</f>
        <v>침실A</v>
      </c>
      <c r="AG118" s="51" t="str">
        <f>IFERROR(
  VLOOKUP(
    VLOOKUP(TEXT($B$3,"yyyymmdd")&amp;"_"&amp;TEXT($B118*60+AG$109,"0000"),RawData!$A$2:$G$30000,7,FALSE),
    Mapping!$A$4:$B$9,2,FALSE
  ),
"")</f>
        <v>침실A</v>
      </c>
      <c r="AH118" s="51" t="str">
        <f>IFERROR(
  VLOOKUP(
    VLOOKUP(TEXT($B$3,"yyyymmdd")&amp;"_"&amp;TEXT($B118*60+AH$109,"0000"),RawData!$A$2:$G$30000,7,FALSE),
    Mapping!$A$4:$B$9,2,FALSE
  ),
"")</f>
        <v>침실A</v>
      </c>
      <c r="AI118" s="51" t="str">
        <f>IFERROR(
  VLOOKUP(
    VLOOKUP(TEXT($B$3,"yyyymmdd")&amp;"_"&amp;TEXT($B118*60+AI$109,"0000"),RawData!$A$2:$G$30000,7,FALSE),
    Mapping!$A$4:$B$9,2,FALSE
  ),
"")</f>
        <v>침실A</v>
      </c>
      <c r="AJ118" s="51" t="str">
        <f>IFERROR(
  VLOOKUP(
    VLOOKUP(TEXT($B$3,"yyyymmdd")&amp;"_"&amp;TEXT($B118*60+AJ$109,"0000"),RawData!$A$2:$G$30000,7,FALSE),
    Mapping!$A$4:$B$9,2,FALSE
  ),
"")</f>
        <v>침실A</v>
      </c>
      <c r="AK118" s="51" t="str">
        <f>IFERROR(
  VLOOKUP(
    VLOOKUP(TEXT($B$3,"yyyymmdd")&amp;"_"&amp;TEXT($B118*60+AK$109,"0000"),RawData!$A$2:$G$30000,7,FALSE),
    Mapping!$A$4:$B$9,2,FALSE
  ),
"")</f>
        <v>침실A</v>
      </c>
      <c r="AL118" s="51" t="str">
        <f>IFERROR(
  VLOOKUP(
    VLOOKUP(TEXT($B$3,"yyyymmdd")&amp;"_"&amp;TEXT($B118*60+AL$109,"0000"),RawData!$A$2:$G$30000,7,FALSE),
    Mapping!$A$4:$B$9,2,FALSE
  ),
"")</f>
        <v>침실A</v>
      </c>
      <c r="AM118" s="51" t="str">
        <f>IFERROR(
  VLOOKUP(
    VLOOKUP(TEXT($B$3,"yyyymmdd")&amp;"_"&amp;TEXT($B118*60+AM$109,"0000"),RawData!$A$2:$G$30000,7,FALSE),
    Mapping!$A$4:$B$9,2,FALSE
  ),
"")</f>
        <v>침실A</v>
      </c>
      <c r="AN118" s="51" t="str">
        <f>IFERROR(
  VLOOKUP(
    VLOOKUP(TEXT($B$3,"yyyymmdd")&amp;"_"&amp;TEXT($B118*60+AN$109,"0000"),RawData!$A$2:$G$30000,7,FALSE),
    Mapping!$A$4:$B$9,2,FALSE
  ),
"")</f>
        <v>침실A</v>
      </c>
      <c r="AO118" s="51" t="str">
        <f>IFERROR(
  VLOOKUP(
    VLOOKUP(TEXT($B$3,"yyyymmdd")&amp;"_"&amp;TEXT($B118*60+AO$109,"0000"),RawData!$A$2:$G$30000,7,FALSE),
    Mapping!$A$4:$B$9,2,FALSE
  ),
"")</f>
        <v>침실A</v>
      </c>
      <c r="AP118" s="51" t="str">
        <f>IFERROR(
  VLOOKUP(
    VLOOKUP(TEXT($B$3,"yyyymmdd")&amp;"_"&amp;TEXT($B118*60+AP$109,"0000"),RawData!$A$2:$G$30000,7,FALSE),
    Mapping!$A$4:$B$9,2,FALSE
  ),
"")</f>
        <v>침실A</v>
      </c>
      <c r="AQ118" s="51" t="str">
        <f>IFERROR(
  VLOOKUP(
    VLOOKUP(TEXT($B$3,"yyyymmdd")&amp;"_"&amp;TEXT($B118*60+AQ$109,"0000"),RawData!$A$2:$G$30000,7,FALSE),
    Mapping!$A$4:$B$9,2,FALSE
  ),
"")</f>
        <v>침실A</v>
      </c>
      <c r="AR118" s="51" t="str">
        <f>IFERROR(
  VLOOKUP(
    VLOOKUP(TEXT($B$3,"yyyymmdd")&amp;"_"&amp;TEXT($B118*60+AR$109,"0000"),RawData!$A$2:$G$30000,7,FALSE),
    Mapping!$A$4:$B$9,2,FALSE
  ),
"")</f>
        <v>침실A</v>
      </c>
      <c r="AS118" s="51" t="str">
        <f>IFERROR(
  VLOOKUP(
    VLOOKUP(TEXT($B$3,"yyyymmdd")&amp;"_"&amp;TEXT($B118*60+AS$109,"0000"),RawData!$A$2:$G$30000,7,FALSE),
    Mapping!$A$4:$B$9,2,FALSE
  ),
"")</f>
        <v>침실A</v>
      </c>
      <c r="AT118" s="51" t="str">
        <f>IFERROR(
  VLOOKUP(
    VLOOKUP(TEXT($B$3,"yyyymmdd")&amp;"_"&amp;TEXT($B118*60+AT$109,"0000"),RawData!$A$2:$G$30000,7,FALSE),
    Mapping!$A$4:$B$9,2,FALSE
  ),
"")</f>
        <v>침실A</v>
      </c>
      <c r="AU118" s="51" t="str">
        <f>IFERROR(
  VLOOKUP(
    VLOOKUP(TEXT($B$3,"yyyymmdd")&amp;"_"&amp;TEXT($B118*60+AU$109,"0000"),RawData!$A$2:$G$30000,7,FALSE),
    Mapping!$A$4:$B$9,2,FALSE
  ),
"")</f>
        <v>침실A</v>
      </c>
      <c r="AV118" s="51" t="str">
        <f>IFERROR(
  VLOOKUP(
    VLOOKUP(TEXT($B$3,"yyyymmdd")&amp;"_"&amp;TEXT($B118*60+AV$109,"0000"),RawData!$A$2:$G$30000,7,FALSE),
    Mapping!$A$4:$B$9,2,FALSE
  ),
"")</f>
        <v>침실A</v>
      </c>
      <c r="AW118" s="51" t="str">
        <f>IFERROR(
  VLOOKUP(
    VLOOKUP(TEXT($B$3,"yyyymmdd")&amp;"_"&amp;TEXT($B118*60+AW$109,"0000"),RawData!$A$2:$G$30000,7,FALSE),
    Mapping!$A$4:$B$9,2,FALSE
  ),
"")</f>
        <v>침실A</v>
      </c>
      <c r="AX118" s="51" t="str">
        <f>IFERROR(
  VLOOKUP(
    VLOOKUP(TEXT($B$3,"yyyymmdd")&amp;"_"&amp;TEXT($B118*60+AX$109,"0000"),RawData!$A$2:$G$30000,7,FALSE),
    Mapping!$A$4:$B$9,2,FALSE
  ),
"")</f>
        <v>침실A</v>
      </c>
      <c r="AY118" s="51" t="str">
        <f>IFERROR(
  VLOOKUP(
    VLOOKUP(TEXT($B$3,"yyyymmdd")&amp;"_"&amp;TEXT($B118*60+AY$109,"0000"),RawData!$A$2:$G$30000,7,FALSE),
    Mapping!$A$4:$B$9,2,FALSE
  ),
"")</f>
        <v>침실A</v>
      </c>
      <c r="AZ118" s="51" t="str">
        <f>IFERROR(
  VLOOKUP(
    VLOOKUP(TEXT($B$3,"yyyymmdd")&amp;"_"&amp;TEXT($B118*60+AZ$109,"0000"),RawData!$A$2:$G$30000,7,FALSE),
    Mapping!$A$4:$B$9,2,FALSE
  ),
"")</f>
        <v>침실A</v>
      </c>
      <c r="BA118" s="51" t="str">
        <f>IFERROR(
  VLOOKUP(
    VLOOKUP(TEXT($B$3,"yyyymmdd")&amp;"_"&amp;TEXT($B118*60+BA$109,"0000"),RawData!$A$2:$G$30000,7,FALSE),
    Mapping!$A$4:$B$9,2,FALSE
  ),
"")</f>
        <v>침실A</v>
      </c>
      <c r="BB118" s="51" t="str">
        <f>IFERROR(
  VLOOKUP(
    VLOOKUP(TEXT($B$3,"yyyymmdd")&amp;"_"&amp;TEXT($B118*60+BB$109,"0000"),RawData!$A$2:$G$30000,7,FALSE),
    Mapping!$A$4:$B$9,2,FALSE
  ),
"")</f>
        <v>침실A</v>
      </c>
      <c r="BC118" s="51" t="str">
        <f>IFERROR(
  VLOOKUP(
    VLOOKUP(TEXT($B$3,"yyyymmdd")&amp;"_"&amp;TEXT($B118*60+BC$109,"0000"),RawData!$A$2:$G$30000,7,FALSE),
    Mapping!$A$4:$B$9,2,FALSE
  ),
"")</f>
        <v>침실A</v>
      </c>
      <c r="BD118" s="51" t="str">
        <f>IFERROR(
  VLOOKUP(
    VLOOKUP(TEXT($B$3,"yyyymmdd")&amp;"_"&amp;TEXT($B118*60+BD$109,"0000"),RawData!$A$2:$G$30000,7,FALSE),
    Mapping!$A$4:$B$9,2,FALSE
  ),
"")</f>
        <v>침실A</v>
      </c>
      <c r="BE118" s="51" t="str">
        <f>IFERROR(
  VLOOKUP(
    VLOOKUP(TEXT($B$3,"yyyymmdd")&amp;"_"&amp;TEXT($B118*60+BE$109,"0000"),RawData!$A$2:$G$30000,7,FALSE),
    Mapping!$A$4:$B$9,2,FALSE
  ),
"")</f>
        <v>침실A</v>
      </c>
      <c r="BF118" s="51" t="str">
        <f>IFERROR(
  VLOOKUP(
    VLOOKUP(TEXT($B$3,"yyyymmdd")&amp;"_"&amp;TEXT($B118*60+BF$109,"0000"),RawData!$A$2:$G$30000,7,FALSE),
    Mapping!$A$4:$B$9,2,FALSE
  ),
"")</f>
        <v>침실A</v>
      </c>
      <c r="BG118" s="51" t="str">
        <f>IFERROR(
  VLOOKUP(
    VLOOKUP(TEXT($B$3,"yyyymmdd")&amp;"_"&amp;TEXT($B118*60+BG$109,"0000"),RawData!$A$2:$G$30000,7,FALSE),
    Mapping!$A$4:$B$9,2,FALSE
  ),
"")</f>
        <v>침실A</v>
      </c>
      <c r="BH118" s="51" t="str">
        <f>IFERROR(
  VLOOKUP(
    VLOOKUP(TEXT($B$3,"yyyymmdd")&amp;"_"&amp;TEXT($B118*60+BH$109,"0000"),RawData!$A$2:$G$30000,7,FALSE),
    Mapping!$A$4:$B$9,2,FALSE
  ),
"")</f>
        <v>침실A</v>
      </c>
      <c r="BI118" s="51" t="str">
        <f>IFERROR(
  VLOOKUP(
    VLOOKUP(TEXT($B$3,"yyyymmdd")&amp;"_"&amp;TEXT($B118*60+BI$109,"0000"),RawData!$A$2:$G$30000,7,FALSE),
    Mapping!$A$4:$B$9,2,FALSE
  ),
"")</f>
        <v>침실A</v>
      </c>
      <c r="BJ118" s="51" t="str">
        <f>IFERROR(
  VLOOKUP(
    VLOOKUP(TEXT($B$3,"yyyymmdd")&amp;"_"&amp;TEXT($B118*60+BJ$109,"0000"),RawData!$A$2:$G$30000,7,FALSE),
    Mapping!$A$4:$B$9,2,FALSE
  ),
"")</f>
        <v>침실A</v>
      </c>
      <c r="BK118" s="4" t="str">
        <f>IFERROR(VLOOKUP(TEXT($B$3,"yyyymmdd")&amp;"_"&amp;TEXT(107,"0000"),RawData!$A$2:$F$1441,4,FALSE),"")</f>
        <v>00</v>
      </c>
      <c r="BL118" s="19">
        <f>TIME(0,0,0)+107/1440</f>
        <v>7.4305555555555555E-2</v>
      </c>
      <c r="BM118" s="4">
        <f>IFERROR(VLOOKUP(TEXT($B$3,"yyyymmdd")&amp;"_"&amp;TEXT(107,"0000"),RawData!$A$2:$F$1441,5,FALSE),"")</f>
        <v>0</v>
      </c>
      <c r="BN118" s="4">
        <f t="shared" si="2"/>
        <v>1</v>
      </c>
    </row>
    <row r="119" spans="2:66" x14ac:dyDescent="0.6">
      <c r="B119" s="18">
        <v>9</v>
      </c>
      <c r="C119" s="51" t="str">
        <f>IFERROR(
  VLOOKUP(
    VLOOKUP(TEXT($B$3,"yyyymmdd")&amp;"_"&amp;TEXT($B119*60+C$109,"0000"),RawData!$A$2:$G$30000,7,FALSE),
    Mapping!$A$4:$B$9,2,FALSE
  ),
"")</f>
        <v>침실A</v>
      </c>
      <c r="D119" s="51" t="str">
        <f>IFERROR(
  VLOOKUP(
    VLOOKUP(TEXT($B$3,"yyyymmdd")&amp;"_"&amp;TEXT($B119*60+D$109,"0000"),RawData!$A$2:$G$30000,7,FALSE),
    Mapping!$A$4:$B$9,2,FALSE
  ),
"")</f>
        <v>침실A</v>
      </c>
      <c r="E119" s="51" t="str">
        <f>IFERROR(
  VLOOKUP(
    VLOOKUP(TEXT($B$3,"yyyymmdd")&amp;"_"&amp;TEXT($B119*60+E$109,"0000"),RawData!$A$2:$G$30000,7,FALSE),
    Mapping!$A$4:$B$9,2,FALSE
  ),
"")</f>
        <v>침실A</v>
      </c>
      <c r="F119" s="51" t="str">
        <f>IFERROR(
  VLOOKUP(
    VLOOKUP(TEXT($B$3,"yyyymmdd")&amp;"_"&amp;TEXT($B119*60+F$109,"0000"),RawData!$A$2:$G$30000,7,FALSE),
    Mapping!$A$4:$B$9,2,FALSE
  ),
"")</f>
        <v>침실A</v>
      </c>
      <c r="G119" s="51" t="str">
        <f>IFERROR(
  VLOOKUP(
    VLOOKUP(TEXT($B$3,"yyyymmdd")&amp;"_"&amp;TEXT($B119*60+G$109,"0000"),RawData!$A$2:$G$30000,7,FALSE),
    Mapping!$A$4:$B$9,2,FALSE
  ),
"")</f>
        <v>침실A</v>
      </c>
      <c r="H119" s="51" t="str">
        <f>IFERROR(
  VLOOKUP(
    VLOOKUP(TEXT($B$3,"yyyymmdd")&amp;"_"&amp;TEXT($B119*60+H$109,"0000"),RawData!$A$2:$G$30000,7,FALSE),
    Mapping!$A$4:$B$9,2,FALSE
  ),
"")</f>
        <v>침실A</v>
      </c>
      <c r="I119" s="51" t="str">
        <f>IFERROR(
  VLOOKUP(
    VLOOKUP(TEXT($B$3,"yyyymmdd")&amp;"_"&amp;TEXT($B119*60+I$109,"0000"),RawData!$A$2:$G$30000,7,FALSE),
    Mapping!$A$4:$B$9,2,FALSE
  ),
"")</f>
        <v>침실A</v>
      </c>
      <c r="J119" s="51" t="str">
        <f>IFERROR(
  VLOOKUP(
    VLOOKUP(TEXT($B$3,"yyyymmdd")&amp;"_"&amp;TEXT($B119*60+J$109,"0000"),RawData!$A$2:$G$30000,7,FALSE),
    Mapping!$A$4:$B$9,2,FALSE
  ),
"")</f>
        <v>침실A</v>
      </c>
      <c r="K119" s="51" t="str">
        <f>IFERROR(
  VLOOKUP(
    VLOOKUP(TEXT($B$3,"yyyymmdd")&amp;"_"&amp;TEXT($B119*60+K$109,"0000"),RawData!$A$2:$G$30000,7,FALSE),
    Mapping!$A$4:$B$9,2,FALSE
  ),
"")</f>
        <v>침실A</v>
      </c>
      <c r="L119" s="51" t="str">
        <f>IFERROR(
  VLOOKUP(
    VLOOKUP(TEXT($B$3,"yyyymmdd")&amp;"_"&amp;TEXT($B119*60+L$109,"0000"),RawData!$A$2:$G$30000,7,FALSE),
    Mapping!$A$4:$B$9,2,FALSE
  ),
"")</f>
        <v>침실A</v>
      </c>
      <c r="M119" s="51" t="str">
        <f>IFERROR(
  VLOOKUP(
    VLOOKUP(TEXT($B$3,"yyyymmdd")&amp;"_"&amp;TEXT($B119*60+M$109,"0000"),RawData!$A$2:$G$30000,7,FALSE),
    Mapping!$A$4:$B$9,2,FALSE
  ),
"")</f>
        <v>침실A</v>
      </c>
      <c r="N119" s="51" t="str">
        <f>IFERROR(
  VLOOKUP(
    VLOOKUP(TEXT($B$3,"yyyymmdd")&amp;"_"&amp;TEXT($B119*60+N$109,"0000"),RawData!$A$2:$G$30000,7,FALSE),
    Mapping!$A$4:$B$9,2,FALSE
  ),
"")</f>
        <v>침실A</v>
      </c>
      <c r="O119" s="51" t="str">
        <f>IFERROR(
  VLOOKUP(
    VLOOKUP(TEXT($B$3,"yyyymmdd")&amp;"_"&amp;TEXT($B119*60+O$109,"0000"),RawData!$A$2:$G$30000,7,FALSE),
    Mapping!$A$4:$B$9,2,FALSE
  ),
"")</f>
        <v>침실A</v>
      </c>
      <c r="P119" s="51" t="str">
        <f>IFERROR(
  VLOOKUP(
    VLOOKUP(TEXT($B$3,"yyyymmdd")&amp;"_"&amp;TEXT($B119*60+P$109,"0000"),RawData!$A$2:$G$30000,7,FALSE),
    Mapping!$A$4:$B$9,2,FALSE
  ),
"")</f>
        <v>침실A</v>
      </c>
      <c r="Q119" s="51" t="str">
        <f>IFERROR(
  VLOOKUP(
    VLOOKUP(TEXT($B$3,"yyyymmdd")&amp;"_"&amp;TEXT($B119*60+Q$109,"0000"),RawData!$A$2:$G$30000,7,FALSE),
    Mapping!$A$4:$B$9,2,FALSE
  ),
"")</f>
        <v>침실A</v>
      </c>
      <c r="R119" s="51" t="str">
        <f>IFERROR(
  VLOOKUP(
    VLOOKUP(TEXT($B$3,"yyyymmdd")&amp;"_"&amp;TEXT($B119*60+R$109,"0000"),RawData!$A$2:$G$30000,7,FALSE),
    Mapping!$A$4:$B$9,2,FALSE
  ),
"")</f>
        <v>침실A</v>
      </c>
      <c r="S119" s="51" t="str">
        <f>IFERROR(
  VLOOKUP(
    VLOOKUP(TEXT($B$3,"yyyymmdd")&amp;"_"&amp;TEXT($B119*60+S$109,"0000"),RawData!$A$2:$G$30000,7,FALSE),
    Mapping!$A$4:$B$9,2,FALSE
  ),
"")</f>
        <v>침실A</v>
      </c>
      <c r="T119" s="51" t="str">
        <f>IFERROR(
  VLOOKUP(
    VLOOKUP(TEXT($B$3,"yyyymmdd")&amp;"_"&amp;TEXT($B119*60+T$109,"0000"),RawData!$A$2:$G$30000,7,FALSE),
    Mapping!$A$4:$B$9,2,FALSE
  ),
"")</f>
        <v>침실A</v>
      </c>
      <c r="U119" s="51" t="str">
        <f>IFERROR(
  VLOOKUP(
    VLOOKUP(TEXT($B$3,"yyyymmdd")&amp;"_"&amp;TEXT($B119*60+U$109,"0000"),RawData!$A$2:$G$30000,7,FALSE),
    Mapping!$A$4:$B$9,2,FALSE
  ),
"")</f>
        <v>침실A</v>
      </c>
      <c r="V119" s="51" t="str">
        <f>IFERROR(
  VLOOKUP(
    VLOOKUP(TEXT($B$3,"yyyymmdd")&amp;"_"&amp;TEXT($B119*60+V$109,"0000"),RawData!$A$2:$G$30000,7,FALSE),
    Mapping!$A$4:$B$9,2,FALSE
  ),
"")</f>
        <v>침실A</v>
      </c>
      <c r="W119" s="51" t="str">
        <f>IFERROR(
  VLOOKUP(
    VLOOKUP(TEXT($B$3,"yyyymmdd")&amp;"_"&amp;TEXT($B119*60+W$109,"0000"),RawData!$A$2:$G$30000,7,FALSE),
    Mapping!$A$4:$B$9,2,FALSE
  ),
"")</f>
        <v>침실A</v>
      </c>
      <c r="X119" s="51" t="str">
        <f>IFERROR(
  VLOOKUP(
    VLOOKUP(TEXT($B$3,"yyyymmdd")&amp;"_"&amp;TEXT($B119*60+X$109,"0000"),RawData!$A$2:$G$30000,7,FALSE),
    Mapping!$A$4:$B$9,2,FALSE
  ),
"")</f>
        <v>침실A</v>
      </c>
      <c r="Y119" s="51" t="str">
        <f>IFERROR(
  VLOOKUP(
    VLOOKUP(TEXT($B$3,"yyyymmdd")&amp;"_"&amp;TEXT($B119*60+Y$109,"0000"),RawData!$A$2:$G$30000,7,FALSE),
    Mapping!$A$4:$B$9,2,FALSE
  ),
"")</f>
        <v>침실A</v>
      </c>
      <c r="Z119" s="51" t="str">
        <f>IFERROR(
  VLOOKUP(
    VLOOKUP(TEXT($B$3,"yyyymmdd")&amp;"_"&amp;TEXT($B119*60+Z$109,"0000"),RawData!$A$2:$G$30000,7,FALSE),
    Mapping!$A$4:$B$9,2,FALSE
  ),
"")</f>
        <v>침실A</v>
      </c>
      <c r="AA119" s="51" t="str">
        <f>IFERROR(
  VLOOKUP(
    VLOOKUP(TEXT($B$3,"yyyymmdd")&amp;"_"&amp;TEXT($B119*60+AA$109,"0000"),RawData!$A$2:$G$30000,7,FALSE),
    Mapping!$A$4:$B$9,2,FALSE
  ),
"")</f>
        <v>침실A</v>
      </c>
      <c r="AB119" s="51" t="str">
        <f>IFERROR(
  VLOOKUP(
    VLOOKUP(TEXT($B$3,"yyyymmdd")&amp;"_"&amp;TEXT($B119*60+AB$109,"0000"),RawData!$A$2:$G$30000,7,FALSE),
    Mapping!$A$4:$B$9,2,FALSE
  ),
"")</f>
        <v>침실A</v>
      </c>
      <c r="AC119" s="51" t="str">
        <f>IFERROR(
  VLOOKUP(
    VLOOKUP(TEXT($B$3,"yyyymmdd")&amp;"_"&amp;TEXT($B119*60+AC$109,"0000"),RawData!$A$2:$G$30000,7,FALSE),
    Mapping!$A$4:$B$9,2,FALSE
  ),
"")</f>
        <v>침실A</v>
      </c>
      <c r="AD119" s="51" t="str">
        <f>IFERROR(
  VLOOKUP(
    VLOOKUP(TEXT($B$3,"yyyymmdd")&amp;"_"&amp;TEXT($B119*60+AD$109,"0000"),RawData!$A$2:$G$30000,7,FALSE),
    Mapping!$A$4:$B$9,2,FALSE
  ),
"")</f>
        <v>침실A</v>
      </c>
      <c r="AE119" s="51" t="str">
        <f>IFERROR(
  VLOOKUP(
    VLOOKUP(TEXT($B$3,"yyyymmdd")&amp;"_"&amp;TEXT($B119*60+AE$109,"0000"),RawData!$A$2:$G$30000,7,FALSE),
    Mapping!$A$4:$B$9,2,FALSE
  ),
"")</f>
        <v>거실A</v>
      </c>
      <c r="AF119" s="51" t="str">
        <f>IFERROR(
  VLOOKUP(
    VLOOKUP(TEXT($B$3,"yyyymmdd")&amp;"_"&amp;TEXT($B119*60+AF$109,"0000"),RawData!$A$2:$G$30000,7,FALSE),
    Mapping!$A$4:$B$9,2,FALSE
  ),
"")</f>
        <v>주방</v>
      </c>
      <c r="AG119" s="51" t="str">
        <f>IFERROR(
  VLOOKUP(
    VLOOKUP(TEXT($B$3,"yyyymmdd")&amp;"_"&amp;TEXT($B119*60+AG$109,"0000"),RawData!$A$2:$G$30000,7,FALSE),
    Mapping!$A$4:$B$9,2,FALSE
  ),
"")</f>
        <v>화장실</v>
      </c>
      <c r="AH119" s="51" t="str">
        <f>IFERROR(
  VLOOKUP(
    VLOOKUP(TEXT($B$3,"yyyymmdd")&amp;"_"&amp;TEXT($B119*60+AH$109,"0000"),RawData!$A$2:$G$30000,7,FALSE),
    Mapping!$A$4:$B$9,2,FALSE
  ),
"")</f>
        <v>화장실</v>
      </c>
      <c r="AI119" s="51" t="str">
        <f>IFERROR(
  VLOOKUP(
    VLOOKUP(TEXT($B$3,"yyyymmdd")&amp;"_"&amp;TEXT($B119*60+AI$109,"0000"),RawData!$A$2:$G$30000,7,FALSE),
    Mapping!$A$4:$B$9,2,FALSE
  ),
"")</f>
        <v>화장실</v>
      </c>
      <c r="AJ119" s="51" t="str">
        <f>IFERROR(
  VLOOKUP(
    VLOOKUP(TEXT($B$3,"yyyymmdd")&amp;"_"&amp;TEXT($B119*60+AJ$109,"0000"),RawData!$A$2:$G$30000,7,FALSE),
    Mapping!$A$4:$B$9,2,FALSE
  ),
"")</f>
        <v>화장실</v>
      </c>
      <c r="AK119" s="51" t="str">
        <f>IFERROR(
  VLOOKUP(
    VLOOKUP(TEXT($B$3,"yyyymmdd")&amp;"_"&amp;TEXT($B119*60+AK$109,"0000"),RawData!$A$2:$G$30000,7,FALSE),
    Mapping!$A$4:$B$9,2,FALSE
  ),
"")</f>
        <v>화장실</v>
      </c>
      <c r="AL119" s="51" t="str">
        <f>IFERROR(
  VLOOKUP(
    VLOOKUP(TEXT($B$3,"yyyymmdd")&amp;"_"&amp;TEXT($B119*60+AL$109,"0000"),RawData!$A$2:$G$30000,7,FALSE),
    Mapping!$A$4:$B$9,2,FALSE
  ),
"")</f>
        <v>화장실</v>
      </c>
      <c r="AM119" s="51" t="str">
        <f>IFERROR(
  VLOOKUP(
    VLOOKUP(TEXT($B$3,"yyyymmdd")&amp;"_"&amp;TEXT($B119*60+AM$109,"0000"),RawData!$A$2:$G$30000,7,FALSE),
    Mapping!$A$4:$B$9,2,FALSE
  ),
"")</f>
        <v>화장실</v>
      </c>
      <c r="AN119" s="51" t="str">
        <f>IFERROR(
  VLOOKUP(
    VLOOKUP(TEXT($B$3,"yyyymmdd")&amp;"_"&amp;TEXT($B119*60+AN$109,"0000"),RawData!$A$2:$G$30000,7,FALSE),
    Mapping!$A$4:$B$9,2,FALSE
  ),
"")</f>
        <v>화장실</v>
      </c>
      <c r="AO119" s="51" t="str">
        <f>IFERROR(
  VLOOKUP(
    VLOOKUP(TEXT($B$3,"yyyymmdd")&amp;"_"&amp;TEXT($B119*60+AO$109,"0000"),RawData!$A$2:$G$30000,7,FALSE),
    Mapping!$A$4:$B$9,2,FALSE
  ),
"")</f>
        <v>화장실</v>
      </c>
      <c r="AP119" s="51" t="str">
        <f>IFERROR(
  VLOOKUP(
    VLOOKUP(TEXT($B$3,"yyyymmdd")&amp;"_"&amp;TEXT($B119*60+AP$109,"0000"),RawData!$A$2:$G$30000,7,FALSE),
    Mapping!$A$4:$B$9,2,FALSE
  ),
"")</f>
        <v>화장실</v>
      </c>
      <c r="AQ119" s="51" t="str">
        <f>IFERROR(
  VLOOKUP(
    VLOOKUP(TEXT($B$3,"yyyymmdd")&amp;"_"&amp;TEXT($B119*60+AQ$109,"0000"),RawData!$A$2:$G$30000,7,FALSE),
    Mapping!$A$4:$B$9,2,FALSE
  ),
"")</f>
        <v>화장실</v>
      </c>
      <c r="AR119" s="51" t="str">
        <f>IFERROR(
  VLOOKUP(
    VLOOKUP(TEXT($B$3,"yyyymmdd")&amp;"_"&amp;TEXT($B119*60+AR$109,"0000"),RawData!$A$2:$G$30000,7,FALSE),
    Mapping!$A$4:$B$9,2,FALSE
  ),
"")</f>
        <v>화장실</v>
      </c>
      <c r="AS119" s="51" t="str">
        <f>IFERROR(
  VLOOKUP(
    VLOOKUP(TEXT($B$3,"yyyymmdd")&amp;"_"&amp;TEXT($B119*60+AS$109,"0000"),RawData!$A$2:$G$30000,7,FALSE),
    Mapping!$A$4:$B$9,2,FALSE
  ),
"")</f>
        <v>화장실</v>
      </c>
      <c r="AT119" s="51" t="str">
        <f>IFERROR(
  VLOOKUP(
    VLOOKUP(TEXT($B$3,"yyyymmdd")&amp;"_"&amp;TEXT($B119*60+AT$109,"0000"),RawData!$A$2:$G$30000,7,FALSE),
    Mapping!$A$4:$B$9,2,FALSE
  ),
"")</f>
        <v>화장실</v>
      </c>
      <c r="AU119" s="51" t="str">
        <f>IFERROR(
  VLOOKUP(
    VLOOKUP(TEXT($B$3,"yyyymmdd")&amp;"_"&amp;TEXT($B119*60+AU$109,"0000"),RawData!$A$2:$G$30000,7,FALSE),
    Mapping!$A$4:$B$9,2,FALSE
  ),
"")</f>
        <v>침실A</v>
      </c>
      <c r="AV119" s="51" t="str">
        <f>IFERROR(
  VLOOKUP(
    VLOOKUP(TEXT($B$3,"yyyymmdd")&amp;"_"&amp;TEXT($B119*60+AV$109,"0000"),RawData!$A$2:$G$30000,7,FALSE),
    Mapping!$A$4:$B$9,2,FALSE
  ),
"")</f>
        <v>침실A</v>
      </c>
      <c r="AW119" s="51" t="str">
        <f>IFERROR(
  VLOOKUP(
    VLOOKUP(TEXT($B$3,"yyyymmdd")&amp;"_"&amp;TEXT($B119*60+AW$109,"0000"),RawData!$A$2:$G$30000,7,FALSE),
    Mapping!$A$4:$B$9,2,FALSE
  ),
"")</f>
        <v>주방</v>
      </c>
      <c r="AX119" s="51" t="str">
        <f>IFERROR(
  VLOOKUP(
    VLOOKUP(TEXT($B$3,"yyyymmdd")&amp;"_"&amp;TEXT($B119*60+AX$109,"0000"),RawData!$A$2:$G$30000,7,FALSE),
    Mapping!$A$4:$B$9,2,FALSE
  ),
"")</f>
        <v>침실A</v>
      </c>
      <c r="AY119" s="51" t="str">
        <f>IFERROR(
  VLOOKUP(
    VLOOKUP(TEXT($B$3,"yyyymmdd")&amp;"_"&amp;TEXT($B119*60+AY$109,"0000"),RawData!$A$2:$G$30000,7,FALSE),
    Mapping!$A$4:$B$9,2,FALSE
  ),
"")</f>
        <v>침실A</v>
      </c>
      <c r="AZ119" s="51" t="str">
        <f>IFERROR(
  VLOOKUP(
    VLOOKUP(TEXT($B$3,"yyyymmdd")&amp;"_"&amp;TEXT($B119*60+AZ$109,"0000"),RawData!$A$2:$G$30000,7,FALSE),
    Mapping!$A$4:$B$9,2,FALSE
  ),
"")</f>
        <v>화장실</v>
      </c>
      <c r="BA119" s="51" t="str">
        <f>IFERROR(
  VLOOKUP(
    VLOOKUP(TEXT($B$3,"yyyymmdd")&amp;"_"&amp;TEXT($B119*60+BA$109,"0000"),RawData!$A$2:$G$30000,7,FALSE),
    Mapping!$A$4:$B$9,2,FALSE
  ),
"")</f>
        <v>화장실</v>
      </c>
      <c r="BB119" s="51" t="str">
        <f>IFERROR(
  VLOOKUP(
    VLOOKUP(TEXT($B$3,"yyyymmdd")&amp;"_"&amp;TEXT($B119*60+BB$109,"0000"),RawData!$A$2:$G$30000,7,FALSE),
    Mapping!$A$4:$B$9,2,FALSE
  ),
"")</f>
        <v>화장실</v>
      </c>
      <c r="BC119" s="51" t="str">
        <f>IFERROR(
  VLOOKUP(
    VLOOKUP(TEXT($B$3,"yyyymmdd")&amp;"_"&amp;TEXT($B119*60+BC$109,"0000"),RawData!$A$2:$G$30000,7,FALSE),
    Mapping!$A$4:$B$9,2,FALSE
  ),
"")</f>
        <v>화장실</v>
      </c>
      <c r="BD119" s="51" t="str">
        <f>IFERROR(
  VLOOKUP(
    VLOOKUP(TEXT($B$3,"yyyymmdd")&amp;"_"&amp;TEXT($B119*60+BD$109,"0000"),RawData!$A$2:$G$30000,7,FALSE),
    Mapping!$A$4:$B$9,2,FALSE
  ),
"")</f>
        <v>화장실</v>
      </c>
      <c r="BE119" s="51" t="str">
        <f>IFERROR(
  VLOOKUP(
    VLOOKUP(TEXT($B$3,"yyyymmdd")&amp;"_"&amp;TEXT($B119*60+BE$109,"0000"),RawData!$A$2:$G$30000,7,FALSE),
    Mapping!$A$4:$B$9,2,FALSE
  ),
"")</f>
        <v>화장실</v>
      </c>
      <c r="BF119" s="51" t="str">
        <f>IFERROR(
  VLOOKUP(
    VLOOKUP(TEXT($B$3,"yyyymmdd")&amp;"_"&amp;TEXT($B119*60+BF$109,"0000"),RawData!$A$2:$G$30000,7,FALSE),
    Mapping!$A$4:$B$9,2,FALSE
  ),
"")</f>
        <v>화장실</v>
      </c>
      <c r="BG119" s="51" t="str">
        <f>IFERROR(
  VLOOKUP(
    VLOOKUP(TEXT($B$3,"yyyymmdd")&amp;"_"&amp;TEXT($B119*60+BG$109,"0000"),RawData!$A$2:$G$30000,7,FALSE),
    Mapping!$A$4:$B$9,2,FALSE
  ),
"")</f>
        <v>화장실</v>
      </c>
      <c r="BH119" s="51" t="str">
        <f>IFERROR(
  VLOOKUP(
    VLOOKUP(TEXT($B$3,"yyyymmdd")&amp;"_"&amp;TEXT($B119*60+BH$109,"0000"),RawData!$A$2:$G$30000,7,FALSE),
    Mapping!$A$4:$B$9,2,FALSE
  ),
"")</f>
        <v>화장실</v>
      </c>
      <c r="BI119" s="51" t="str">
        <f>IFERROR(
  VLOOKUP(
    VLOOKUP(TEXT($B$3,"yyyymmdd")&amp;"_"&amp;TEXT($B119*60+BI$109,"0000"),RawData!$A$2:$G$30000,7,FALSE),
    Mapping!$A$4:$B$9,2,FALSE
  ),
"")</f>
        <v>화장실</v>
      </c>
      <c r="BJ119" s="51" t="str">
        <f>IFERROR(
  VLOOKUP(
    VLOOKUP(TEXT($B$3,"yyyymmdd")&amp;"_"&amp;TEXT($B119*60+BJ$109,"0000"),RawData!$A$2:$G$30000,7,FALSE),
    Mapping!$A$4:$B$9,2,FALSE
  ),
"")</f>
        <v>화장실</v>
      </c>
      <c r="BK119" s="4" t="str">
        <f>IFERROR(VLOOKUP(TEXT($B$3,"yyyymmdd")&amp;"_"&amp;TEXT(108,"0000"),RawData!$A$2:$F$1441,4,FALSE),"")</f>
        <v>00</v>
      </c>
      <c r="BL119" s="19">
        <f>TIME(0,0,0)+108/1440</f>
        <v>7.4999999999999997E-2</v>
      </c>
      <c r="BM119" s="4">
        <f>IFERROR(VLOOKUP(TEXT($B$3,"yyyymmdd")&amp;"_"&amp;TEXT(108,"0000"),RawData!$A$2:$F$1441,5,FALSE),"")</f>
        <v>0</v>
      </c>
      <c r="BN119" s="4">
        <f t="shared" si="2"/>
        <v>0</v>
      </c>
    </row>
    <row r="120" spans="2:66" x14ac:dyDescent="0.6">
      <c r="B120" s="18">
        <v>10</v>
      </c>
      <c r="C120" s="51" t="str">
        <f>IFERROR(
  VLOOKUP(
    VLOOKUP(TEXT($B$3,"yyyymmdd")&amp;"_"&amp;TEXT($B120*60+C$109,"0000"),RawData!$A$2:$G$30000,7,FALSE),
    Mapping!$A$4:$B$9,2,FALSE
  ),
"")</f>
        <v>화장실</v>
      </c>
      <c r="D120" s="51" t="str">
        <f>IFERROR(
  VLOOKUP(
    VLOOKUP(TEXT($B$3,"yyyymmdd")&amp;"_"&amp;TEXT($B120*60+D$109,"0000"),RawData!$A$2:$G$30000,7,FALSE),
    Mapping!$A$4:$B$9,2,FALSE
  ),
"")</f>
        <v>주방</v>
      </c>
      <c r="E120" s="51" t="str">
        <f>IFERROR(
  VLOOKUP(
    VLOOKUP(TEXT($B$3,"yyyymmdd")&amp;"_"&amp;TEXT($B120*60+E$109,"0000"),RawData!$A$2:$G$30000,7,FALSE),
    Mapping!$A$4:$B$9,2,FALSE
  ),
"")</f>
        <v>침실A</v>
      </c>
      <c r="F120" s="51" t="str">
        <f>IFERROR(
  VLOOKUP(
    VLOOKUP(TEXT($B$3,"yyyymmdd")&amp;"_"&amp;TEXT($B120*60+F$109,"0000"),RawData!$A$2:$G$30000,7,FALSE),
    Mapping!$A$4:$B$9,2,FALSE
  ),
"")</f>
        <v>침실A</v>
      </c>
      <c r="G120" s="51" t="str">
        <f>IFERROR(
  VLOOKUP(
    VLOOKUP(TEXT($B$3,"yyyymmdd")&amp;"_"&amp;TEXT($B120*60+G$109,"0000"),RawData!$A$2:$G$30000,7,FALSE),
    Mapping!$A$4:$B$9,2,FALSE
  ),
"")</f>
        <v>침실A</v>
      </c>
      <c r="H120" s="51" t="str">
        <f>IFERROR(
  VLOOKUP(
    VLOOKUP(TEXT($B$3,"yyyymmdd")&amp;"_"&amp;TEXT($B120*60+H$109,"0000"),RawData!$A$2:$G$30000,7,FALSE),
    Mapping!$A$4:$B$9,2,FALSE
  ),
"")</f>
        <v>침실A</v>
      </c>
      <c r="I120" s="51" t="str">
        <f>IFERROR(
  VLOOKUP(
    VLOOKUP(TEXT($B$3,"yyyymmdd")&amp;"_"&amp;TEXT($B120*60+I$109,"0000"),RawData!$A$2:$G$30000,7,FALSE),
    Mapping!$A$4:$B$9,2,FALSE
  ),
"")</f>
        <v>침실A</v>
      </c>
      <c r="J120" s="51" t="str">
        <f>IFERROR(
  VLOOKUP(
    VLOOKUP(TEXT($B$3,"yyyymmdd")&amp;"_"&amp;TEXT($B120*60+J$109,"0000"),RawData!$A$2:$G$30000,7,FALSE),
    Mapping!$A$4:$B$9,2,FALSE
  ),
"")</f>
        <v>침실A</v>
      </c>
      <c r="K120" s="51" t="str">
        <f>IFERROR(
  VLOOKUP(
    VLOOKUP(TEXT($B$3,"yyyymmdd")&amp;"_"&amp;TEXT($B120*60+K$109,"0000"),RawData!$A$2:$G$30000,7,FALSE),
    Mapping!$A$4:$B$9,2,FALSE
  ),
"")</f>
        <v>침실A</v>
      </c>
      <c r="L120" s="51" t="str">
        <f>IFERROR(
  VLOOKUP(
    VLOOKUP(TEXT($B$3,"yyyymmdd")&amp;"_"&amp;TEXT($B120*60+L$109,"0000"),RawData!$A$2:$G$30000,7,FALSE),
    Mapping!$A$4:$B$9,2,FALSE
  ),
"")</f>
        <v>침실A</v>
      </c>
      <c r="M120" s="51" t="str">
        <f>IFERROR(
  VLOOKUP(
    VLOOKUP(TEXT($B$3,"yyyymmdd")&amp;"_"&amp;TEXT($B120*60+M$109,"0000"),RawData!$A$2:$G$30000,7,FALSE),
    Mapping!$A$4:$B$9,2,FALSE
  ),
"")</f>
        <v>침실A</v>
      </c>
      <c r="N120" s="51" t="str">
        <f>IFERROR(
  VLOOKUP(
    VLOOKUP(TEXT($B$3,"yyyymmdd")&amp;"_"&amp;TEXT($B120*60+N$109,"0000"),RawData!$A$2:$G$30000,7,FALSE),
    Mapping!$A$4:$B$9,2,FALSE
  ),
"")</f>
        <v>거실A</v>
      </c>
      <c r="O120" s="51" t="str">
        <f>IFERROR(
  VLOOKUP(
    VLOOKUP(TEXT($B$3,"yyyymmdd")&amp;"_"&amp;TEXT($B120*60+O$109,"0000"),RawData!$A$2:$G$30000,7,FALSE),
    Mapping!$A$4:$B$9,2,FALSE
  ),
"")</f>
        <v>주방</v>
      </c>
      <c r="P120" s="51" t="str">
        <f>IFERROR(
  VLOOKUP(
    VLOOKUP(TEXT($B$3,"yyyymmdd")&amp;"_"&amp;TEXT($B120*60+P$109,"0000"),RawData!$A$2:$G$30000,7,FALSE),
    Mapping!$A$4:$B$9,2,FALSE
  ),
"")</f>
        <v>주방</v>
      </c>
      <c r="Q120" s="51" t="str">
        <f>IFERROR(
  VLOOKUP(
    VLOOKUP(TEXT($B$3,"yyyymmdd")&amp;"_"&amp;TEXT($B120*60+Q$109,"0000"),RawData!$A$2:$G$30000,7,FALSE),
    Mapping!$A$4:$B$9,2,FALSE
  ),
"")</f>
        <v>거실A</v>
      </c>
      <c r="R120" s="51" t="str">
        <f>IFERROR(
  VLOOKUP(
    VLOOKUP(TEXT($B$3,"yyyymmdd")&amp;"_"&amp;TEXT($B120*60+R$109,"0000"),RawData!$A$2:$G$30000,7,FALSE),
    Mapping!$A$4:$B$9,2,FALSE
  ),
"")</f>
        <v>거실A</v>
      </c>
      <c r="S120" s="51" t="str">
        <f>IFERROR(
  VLOOKUP(
    VLOOKUP(TEXT($B$3,"yyyymmdd")&amp;"_"&amp;TEXT($B120*60+S$109,"0000"),RawData!$A$2:$G$30000,7,FALSE),
    Mapping!$A$4:$B$9,2,FALSE
  ),
"")</f>
        <v>거실A</v>
      </c>
      <c r="T120" s="51" t="str">
        <f>IFERROR(
  VLOOKUP(
    VLOOKUP(TEXT($B$3,"yyyymmdd")&amp;"_"&amp;TEXT($B120*60+T$109,"0000"),RawData!$A$2:$G$30000,7,FALSE),
    Mapping!$A$4:$B$9,2,FALSE
  ),
"")</f>
        <v>거실A</v>
      </c>
      <c r="U120" s="51" t="str">
        <f>IFERROR(
  VLOOKUP(
    VLOOKUP(TEXT($B$3,"yyyymmdd")&amp;"_"&amp;TEXT($B120*60+U$109,"0000"),RawData!$A$2:$G$30000,7,FALSE),
    Mapping!$A$4:$B$9,2,FALSE
  ),
"")</f>
        <v>거실A</v>
      </c>
      <c r="V120" s="51" t="str">
        <f>IFERROR(
  VLOOKUP(
    VLOOKUP(TEXT($B$3,"yyyymmdd")&amp;"_"&amp;TEXT($B120*60+V$109,"0000"),RawData!$A$2:$G$30000,7,FALSE),
    Mapping!$A$4:$B$9,2,FALSE
  ),
"")</f>
        <v>거실A</v>
      </c>
      <c r="W120" s="51" t="str">
        <f>IFERROR(
  VLOOKUP(
    VLOOKUP(TEXT($B$3,"yyyymmdd")&amp;"_"&amp;TEXT($B120*60+W$109,"0000"),RawData!$A$2:$G$30000,7,FALSE),
    Mapping!$A$4:$B$9,2,FALSE
  ),
"")</f>
        <v>거실A</v>
      </c>
      <c r="X120" s="51" t="str">
        <f>IFERROR(
  VLOOKUP(
    VLOOKUP(TEXT($B$3,"yyyymmdd")&amp;"_"&amp;TEXT($B120*60+X$109,"0000"),RawData!$A$2:$G$30000,7,FALSE),
    Mapping!$A$4:$B$9,2,FALSE
  ),
"")</f>
        <v>거실A</v>
      </c>
      <c r="Y120" s="51" t="str">
        <f>IFERROR(
  VLOOKUP(
    VLOOKUP(TEXT($B$3,"yyyymmdd")&amp;"_"&amp;TEXT($B120*60+Y$109,"0000"),RawData!$A$2:$G$30000,7,FALSE),
    Mapping!$A$4:$B$9,2,FALSE
  ),
"")</f>
        <v>거실A</v>
      </c>
      <c r="Z120" s="51" t="str">
        <f>IFERROR(
  VLOOKUP(
    VLOOKUP(TEXT($B$3,"yyyymmdd")&amp;"_"&amp;TEXT($B120*60+Z$109,"0000"),RawData!$A$2:$G$30000,7,FALSE),
    Mapping!$A$4:$B$9,2,FALSE
  ),
"")</f>
        <v>거실A</v>
      </c>
      <c r="AA120" s="51" t="str">
        <f>IFERROR(
  VLOOKUP(
    VLOOKUP(TEXT($B$3,"yyyymmdd")&amp;"_"&amp;TEXT($B120*60+AA$109,"0000"),RawData!$A$2:$G$30000,7,FALSE),
    Mapping!$A$4:$B$9,2,FALSE
  ),
"")</f>
        <v>거실A</v>
      </c>
      <c r="AB120" s="51" t="str">
        <f>IFERROR(
  VLOOKUP(
    VLOOKUP(TEXT($B$3,"yyyymmdd")&amp;"_"&amp;TEXT($B120*60+AB$109,"0000"),RawData!$A$2:$G$30000,7,FALSE),
    Mapping!$A$4:$B$9,2,FALSE
  ),
"")</f>
        <v>침실B</v>
      </c>
      <c r="AC120" s="51" t="str">
        <f>IFERROR(
  VLOOKUP(
    VLOOKUP(TEXT($B$3,"yyyymmdd")&amp;"_"&amp;TEXT($B120*60+AC$109,"0000"),RawData!$A$2:$G$30000,7,FALSE),
    Mapping!$A$4:$B$9,2,FALSE
  ),
"")</f>
        <v>침실A</v>
      </c>
      <c r="AD120" s="51" t="str">
        <f>IFERROR(
  VLOOKUP(
    VLOOKUP(TEXT($B$3,"yyyymmdd")&amp;"_"&amp;TEXT($B120*60+AD$109,"0000"),RawData!$A$2:$G$30000,7,FALSE),
    Mapping!$A$4:$B$9,2,FALSE
  ),
"")</f>
        <v>주방</v>
      </c>
      <c r="AE120" s="51" t="str">
        <f>IFERROR(
  VLOOKUP(
    VLOOKUP(TEXT($B$3,"yyyymmdd")&amp;"_"&amp;TEXT($B120*60+AE$109,"0000"),RawData!$A$2:$G$30000,7,FALSE),
    Mapping!$A$4:$B$9,2,FALSE
  ),
"")</f>
        <v>주방</v>
      </c>
      <c r="AF120" s="51" t="str">
        <f>IFERROR(
  VLOOKUP(
    VLOOKUP(TEXT($B$3,"yyyymmdd")&amp;"_"&amp;TEXT($B120*60+AF$109,"0000"),RawData!$A$2:$G$30000,7,FALSE),
    Mapping!$A$4:$B$9,2,FALSE
  ),
"")</f>
        <v>거실A</v>
      </c>
      <c r="AG120" s="51" t="str">
        <f>IFERROR(
  VLOOKUP(
    VLOOKUP(TEXT($B$3,"yyyymmdd")&amp;"_"&amp;TEXT($B120*60+AG$109,"0000"),RawData!$A$2:$G$30000,7,FALSE),
    Mapping!$A$4:$B$9,2,FALSE
  ),
"")</f>
        <v>거실A</v>
      </c>
      <c r="AH120" s="51" t="str">
        <f>IFERROR(
  VLOOKUP(
    VLOOKUP(TEXT($B$3,"yyyymmdd")&amp;"_"&amp;TEXT($B120*60+AH$109,"0000"),RawData!$A$2:$G$30000,7,FALSE),
    Mapping!$A$4:$B$9,2,FALSE
  ),
"")</f>
        <v>거실A</v>
      </c>
      <c r="AI120" s="51" t="str">
        <f>IFERROR(
  VLOOKUP(
    VLOOKUP(TEXT($B$3,"yyyymmdd")&amp;"_"&amp;TEXT($B120*60+AI$109,"0000"),RawData!$A$2:$G$30000,7,FALSE),
    Mapping!$A$4:$B$9,2,FALSE
  ),
"")</f>
        <v>거실A</v>
      </c>
      <c r="AJ120" s="51" t="str">
        <f>IFERROR(
  VLOOKUP(
    VLOOKUP(TEXT($B$3,"yyyymmdd")&amp;"_"&amp;TEXT($B120*60+AJ$109,"0000"),RawData!$A$2:$G$30000,7,FALSE),
    Mapping!$A$4:$B$9,2,FALSE
  ),
"")</f>
        <v>거실A</v>
      </c>
      <c r="AK120" s="51" t="str">
        <f>IFERROR(
  VLOOKUP(
    VLOOKUP(TEXT($B$3,"yyyymmdd")&amp;"_"&amp;TEXT($B120*60+AK$109,"0000"),RawData!$A$2:$G$30000,7,FALSE),
    Mapping!$A$4:$B$9,2,FALSE
  ),
"")</f>
        <v>거실A</v>
      </c>
      <c r="AL120" s="51" t="str">
        <f>IFERROR(
  VLOOKUP(
    VLOOKUP(TEXT($B$3,"yyyymmdd")&amp;"_"&amp;TEXT($B120*60+AL$109,"0000"),RawData!$A$2:$G$30000,7,FALSE),
    Mapping!$A$4:$B$9,2,FALSE
  ),
"")</f>
        <v>외출</v>
      </c>
      <c r="AM120" s="51" t="str">
        <f>IFERROR(
  VLOOKUP(
    VLOOKUP(TEXT($B$3,"yyyymmdd")&amp;"_"&amp;TEXT($B120*60+AM$109,"0000"),RawData!$A$2:$G$30000,7,FALSE),
    Mapping!$A$4:$B$9,2,FALSE
  ),
"")</f>
        <v>외출</v>
      </c>
      <c r="AN120" s="51" t="str">
        <f>IFERROR(
  VLOOKUP(
    VLOOKUP(TEXT($B$3,"yyyymmdd")&amp;"_"&amp;TEXT($B120*60+AN$109,"0000"),RawData!$A$2:$G$30000,7,FALSE),
    Mapping!$A$4:$B$9,2,FALSE
  ),
"")</f>
        <v>외출</v>
      </c>
      <c r="AO120" s="51" t="str">
        <f>IFERROR(
  VLOOKUP(
    VLOOKUP(TEXT($B$3,"yyyymmdd")&amp;"_"&amp;TEXT($B120*60+AO$109,"0000"),RawData!$A$2:$G$30000,7,FALSE),
    Mapping!$A$4:$B$9,2,FALSE
  ),
"")</f>
        <v>외출</v>
      </c>
      <c r="AP120" s="51" t="str">
        <f>IFERROR(
  VLOOKUP(
    VLOOKUP(TEXT($B$3,"yyyymmdd")&amp;"_"&amp;TEXT($B120*60+AP$109,"0000"),RawData!$A$2:$G$30000,7,FALSE),
    Mapping!$A$4:$B$9,2,FALSE
  ),
"")</f>
        <v>외출</v>
      </c>
      <c r="AQ120" s="51" t="str">
        <f>IFERROR(
  VLOOKUP(
    VLOOKUP(TEXT($B$3,"yyyymmdd")&amp;"_"&amp;TEXT($B120*60+AQ$109,"0000"),RawData!$A$2:$G$30000,7,FALSE),
    Mapping!$A$4:$B$9,2,FALSE
  ),
"")</f>
        <v>외출</v>
      </c>
      <c r="AR120" s="51" t="str">
        <f>IFERROR(
  VLOOKUP(
    VLOOKUP(TEXT($B$3,"yyyymmdd")&amp;"_"&amp;TEXT($B120*60+AR$109,"0000"),RawData!$A$2:$G$30000,7,FALSE),
    Mapping!$A$4:$B$9,2,FALSE
  ),
"")</f>
        <v>외출</v>
      </c>
      <c r="AS120" s="51" t="str">
        <f>IFERROR(
  VLOOKUP(
    VLOOKUP(TEXT($B$3,"yyyymmdd")&amp;"_"&amp;TEXT($B120*60+AS$109,"0000"),RawData!$A$2:$G$30000,7,FALSE),
    Mapping!$A$4:$B$9,2,FALSE
  ),
"")</f>
        <v>외출</v>
      </c>
      <c r="AT120" s="51" t="str">
        <f>IFERROR(
  VLOOKUP(
    VLOOKUP(TEXT($B$3,"yyyymmdd")&amp;"_"&amp;TEXT($B120*60+AT$109,"0000"),RawData!$A$2:$G$30000,7,FALSE),
    Mapping!$A$4:$B$9,2,FALSE
  ),
"")</f>
        <v>외출</v>
      </c>
      <c r="AU120" s="51" t="str">
        <f>IFERROR(
  VLOOKUP(
    VLOOKUP(TEXT($B$3,"yyyymmdd")&amp;"_"&amp;TEXT($B120*60+AU$109,"0000"),RawData!$A$2:$G$30000,7,FALSE),
    Mapping!$A$4:$B$9,2,FALSE
  ),
"")</f>
        <v>외출</v>
      </c>
      <c r="AV120" s="51" t="str">
        <f>IFERROR(
  VLOOKUP(
    VLOOKUP(TEXT($B$3,"yyyymmdd")&amp;"_"&amp;TEXT($B120*60+AV$109,"0000"),RawData!$A$2:$G$30000,7,FALSE),
    Mapping!$A$4:$B$9,2,FALSE
  ),
"")</f>
        <v>외출</v>
      </c>
      <c r="AW120" s="51" t="str">
        <f>IFERROR(
  VLOOKUP(
    VLOOKUP(TEXT($B$3,"yyyymmdd")&amp;"_"&amp;TEXT($B120*60+AW$109,"0000"),RawData!$A$2:$G$30000,7,FALSE),
    Mapping!$A$4:$B$9,2,FALSE
  ),
"")</f>
        <v>외출</v>
      </c>
      <c r="AX120" s="51" t="str">
        <f>IFERROR(
  VLOOKUP(
    VLOOKUP(TEXT($B$3,"yyyymmdd")&amp;"_"&amp;TEXT($B120*60+AX$109,"0000"),RawData!$A$2:$G$30000,7,FALSE),
    Mapping!$A$4:$B$9,2,FALSE
  ),
"")</f>
        <v>외출</v>
      </c>
      <c r="AY120" s="51" t="str">
        <f>IFERROR(
  VLOOKUP(
    VLOOKUP(TEXT($B$3,"yyyymmdd")&amp;"_"&amp;TEXT($B120*60+AY$109,"0000"),RawData!$A$2:$G$30000,7,FALSE),
    Mapping!$A$4:$B$9,2,FALSE
  ),
"")</f>
        <v>외출</v>
      </c>
      <c r="AZ120" s="51" t="str">
        <f>IFERROR(
  VLOOKUP(
    VLOOKUP(TEXT($B$3,"yyyymmdd")&amp;"_"&amp;TEXT($B120*60+AZ$109,"0000"),RawData!$A$2:$G$30000,7,FALSE),
    Mapping!$A$4:$B$9,2,FALSE
  ),
"")</f>
        <v>외출</v>
      </c>
      <c r="BA120" s="51" t="str">
        <f>IFERROR(
  VLOOKUP(
    VLOOKUP(TEXT($B$3,"yyyymmdd")&amp;"_"&amp;TEXT($B120*60+BA$109,"0000"),RawData!$A$2:$G$30000,7,FALSE),
    Mapping!$A$4:$B$9,2,FALSE
  ),
"")</f>
        <v>외출</v>
      </c>
      <c r="BB120" s="51" t="str">
        <f>IFERROR(
  VLOOKUP(
    VLOOKUP(TEXT($B$3,"yyyymmdd")&amp;"_"&amp;TEXT($B120*60+BB$109,"0000"),RawData!$A$2:$G$30000,7,FALSE),
    Mapping!$A$4:$B$9,2,FALSE
  ),
"")</f>
        <v>외출</v>
      </c>
      <c r="BC120" s="51" t="str">
        <f>IFERROR(
  VLOOKUP(
    VLOOKUP(TEXT($B$3,"yyyymmdd")&amp;"_"&amp;TEXT($B120*60+BC$109,"0000"),RawData!$A$2:$G$30000,7,FALSE),
    Mapping!$A$4:$B$9,2,FALSE
  ),
"")</f>
        <v>외출</v>
      </c>
      <c r="BD120" s="51" t="str">
        <f>IFERROR(
  VLOOKUP(
    VLOOKUP(TEXT($B$3,"yyyymmdd")&amp;"_"&amp;TEXT($B120*60+BD$109,"0000"),RawData!$A$2:$G$30000,7,FALSE),
    Mapping!$A$4:$B$9,2,FALSE
  ),
"")</f>
        <v>외출</v>
      </c>
      <c r="BE120" s="51" t="str">
        <f>IFERROR(
  VLOOKUP(
    VLOOKUP(TEXT($B$3,"yyyymmdd")&amp;"_"&amp;TEXT($B120*60+BE$109,"0000"),RawData!$A$2:$G$30000,7,FALSE),
    Mapping!$A$4:$B$9,2,FALSE
  ),
"")</f>
        <v>외출</v>
      </c>
      <c r="BF120" s="51" t="str">
        <f>IFERROR(
  VLOOKUP(
    VLOOKUP(TEXT($B$3,"yyyymmdd")&amp;"_"&amp;TEXT($B120*60+BF$109,"0000"),RawData!$A$2:$G$30000,7,FALSE),
    Mapping!$A$4:$B$9,2,FALSE
  ),
"")</f>
        <v>외출</v>
      </c>
      <c r="BG120" s="51" t="str">
        <f>IFERROR(
  VLOOKUP(
    VLOOKUP(TEXT($B$3,"yyyymmdd")&amp;"_"&amp;TEXT($B120*60+BG$109,"0000"),RawData!$A$2:$G$30000,7,FALSE),
    Mapping!$A$4:$B$9,2,FALSE
  ),
"")</f>
        <v>외출</v>
      </c>
      <c r="BH120" s="51" t="str">
        <f>IFERROR(
  VLOOKUP(
    VLOOKUP(TEXT($B$3,"yyyymmdd")&amp;"_"&amp;TEXT($B120*60+BH$109,"0000"),RawData!$A$2:$G$30000,7,FALSE),
    Mapping!$A$4:$B$9,2,FALSE
  ),
"")</f>
        <v>외출</v>
      </c>
      <c r="BI120" s="51" t="str">
        <f>IFERROR(
  VLOOKUP(
    VLOOKUP(TEXT($B$3,"yyyymmdd")&amp;"_"&amp;TEXT($B120*60+BI$109,"0000"),RawData!$A$2:$G$30000,7,FALSE),
    Mapping!$A$4:$B$9,2,FALSE
  ),
"")</f>
        <v>외출</v>
      </c>
      <c r="BJ120" s="51" t="str">
        <f>IFERROR(
  VLOOKUP(
    VLOOKUP(TEXT($B$3,"yyyymmdd")&amp;"_"&amp;TEXT($B120*60+BJ$109,"0000"),RawData!$A$2:$G$30000,7,FALSE),
    Mapping!$A$4:$B$9,2,FALSE
  ),
"")</f>
        <v>외출</v>
      </c>
      <c r="BK120" s="4" t="str">
        <f>IFERROR(VLOOKUP(TEXT($B$3,"yyyymmdd")&amp;"_"&amp;TEXT(109,"0000"),RawData!$A$2:$F$1441,4,FALSE),"")</f>
        <v>0A</v>
      </c>
      <c r="BL120" s="19">
        <f>TIME(0,0,0)+109/1440</f>
        <v>7.5694444444444439E-2</v>
      </c>
      <c r="BM120" s="4">
        <f>IFERROR(VLOOKUP(TEXT($B$3,"yyyymmdd")&amp;"_"&amp;TEXT(109,"0000"),RawData!$A$2:$F$1441,5,FALSE),"")</f>
        <v>0</v>
      </c>
      <c r="BN120" s="4">
        <f t="shared" si="2"/>
        <v>1</v>
      </c>
    </row>
    <row r="121" spans="2:66" x14ac:dyDescent="0.6">
      <c r="B121" s="18">
        <v>11</v>
      </c>
      <c r="C121" s="51" t="str">
        <f>IFERROR(
  VLOOKUP(
    VLOOKUP(TEXT($B$3,"yyyymmdd")&amp;"_"&amp;TEXT($B121*60+C$109,"0000"),RawData!$A$2:$G$30000,7,FALSE),
    Mapping!$A$4:$B$9,2,FALSE
  ),
"")</f>
        <v>외출</v>
      </c>
      <c r="D121" s="51" t="str">
        <f>IFERROR(
  VLOOKUP(
    VLOOKUP(TEXT($B$3,"yyyymmdd")&amp;"_"&amp;TEXT($B121*60+D$109,"0000"),RawData!$A$2:$G$30000,7,FALSE),
    Mapping!$A$4:$B$9,2,FALSE
  ),
"")</f>
        <v>외출</v>
      </c>
      <c r="E121" s="51" t="str">
        <f>IFERROR(
  VLOOKUP(
    VLOOKUP(TEXT($B$3,"yyyymmdd")&amp;"_"&amp;TEXT($B121*60+E$109,"0000"),RawData!$A$2:$G$30000,7,FALSE),
    Mapping!$A$4:$B$9,2,FALSE
  ),
"")</f>
        <v>외출</v>
      </c>
      <c r="F121" s="51" t="str">
        <f>IFERROR(
  VLOOKUP(
    VLOOKUP(TEXT($B$3,"yyyymmdd")&amp;"_"&amp;TEXT($B121*60+F$109,"0000"),RawData!$A$2:$G$30000,7,FALSE),
    Mapping!$A$4:$B$9,2,FALSE
  ),
"")</f>
        <v>외출</v>
      </c>
      <c r="G121" s="51" t="str">
        <f>IFERROR(
  VLOOKUP(
    VLOOKUP(TEXT($B$3,"yyyymmdd")&amp;"_"&amp;TEXT($B121*60+G$109,"0000"),RawData!$A$2:$G$30000,7,FALSE),
    Mapping!$A$4:$B$9,2,FALSE
  ),
"")</f>
        <v>외출</v>
      </c>
      <c r="H121" s="51" t="str">
        <f>IFERROR(
  VLOOKUP(
    VLOOKUP(TEXT($B$3,"yyyymmdd")&amp;"_"&amp;TEXT($B121*60+H$109,"0000"),RawData!$A$2:$G$30000,7,FALSE),
    Mapping!$A$4:$B$9,2,FALSE
  ),
"")</f>
        <v>외출</v>
      </c>
      <c r="I121" s="51" t="str">
        <f>IFERROR(
  VLOOKUP(
    VLOOKUP(TEXT($B$3,"yyyymmdd")&amp;"_"&amp;TEXT($B121*60+I$109,"0000"),RawData!$A$2:$G$30000,7,FALSE),
    Mapping!$A$4:$B$9,2,FALSE
  ),
"")</f>
        <v>외출</v>
      </c>
      <c r="J121" s="51" t="str">
        <f>IFERROR(
  VLOOKUP(
    VLOOKUP(TEXT($B$3,"yyyymmdd")&amp;"_"&amp;TEXT($B121*60+J$109,"0000"),RawData!$A$2:$G$30000,7,FALSE),
    Mapping!$A$4:$B$9,2,FALSE
  ),
"")</f>
        <v>외출</v>
      </c>
      <c r="K121" s="51" t="str">
        <f>IFERROR(
  VLOOKUP(
    VLOOKUP(TEXT($B$3,"yyyymmdd")&amp;"_"&amp;TEXT($B121*60+K$109,"0000"),RawData!$A$2:$G$30000,7,FALSE),
    Mapping!$A$4:$B$9,2,FALSE
  ),
"")</f>
        <v>외출</v>
      </c>
      <c r="L121" s="51" t="str">
        <f>IFERROR(
  VLOOKUP(
    VLOOKUP(TEXT($B$3,"yyyymmdd")&amp;"_"&amp;TEXT($B121*60+L$109,"0000"),RawData!$A$2:$G$30000,7,FALSE),
    Mapping!$A$4:$B$9,2,FALSE
  ),
"")</f>
        <v>외출</v>
      </c>
      <c r="M121" s="51" t="str">
        <f>IFERROR(
  VLOOKUP(
    VLOOKUP(TEXT($B$3,"yyyymmdd")&amp;"_"&amp;TEXT($B121*60+M$109,"0000"),RawData!$A$2:$G$30000,7,FALSE),
    Mapping!$A$4:$B$9,2,FALSE
  ),
"")</f>
        <v>외출</v>
      </c>
      <c r="N121" s="51" t="str">
        <f>IFERROR(
  VLOOKUP(
    VLOOKUP(TEXT($B$3,"yyyymmdd")&amp;"_"&amp;TEXT($B121*60+N$109,"0000"),RawData!$A$2:$G$30000,7,FALSE),
    Mapping!$A$4:$B$9,2,FALSE
  ),
"")</f>
        <v>외출</v>
      </c>
      <c r="O121" s="51" t="str">
        <f>IFERROR(
  VLOOKUP(
    VLOOKUP(TEXT($B$3,"yyyymmdd")&amp;"_"&amp;TEXT($B121*60+O$109,"0000"),RawData!$A$2:$G$30000,7,FALSE),
    Mapping!$A$4:$B$9,2,FALSE
  ),
"")</f>
        <v>외출</v>
      </c>
      <c r="P121" s="51" t="str">
        <f>IFERROR(
  VLOOKUP(
    VLOOKUP(TEXT($B$3,"yyyymmdd")&amp;"_"&amp;TEXT($B121*60+P$109,"0000"),RawData!$A$2:$G$30000,7,FALSE),
    Mapping!$A$4:$B$9,2,FALSE
  ),
"")</f>
        <v>외출</v>
      </c>
      <c r="Q121" s="51" t="str">
        <f>IFERROR(
  VLOOKUP(
    VLOOKUP(TEXT($B$3,"yyyymmdd")&amp;"_"&amp;TEXT($B121*60+Q$109,"0000"),RawData!$A$2:$G$30000,7,FALSE),
    Mapping!$A$4:$B$9,2,FALSE
  ),
"")</f>
        <v>외출</v>
      </c>
      <c r="R121" s="51" t="str">
        <f>IFERROR(
  VLOOKUP(
    VLOOKUP(TEXT($B$3,"yyyymmdd")&amp;"_"&amp;TEXT($B121*60+R$109,"0000"),RawData!$A$2:$G$30000,7,FALSE),
    Mapping!$A$4:$B$9,2,FALSE
  ),
"")</f>
        <v>외출</v>
      </c>
      <c r="S121" s="51" t="str">
        <f>IFERROR(
  VLOOKUP(
    VLOOKUP(TEXT($B$3,"yyyymmdd")&amp;"_"&amp;TEXT($B121*60+S$109,"0000"),RawData!$A$2:$G$30000,7,FALSE),
    Mapping!$A$4:$B$9,2,FALSE
  ),
"")</f>
        <v>외출</v>
      </c>
      <c r="T121" s="51" t="str">
        <f>IFERROR(
  VLOOKUP(
    VLOOKUP(TEXT($B$3,"yyyymmdd")&amp;"_"&amp;TEXT($B121*60+T$109,"0000"),RawData!$A$2:$G$30000,7,FALSE),
    Mapping!$A$4:$B$9,2,FALSE
  ),
"")</f>
        <v>외출</v>
      </c>
      <c r="U121" s="51" t="str">
        <f>IFERROR(
  VLOOKUP(
    VLOOKUP(TEXT($B$3,"yyyymmdd")&amp;"_"&amp;TEXT($B121*60+U$109,"0000"),RawData!$A$2:$G$30000,7,FALSE),
    Mapping!$A$4:$B$9,2,FALSE
  ),
"")</f>
        <v>외출</v>
      </c>
      <c r="V121" s="51" t="str">
        <f>IFERROR(
  VLOOKUP(
    VLOOKUP(TEXT($B$3,"yyyymmdd")&amp;"_"&amp;TEXT($B121*60+V$109,"0000"),RawData!$A$2:$G$30000,7,FALSE),
    Mapping!$A$4:$B$9,2,FALSE
  ),
"")</f>
        <v>외출</v>
      </c>
      <c r="W121" s="51" t="str">
        <f>IFERROR(
  VLOOKUP(
    VLOOKUP(TEXT($B$3,"yyyymmdd")&amp;"_"&amp;TEXT($B121*60+W$109,"0000"),RawData!$A$2:$G$30000,7,FALSE),
    Mapping!$A$4:$B$9,2,FALSE
  ),
"")</f>
        <v>외출</v>
      </c>
      <c r="X121" s="51" t="str">
        <f>IFERROR(
  VLOOKUP(
    VLOOKUP(TEXT($B$3,"yyyymmdd")&amp;"_"&amp;TEXT($B121*60+X$109,"0000"),RawData!$A$2:$G$30000,7,FALSE),
    Mapping!$A$4:$B$9,2,FALSE
  ),
"")</f>
        <v>외출</v>
      </c>
      <c r="Y121" s="51" t="str">
        <f>IFERROR(
  VLOOKUP(
    VLOOKUP(TEXT($B$3,"yyyymmdd")&amp;"_"&amp;TEXT($B121*60+Y$109,"0000"),RawData!$A$2:$G$30000,7,FALSE),
    Mapping!$A$4:$B$9,2,FALSE
  ),
"")</f>
        <v>외출</v>
      </c>
      <c r="Z121" s="51" t="str">
        <f>IFERROR(
  VLOOKUP(
    VLOOKUP(TEXT($B$3,"yyyymmdd")&amp;"_"&amp;TEXT($B121*60+Z$109,"0000"),RawData!$A$2:$G$30000,7,FALSE),
    Mapping!$A$4:$B$9,2,FALSE
  ),
"")</f>
        <v>외출</v>
      </c>
      <c r="AA121" s="51" t="str">
        <f>IFERROR(
  VLOOKUP(
    VLOOKUP(TEXT($B$3,"yyyymmdd")&amp;"_"&amp;TEXT($B121*60+AA$109,"0000"),RawData!$A$2:$G$30000,7,FALSE),
    Mapping!$A$4:$B$9,2,FALSE
  ),
"")</f>
        <v>외출</v>
      </c>
      <c r="AB121" s="51" t="str">
        <f>IFERROR(
  VLOOKUP(
    VLOOKUP(TEXT($B$3,"yyyymmdd")&amp;"_"&amp;TEXT($B121*60+AB$109,"0000"),RawData!$A$2:$G$30000,7,FALSE),
    Mapping!$A$4:$B$9,2,FALSE
  ),
"")</f>
        <v>외출</v>
      </c>
      <c r="AC121" s="51" t="str">
        <f>IFERROR(
  VLOOKUP(
    VLOOKUP(TEXT($B$3,"yyyymmdd")&amp;"_"&amp;TEXT($B121*60+AC$109,"0000"),RawData!$A$2:$G$30000,7,FALSE),
    Mapping!$A$4:$B$9,2,FALSE
  ),
"")</f>
        <v>외출</v>
      </c>
      <c r="AD121" s="51" t="str">
        <f>IFERROR(
  VLOOKUP(
    VLOOKUP(TEXT($B$3,"yyyymmdd")&amp;"_"&amp;TEXT($B121*60+AD$109,"0000"),RawData!$A$2:$G$30000,7,FALSE),
    Mapping!$A$4:$B$9,2,FALSE
  ),
"")</f>
        <v>외출</v>
      </c>
      <c r="AE121" s="51" t="str">
        <f>IFERROR(
  VLOOKUP(
    VLOOKUP(TEXT($B$3,"yyyymmdd")&amp;"_"&amp;TEXT($B121*60+AE$109,"0000"),RawData!$A$2:$G$30000,7,FALSE),
    Mapping!$A$4:$B$9,2,FALSE
  ),
"")</f>
        <v>외출</v>
      </c>
      <c r="AF121" s="51" t="str">
        <f>IFERROR(
  VLOOKUP(
    VLOOKUP(TEXT($B$3,"yyyymmdd")&amp;"_"&amp;TEXT($B121*60+AF$109,"0000"),RawData!$A$2:$G$30000,7,FALSE),
    Mapping!$A$4:$B$9,2,FALSE
  ),
"")</f>
        <v>외출</v>
      </c>
      <c r="AG121" s="51" t="str">
        <f>IFERROR(
  VLOOKUP(
    VLOOKUP(TEXT($B$3,"yyyymmdd")&amp;"_"&amp;TEXT($B121*60+AG$109,"0000"),RawData!$A$2:$G$30000,7,FALSE),
    Mapping!$A$4:$B$9,2,FALSE
  ),
"")</f>
        <v>외출</v>
      </c>
      <c r="AH121" s="51" t="str">
        <f>IFERROR(
  VLOOKUP(
    VLOOKUP(TEXT($B$3,"yyyymmdd")&amp;"_"&amp;TEXT($B121*60+AH$109,"0000"),RawData!$A$2:$G$30000,7,FALSE),
    Mapping!$A$4:$B$9,2,FALSE
  ),
"")</f>
        <v>외출</v>
      </c>
      <c r="AI121" s="51" t="str">
        <f>IFERROR(
  VLOOKUP(
    VLOOKUP(TEXT($B$3,"yyyymmdd")&amp;"_"&amp;TEXT($B121*60+AI$109,"0000"),RawData!$A$2:$G$30000,7,FALSE),
    Mapping!$A$4:$B$9,2,FALSE
  ),
"")</f>
        <v>외출</v>
      </c>
      <c r="AJ121" s="51" t="str">
        <f>IFERROR(
  VLOOKUP(
    VLOOKUP(TEXT($B$3,"yyyymmdd")&amp;"_"&amp;TEXT($B121*60+AJ$109,"0000"),RawData!$A$2:$G$30000,7,FALSE),
    Mapping!$A$4:$B$9,2,FALSE
  ),
"")</f>
        <v>외출</v>
      </c>
      <c r="AK121" s="51" t="str">
        <f>IFERROR(
  VLOOKUP(
    VLOOKUP(TEXT($B$3,"yyyymmdd")&amp;"_"&amp;TEXT($B121*60+AK$109,"0000"),RawData!$A$2:$G$30000,7,FALSE),
    Mapping!$A$4:$B$9,2,FALSE
  ),
"")</f>
        <v>외출</v>
      </c>
      <c r="AL121" s="51" t="str">
        <f>IFERROR(
  VLOOKUP(
    VLOOKUP(TEXT($B$3,"yyyymmdd")&amp;"_"&amp;TEXT($B121*60+AL$109,"0000"),RawData!$A$2:$G$30000,7,FALSE),
    Mapping!$A$4:$B$9,2,FALSE
  ),
"")</f>
        <v>외출</v>
      </c>
      <c r="AM121" s="51" t="str">
        <f>IFERROR(
  VLOOKUP(
    VLOOKUP(TEXT($B$3,"yyyymmdd")&amp;"_"&amp;TEXT($B121*60+AM$109,"0000"),RawData!$A$2:$G$30000,7,FALSE),
    Mapping!$A$4:$B$9,2,FALSE
  ),
"")</f>
        <v>외출</v>
      </c>
      <c r="AN121" s="51" t="str">
        <f>IFERROR(
  VLOOKUP(
    VLOOKUP(TEXT($B$3,"yyyymmdd")&amp;"_"&amp;TEXT($B121*60+AN$109,"0000"),RawData!$A$2:$G$30000,7,FALSE),
    Mapping!$A$4:$B$9,2,FALSE
  ),
"")</f>
        <v>외출</v>
      </c>
      <c r="AO121" s="51" t="str">
        <f>IFERROR(
  VLOOKUP(
    VLOOKUP(TEXT($B$3,"yyyymmdd")&amp;"_"&amp;TEXT($B121*60+AO$109,"0000"),RawData!$A$2:$G$30000,7,FALSE),
    Mapping!$A$4:$B$9,2,FALSE
  ),
"")</f>
        <v>외출</v>
      </c>
      <c r="AP121" s="51" t="str">
        <f>IFERROR(
  VLOOKUP(
    VLOOKUP(TEXT($B$3,"yyyymmdd")&amp;"_"&amp;TEXT($B121*60+AP$109,"0000"),RawData!$A$2:$G$30000,7,FALSE),
    Mapping!$A$4:$B$9,2,FALSE
  ),
"")</f>
        <v>외출</v>
      </c>
      <c r="AQ121" s="51" t="str">
        <f>IFERROR(
  VLOOKUP(
    VLOOKUP(TEXT($B$3,"yyyymmdd")&amp;"_"&amp;TEXT($B121*60+AQ$109,"0000"),RawData!$A$2:$G$30000,7,FALSE),
    Mapping!$A$4:$B$9,2,FALSE
  ),
"")</f>
        <v>외출</v>
      </c>
      <c r="AR121" s="51" t="str">
        <f>IFERROR(
  VLOOKUP(
    VLOOKUP(TEXT($B$3,"yyyymmdd")&amp;"_"&amp;TEXT($B121*60+AR$109,"0000"),RawData!$A$2:$G$30000,7,FALSE),
    Mapping!$A$4:$B$9,2,FALSE
  ),
"")</f>
        <v>외출</v>
      </c>
      <c r="AS121" s="51" t="str">
        <f>IFERROR(
  VLOOKUP(
    VLOOKUP(TEXT($B$3,"yyyymmdd")&amp;"_"&amp;TEXT($B121*60+AS$109,"0000"),RawData!$A$2:$G$30000,7,FALSE),
    Mapping!$A$4:$B$9,2,FALSE
  ),
"")</f>
        <v>외출</v>
      </c>
      <c r="AT121" s="51" t="str">
        <f>IFERROR(
  VLOOKUP(
    VLOOKUP(TEXT($B$3,"yyyymmdd")&amp;"_"&amp;TEXT($B121*60+AT$109,"0000"),RawData!$A$2:$G$30000,7,FALSE),
    Mapping!$A$4:$B$9,2,FALSE
  ),
"")</f>
        <v>외출</v>
      </c>
      <c r="AU121" s="51" t="str">
        <f>IFERROR(
  VLOOKUP(
    VLOOKUP(TEXT($B$3,"yyyymmdd")&amp;"_"&amp;TEXT($B121*60+AU$109,"0000"),RawData!$A$2:$G$30000,7,FALSE),
    Mapping!$A$4:$B$9,2,FALSE
  ),
"")</f>
        <v>외출</v>
      </c>
      <c r="AV121" s="51" t="str">
        <f>IFERROR(
  VLOOKUP(
    VLOOKUP(TEXT($B$3,"yyyymmdd")&amp;"_"&amp;TEXT($B121*60+AV$109,"0000"),RawData!$A$2:$G$30000,7,FALSE),
    Mapping!$A$4:$B$9,2,FALSE
  ),
"")</f>
        <v>외출</v>
      </c>
      <c r="AW121" s="51" t="str">
        <f>IFERROR(
  VLOOKUP(
    VLOOKUP(TEXT($B$3,"yyyymmdd")&amp;"_"&amp;TEXT($B121*60+AW$109,"0000"),RawData!$A$2:$G$30000,7,FALSE),
    Mapping!$A$4:$B$9,2,FALSE
  ),
"")</f>
        <v>외출</v>
      </c>
      <c r="AX121" s="51" t="str">
        <f>IFERROR(
  VLOOKUP(
    VLOOKUP(TEXT($B$3,"yyyymmdd")&amp;"_"&amp;TEXT($B121*60+AX$109,"0000"),RawData!$A$2:$G$30000,7,FALSE),
    Mapping!$A$4:$B$9,2,FALSE
  ),
"")</f>
        <v>외출</v>
      </c>
      <c r="AY121" s="51" t="str">
        <f>IFERROR(
  VLOOKUP(
    VLOOKUP(TEXT($B$3,"yyyymmdd")&amp;"_"&amp;TEXT($B121*60+AY$109,"0000"),RawData!$A$2:$G$30000,7,FALSE),
    Mapping!$A$4:$B$9,2,FALSE
  ),
"")</f>
        <v>외출</v>
      </c>
      <c r="AZ121" s="51" t="str">
        <f>IFERROR(
  VLOOKUP(
    VLOOKUP(TEXT($B$3,"yyyymmdd")&amp;"_"&amp;TEXT($B121*60+AZ$109,"0000"),RawData!$A$2:$G$30000,7,FALSE),
    Mapping!$A$4:$B$9,2,FALSE
  ),
"")</f>
        <v>외출</v>
      </c>
      <c r="BA121" s="51" t="str">
        <f>IFERROR(
  VLOOKUP(
    VLOOKUP(TEXT($B$3,"yyyymmdd")&amp;"_"&amp;TEXT($B121*60+BA$109,"0000"),RawData!$A$2:$G$30000,7,FALSE),
    Mapping!$A$4:$B$9,2,FALSE
  ),
"")</f>
        <v>외출</v>
      </c>
      <c r="BB121" s="51" t="str">
        <f>IFERROR(
  VLOOKUP(
    VLOOKUP(TEXT($B$3,"yyyymmdd")&amp;"_"&amp;TEXT($B121*60+BB$109,"0000"),RawData!$A$2:$G$30000,7,FALSE),
    Mapping!$A$4:$B$9,2,FALSE
  ),
"")</f>
        <v>외출</v>
      </c>
      <c r="BC121" s="51" t="str">
        <f>IFERROR(
  VLOOKUP(
    VLOOKUP(TEXT($B$3,"yyyymmdd")&amp;"_"&amp;TEXT($B121*60+BC$109,"0000"),RawData!$A$2:$G$30000,7,FALSE),
    Mapping!$A$4:$B$9,2,FALSE
  ),
"")</f>
        <v>외출</v>
      </c>
      <c r="BD121" s="51" t="str">
        <f>IFERROR(
  VLOOKUP(
    VLOOKUP(TEXT($B$3,"yyyymmdd")&amp;"_"&amp;TEXT($B121*60+BD$109,"0000"),RawData!$A$2:$G$30000,7,FALSE),
    Mapping!$A$4:$B$9,2,FALSE
  ),
"")</f>
        <v>외출</v>
      </c>
      <c r="BE121" s="51" t="str">
        <f>IFERROR(
  VLOOKUP(
    VLOOKUP(TEXT($B$3,"yyyymmdd")&amp;"_"&amp;TEXT($B121*60+BE$109,"0000"),RawData!$A$2:$G$30000,7,FALSE),
    Mapping!$A$4:$B$9,2,FALSE
  ),
"")</f>
        <v>외출</v>
      </c>
      <c r="BF121" s="51" t="str">
        <f>IFERROR(
  VLOOKUP(
    VLOOKUP(TEXT($B$3,"yyyymmdd")&amp;"_"&amp;TEXT($B121*60+BF$109,"0000"),RawData!$A$2:$G$30000,7,FALSE),
    Mapping!$A$4:$B$9,2,FALSE
  ),
"")</f>
        <v>외출</v>
      </c>
      <c r="BG121" s="51" t="str">
        <f>IFERROR(
  VLOOKUP(
    VLOOKUP(TEXT($B$3,"yyyymmdd")&amp;"_"&amp;TEXT($B121*60+BG$109,"0000"),RawData!$A$2:$G$30000,7,FALSE),
    Mapping!$A$4:$B$9,2,FALSE
  ),
"")</f>
        <v>외출</v>
      </c>
      <c r="BH121" s="51" t="str">
        <f>IFERROR(
  VLOOKUP(
    VLOOKUP(TEXT($B$3,"yyyymmdd")&amp;"_"&amp;TEXT($B121*60+BH$109,"0000"),RawData!$A$2:$G$30000,7,FALSE),
    Mapping!$A$4:$B$9,2,FALSE
  ),
"")</f>
        <v>외출</v>
      </c>
      <c r="BI121" s="51" t="str">
        <f>IFERROR(
  VLOOKUP(
    VLOOKUP(TEXT($B$3,"yyyymmdd")&amp;"_"&amp;TEXT($B121*60+BI$109,"0000"),RawData!$A$2:$G$30000,7,FALSE),
    Mapping!$A$4:$B$9,2,FALSE
  ),
"")</f>
        <v>외출</v>
      </c>
      <c r="BJ121" s="51" t="str">
        <f>IFERROR(
  VLOOKUP(
    VLOOKUP(TEXT($B$3,"yyyymmdd")&amp;"_"&amp;TEXT($B121*60+BJ$109,"0000"),RawData!$A$2:$G$30000,7,FALSE),
    Mapping!$A$4:$B$9,2,FALSE
  ),
"")</f>
        <v>외출</v>
      </c>
      <c r="BK121" s="4" t="str">
        <f>IFERROR(VLOOKUP(TEXT($B$3,"yyyymmdd")&amp;"_"&amp;TEXT(110,"0000"),RawData!$A$2:$F$1441,4,FALSE),"")</f>
        <v>01</v>
      </c>
      <c r="BL121" s="19">
        <f>TIME(0,0,0)+110/1440</f>
        <v>7.6388888888888895E-2</v>
      </c>
      <c r="BM121" s="4">
        <f>IFERROR(VLOOKUP(TEXT($B$3,"yyyymmdd")&amp;"_"&amp;TEXT(110,"0000"),RawData!$A$2:$F$1441,5,FALSE),"")</f>
        <v>0</v>
      </c>
      <c r="BN121" s="4">
        <f t="shared" si="2"/>
        <v>1</v>
      </c>
    </row>
    <row r="122" spans="2:66" x14ac:dyDescent="0.6">
      <c r="B122" s="18">
        <v>12</v>
      </c>
      <c r="C122" s="51" t="str">
        <f>IFERROR(
  VLOOKUP(
    VLOOKUP(TEXT($B$3,"yyyymmdd")&amp;"_"&amp;TEXT($B122*60+C$109,"0000"),RawData!$A$2:$G$30000,7,FALSE),
    Mapping!$A$4:$B$9,2,FALSE
  ),
"")</f>
        <v>외출</v>
      </c>
      <c r="D122" s="51" t="str">
        <f>IFERROR(
  VLOOKUP(
    VLOOKUP(TEXT($B$3,"yyyymmdd")&amp;"_"&amp;TEXT($B122*60+D$109,"0000"),RawData!$A$2:$G$30000,7,FALSE),
    Mapping!$A$4:$B$9,2,FALSE
  ),
"")</f>
        <v>외출</v>
      </c>
      <c r="E122" s="51" t="str">
        <f>IFERROR(
  VLOOKUP(
    VLOOKUP(TEXT($B$3,"yyyymmdd")&amp;"_"&amp;TEXT($B122*60+E$109,"0000"),RawData!$A$2:$G$30000,7,FALSE),
    Mapping!$A$4:$B$9,2,FALSE
  ),
"")</f>
        <v>외출</v>
      </c>
      <c r="F122" s="51" t="str">
        <f>IFERROR(
  VLOOKUP(
    VLOOKUP(TEXT($B$3,"yyyymmdd")&amp;"_"&amp;TEXT($B122*60+F$109,"0000"),RawData!$A$2:$G$30000,7,FALSE),
    Mapping!$A$4:$B$9,2,FALSE
  ),
"")</f>
        <v>외출</v>
      </c>
      <c r="G122" s="51" t="str">
        <f>IFERROR(
  VLOOKUP(
    VLOOKUP(TEXT($B$3,"yyyymmdd")&amp;"_"&amp;TEXT($B122*60+G$109,"0000"),RawData!$A$2:$G$30000,7,FALSE),
    Mapping!$A$4:$B$9,2,FALSE
  ),
"")</f>
        <v>외출</v>
      </c>
      <c r="H122" s="51" t="str">
        <f>IFERROR(
  VLOOKUP(
    VLOOKUP(TEXT($B$3,"yyyymmdd")&amp;"_"&amp;TEXT($B122*60+H$109,"0000"),RawData!$A$2:$G$30000,7,FALSE),
    Mapping!$A$4:$B$9,2,FALSE
  ),
"")</f>
        <v>외출</v>
      </c>
      <c r="I122" s="51" t="str">
        <f>IFERROR(
  VLOOKUP(
    VLOOKUP(TEXT($B$3,"yyyymmdd")&amp;"_"&amp;TEXT($B122*60+I$109,"0000"),RawData!$A$2:$G$30000,7,FALSE),
    Mapping!$A$4:$B$9,2,FALSE
  ),
"")</f>
        <v>외출</v>
      </c>
      <c r="J122" s="51" t="str">
        <f>IFERROR(
  VLOOKUP(
    VLOOKUP(TEXT($B$3,"yyyymmdd")&amp;"_"&amp;TEXT($B122*60+J$109,"0000"),RawData!$A$2:$G$30000,7,FALSE),
    Mapping!$A$4:$B$9,2,FALSE
  ),
"")</f>
        <v>외출</v>
      </c>
      <c r="K122" s="51" t="str">
        <f>IFERROR(
  VLOOKUP(
    VLOOKUP(TEXT($B$3,"yyyymmdd")&amp;"_"&amp;TEXT($B122*60+K$109,"0000"),RawData!$A$2:$G$30000,7,FALSE),
    Mapping!$A$4:$B$9,2,FALSE
  ),
"")</f>
        <v>외출</v>
      </c>
      <c r="L122" s="51" t="str">
        <f>IFERROR(
  VLOOKUP(
    VLOOKUP(TEXT($B$3,"yyyymmdd")&amp;"_"&amp;TEXT($B122*60+L$109,"0000"),RawData!$A$2:$G$30000,7,FALSE),
    Mapping!$A$4:$B$9,2,FALSE
  ),
"")</f>
        <v>외출</v>
      </c>
      <c r="M122" s="51" t="str">
        <f>IFERROR(
  VLOOKUP(
    VLOOKUP(TEXT($B$3,"yyyymmdd")&amp;"_"&amp;TEXT($B122*60+M$109,"0000"),RawData!$A$2:$G$30000,7,FALSE),
    Mapping!$A$4:$B$9,2,FALSE
  ),
"")</f>
        <v>외출</v>
      </c>
      <c r="N122" s="51" t="str">
        <f>IFERROR(
  VLOOKUP(
    VLOOKUP(TEXT($B$3,"yyyymmdd")&amp;"_"&amp;TEXT($B122*60+N$109,"0000"),RawData!$A$2:$G$30000,7,FALSE),
    Mapping!$A$4:$B$9,2,FALSE
  ),
"")</f>
        <v>외출</v>
      </c>
      <c r="O122" s="51" t="str">
        <f>IFERROR(
  VLOOKUP(
    VLOOKUP(TEXT($B$3,"yyyymmdd")&amp;"_"&amp;TEXT($B122*60+O$109,"0000"),RawData!$A$2:$G$30000,7,FALSE),
    Mapping!$A$4:$B$9,2,FALSE
  ),
"")</f>
        <v>외출</v>
      </c>
      <c r="P122" s="51" t="str">
        <f>IFERROR(
  VLOOKUP(
    VLOOKUP(TEXT($B$3,"yyyymmdd")&amp;"_"&amp;TEXT($B122*60+P$109,"0000"),RawData!$A$2:$G$30000,7,FALSE),
    Mapping!$A$4:$B$9,2,FALSE
  ),
"")</f>
        <v>외출</v>
      </c>
      <c r="Q122" s="51" t="str">
        <f>IFERROR(
  VLOOKUP(
    VLOOKUP(TEXT($B$3,"yyyymmdd")&amp;"_"&amp;TEXT($B122*60+Q$109,"0000"),RawData!$A$2:$G$30000,7,FALSE),
    Mapping!$A$4:$B$9,2,FALSE
  ),
"")</f>
        <v>외출</v>
      </c>
      <c r="R122" s="51" t="str">
        <f>IFERROR(
  VLOOKUP(
    VLOOKUP(TEXT($B$3,"yyyymmdd")&amp;"_"&amp;TEXT($B122*60+R$109,"0000"),RawData!$A$2:$G$30000,7,FALSE),
    Mapping!$A$4:$B$9,2,FALSE
  ),
"")</f>
        <v>외출</v>
      </c>
      <c r="S122" s="51" t="str">
        <f>IFERROR(
  VLOOKUP(
    VLOOKUP(TEXT($B$3,"yyyymmdd")&amp;"_"&amp;TEXT($B122*60+S$109,"0000"),RawData!$A$2:$G$30000,7,FALSE),
    Mapping!$A$4:$B$9,2,FALSE
  ),
"")</f>
        <v>외출</v>
      </c>
      <c r="T122" s="51" t="str">
        <f>IFERROR(
  VLOOKUP(
    VLOOKUP(TEXT($B$3,"yyyymmdd")&amp;"_"&amp;TEXT($B122*60+T$109,"0000"),RawData!$A$2:$G$30000,7,FALSE),
    Mapping!$A$4:$B$9,2,FALSE
  ),
"")</f>
        <v>외출</v>
      </c>
      <c r="U122" s="51" t="str">
        <f>IFERROR(
  VLOOKUP(
    VLOOKUP(TEXT($B$3,"yyyymmdd")&amp;"_"&amp;TEXT($B122*60+U$109,"0000"),RawData!$A$2:$G$30000,7,FALSE),
    Mapping!$A$4:$B$9,2,FALSE
  ),
"")</f>
        <v>외출</v>
      </c>
      <c r="V122" s="51" t="str">
        <f>IFERROR(
  VLOOKUP(
    VLOOKUP(TEXT($B$3,"yyyymmdd")&amp;"_"&amp;TEXT($B122*60+V$109,"0000"),RawData!$A$2:$G$30000,7,FALSE),
    Mapping!$A$4:$B$9,2,FALSE
  ),
"")</f>
        <v>외출</v>
      </c>
      <c r="W122" s="51" t="str">
        <f>IFERROR(
  VLOOKUP(
    VLOOKUP(TEXT($B$3,"yyyymmdd")&amp;"_"&amp;TEXT($B122*60+W$109,"0000"),RawData!$A$2:$G$30000,7,FALSE),
    Mapping!$A$4:$B$9,2,FALSE
  ),
"")</f>
        <v>외출</v>
      </c>
      <c r="X122" s="51" t="str">
        <f>IFERROR(
  VLOOKUP(
    VLOOKUP(TEXT($B$3,"yyyymmdd")&amp;"_"&amp;TEXT($B122*60+X$109,"0000"),RawData!$A$2:$G$30000,7,FALSE),
    Mapping!$A$4:$B$9,2,FALSE
  ),
"")</f>
        <v>외출</v>
      </c>
      <c r="Y122" s="51" t="str">
        <f>IFERROR(
  VLOOKUP(
    VLOOKUP(TEXT($B$3,"yyyymmdd")&amp;"_"&amp;TEXT($B122*60+Y$109,"0000"),RawData!$A$2:$G$30000,7,FALSE),
    Mapping!$A$4:$B$9,2,FALSE
  ),
"")</f>
        <v>외출</v>
      </c>
      <c r="Z122" s="51" t="str">
        <f>IFERROR(
  VLOOKUP(
    VLOOKUP(TEXT($B$3,"yyyymmdd")&amp;"_"&amp;TEXT($B122*60+Z$109,"0000"),RawData!$A$2:$G$30000,7,FALSE),
    Mapping!$A$4:$B$9,2,FALSE
  ),
"")</f>
        <v>외출</v>
      </c>
      <c r="AA122" s="51" t="str">
        <f>IFERROR(
  VLOOKUP(
    VLOOKUP(TEXT($B$3,"yyyymmdd")&amp;"_"&amp;TEXT($B122*60+AA$109,"0000"),RawData!$A$2:$G$30000,7,FALSE),
    Mapping!$A$4:$B$9,2,FALSE
  ),
"")</f>
        <v>외출</v>
      </c>
      <c r="AB122" s="51" t="str">
        <f>IFERROR(
  VLOOKUP(
    VLOOKUP(TEXT($B$3,"yyyymmdd")&amp;"_"&amp;TEXT($B122*60+AB$109,"0000"),RawData!$A$2:$G$30000,7,FALSE),
    Mapping!$A$4:$B$9,2,FALSE
  ),
"")</f>
        <v>외출</v>
      </c>
      <c r="AC122" s="51" t="str">
        <f>IFERROR(
  VLOOKUP(
    VLOOKUP(TEXT($B$3,"yyyymmdd")&amp;"_"&amp;TEXT($B122*60+AC$109,"0000"),RawData!$A$2:$G$30000,7,FALSE),
    Mapping!$A$4:$B$9,2,FALSE
  ),
"")</f>
        <v>외출</v>
      </c>
      <c r="AD122" s="51" t="str">
        <f>IFERROR(
  VLOOKUP(
    VLOOKUP(TEXT($B$3,"yyyymmdd")&amp;"_"&amp;TEXT($B122*60+AD$109,"0000"),RawData!$A$2:$G$30000,7,FALSE),
    Mapping!$A$4:$B$9,2,FALSE
  ),
"")</f>
        <v>외출</v>
      </c>
      <c r="AE122" s="51" t="str">
        <f>IFERROR(
  VLOOKUP(
    VLOOKUP(TEXT($B$3,"yyyymmdd")&amp;"_"&amp;TEXT($B122*60+AE$109,"0000"),RawData!$A$2:$G$30000,7,FALSE),
    Mapping!$A$4:$B$9,2,FALSE
  ),
"")</f>
        <v>외출</v>
      </c>
      <c r="AF122" s="51" t="str">
        <f>IFERROR(
  VLOOKUP(
    VLOOKUP(TEXT($B$3,"yyyymmdd")&amp;"_"&amp;TEXT($B122*60+AF$109,"0000"),RawData!$A$2:$G$30000,7,FALSE),
    Mapping!$A$4:$B$9,2,FALSE
  ),
"")</f>
        <v>외출</v>
      </c>
      <c r="AG122" s="51" t="str">
        <f>IFERROR(
  VLOOKUP(
    VLOOKUP(TEXT($B$3,"yyyymmdd")&amp;"_"&amp;TEXT($B122*60+AG$109,"0000"),RawData!$A$2:$G$30000,7,FALSE),
    Mapping!$A$4:$B$9,2,FALSE
  ),
"")</f>
        <v>외출</v>
      </c>
      <c r="AH122" s="51" t="str">
        <f>IFERROR(
  VLOOKUP(
    VLOOKUP(TEXT($B$3,"yyyymmdd")&amp;"_"&amp;TEXT($B122*60+AH$109,"0000"),RawData!$A$2:$G$30000,7,FALSE),
    Mapping!$A$4:$B$9,2,FALSE
  ),
"")</f>
        <v>외출</v>
      </c>
      <c r="AI122" s="51" t="str">
        <f>IFERROR(
  VLOOKUP(
    VLOOKUP(TEXT($B$3,"yyyymmdd")&amp;"_"&amp;TEXT($B122*60+AI$109,"0000"),RawData!$A$2:$G$30000,7,FALSE),
    Mapping!$A$4:$B$9,2,FALSE
  ),
"")</f>
        <v>외출</v>
      </c>
      <c r="AJ122" s="51" t="str">
        <f>IFERROR(
  VLOOKUP(
    VLOOKUP(TEXT($B$3,"yyyymmdd")&amp;"_"&amp;TEXT($B122*60+AJ$109,"0000"),RawData!$A$2:$G$30000,7,FALSE),
    Mapping!$A$4:$B$9,2,FALSE
  ),
"")</f>
        <v>외출</v>
      </c>
      <c r="AK122" s="51" t="str">
        <f>IFERROR(
  VLOOKUP(
    VLOOKUP(TEXT($B$3,"yyyymmdd")&amp;"_"&amp;TEXT($B122*60+AK$109,"0000"),RawData!$A$2:$G$30000,7,FALSE),
    Mapping!$A$4:$B$9,2,FALSE
  ),
"")</f>
        <v>외출</v>
      </c>
      <c r="AL122" s="51" t="str">
        <f>IFERROR(
  VLOOKUP(
    VLOOKUP(TEXT($B$3,"yyyymmdd")&amp;"_"&amp;TEXT($B122*60+AL$109,"0000"),RawData!$A$2:$G$30000,7,FALSE),
    Mapping!$A$4:$B$9,2,FALSE
  ),
"")</f>
        <v>외출</v>
      </c>
      <c r="AM122" s="51" t="str">
        <f>IFERROR(
  VLOOKUP(
    VLOOKUP(TEXT($B$3,"yyyymmdd")&amp;"_"&amp;TEXT($B122*60+AM$109,"0000"),RawData!$A$2:$G$30000,7,FALSE),
    Mapping!$A$4:$B$9,2,FALSE
  ),
"")</f>
        <v>화장실</v>
      </c>
      <c r="AN122" s="51" t="str">
        <f>IFERROR(
  VLOOKUP(
    VLOOKUP(TEXT($B$3,"yyyymmdd")&amp;"_"&amp;TEXT($B122*60+AN$109,"0000"),RawData!$A$2:$G$30000,7,FALSE),
    Mapping!$A$4:$B$9,2,FALSE
  ),
"")</f>
        <v>거실A</v>
      </c>
      <c r="AO122" s="51" t="str">
        <f>IFERROR(
  VLOOKUP(
    VLOOKUP(TEXT($B$3,"yyyymmdd")&amp;"_"&amp;TEXT($B122*60+AO$109,"0000"),RawData!$A$2:$G$30000,7,FALSE),
    Mapping!$A$4:$B$9,2,FALSE
  ),
"")</f>
        <v>주방</v>
      </c>
      <c r="AP122" s="51" t="str">
        <f>IFERROR(
  VLOOKUP(
    VLOOKUP(TEXT($B$3,"yyyymmdd")&amp;"_"&amp;TEXT($B122*60+AP$109,"0000"),RawData!$A$2:$G$30000,7,FALSE),
    Mapping!$A$4:$B$9,2,FALSE
  ),
"")</f>
        <v>주방</v>
      </c>
      <c r="AQ122" s="51" t="str">
        <f>IFERROR(
  VLOOKUP(
    VLOOKUP(TEXT($B$3,"yyyymmdd")&amp;"_"&amp;TEXT($B122*60+AQ$109,"0000"),RawData!$A$2:$G$30000,7,FALSE),
    Mapping!$A$4:$B$9,2,FALSE
  ),
"")</f>
        <v>주방</v>
      </c>
      <c r="AR122" s="51" t="str">
        <f>IFERROR(
  VLOOKUP(
    VLOOKUP(TEXT($B$3,"yyyymmdd")&amp;"_"&amp;TEXT($B122*60+AR$109,"0000"),RawData!$A$2:$G$30000,7,FALSE),
    Mapping!$A$4:$B$9,2,FALSE
  ),
"")</f>
        <v>주방</v>
      </c>
      <c r="AS122" s="51" t="str">
        <f>IFERROR(
  VLOOKUP(
    VLOOKUP(TEXT($B$3,"yyyymmdd")&amp;"_"&amp;TEXT($B122*60+AS$109,"0000"),RawData!$A$2:$G$30000,7,FALSE),
    Mapping!$A$4:$B$9,2,FALSE
  ),
"")</f>
        <v>주방</v>
      </c>
      <c r="AT122" s="51" t="str">
        <f>IFERROR(
  VLOOKUP(
    VLOOKUP(TEXT($B$3,"yyyymmdd")&amp;"_"&amp;TEXT($B122*60+AT$109,"0000"),RawData!$A$2:$G$30000,7,FALSE),
    Mapping!$A$4:$B$9,2,FALSE
  ),
"")</f>
        <v>주방</v>
      </c>
      <c r="AU122" s="51" t="str">
        <f>IFERROR(
  VLOOKUP(
    VLOOKUP(TEXT($B$3,"yyyymmdd")&amp;"_"&amp;TEXT($B122*60+AU$109,"0000"),RawData!$A$2:$G$30000,7,FALSE),
    Mapping!$A$4:$B$9,2,FALSE
  ),
"")</f>
        <v>주방</v>
      </c>
      <c r="AV122" s="51" t="str">
        <f>IFERROR(
  VLOOKUP(
    VLOOKUP(TEXT($B$3,"yyyymmdd")&amp;"_"&amp;TEXT($B122*60+AV$109,"0000"),RawData!$A$2:$G$30000,7,FALSE),
    Mapping!$A$4:$B$9,2,FALSE
  ),
"")</f>
        <v>거실A</v>
      </c>
      <c r="AW122" s="51" t="str">
        <f>IFERROR(
  VLOOKUP(
    VLOOKUP(TEXT($B$3,"yyyymmdd")&amp;"_"&amp;TEXT($B122*60+AW$109,"0000"),RawData!$A$2:$G$30000,7,FALSE),
    Mapping!$A$4:$B$9,2,FALSE
  ),
"")</f>
        <v>주방</v>
      </c>
      <c r="AX122" s="51" t="str">
        <f>IFERROR(
  VLOOKUP(
    VLOOKUP(TEXT($B$3,"yyyymmdd")&amp;"_"&amp;TEXT($B122*60+AX$109,"0000"),RawData!$A$2:$G$30000,7,FALSE),
    Mapping!$A$4:$B$9,2,FALSE
  ),
"")</f>
        <v>주방</v>
      </c>
      <c r="AY122" s="51" t="str">
        <f>IFERROR(
  VLOOKUP(
    VLOOKUP(TEXT($B$3,"yyyymmdd")&amp;"_"&amp;TEXT($B122*60+AY$109,"0000"),RawData!$A$2:$G$30000,7,FALSE),
    Mapping!$A$4:$B$9,2,FALSE
  ),
"")</f>
        <v>거실A</v>
      </c>
      <c r="AZ122" s="51" t="str">
        <f>IFERROR(
  VLOOKUP(
    VLOOKUP(TEXT($B$3,"yyyymmdd")&amp;"_"&amp;TEXT($B122*60+AZ$109,"0000"),RawData!$A$2:$G$30000,7,FALSE),
    Mapping!$A$4:$B$9,2,FALSE
  ),
"")</f>
        <v>거실A</v>
      </c>
      <c r="BA122" s="51" t="str">
        <f>IFERROR(
  VLOOKUP(
    VLOOKUP(TEXT($B$3,"yyyymmdd")&amp;"_"&amp;TEXT($B122*60+BA$109,"0000"),RawData!$A$2:$G$30000,7,FALSE),
    Mapping!$A$4:$B$9,2,FALSE
  ),
"")</f>
        <v>거실A</v>
      </c>
      <c r="BB122" s="51" t="str">
        <f>IFERROR(
  VLOOKUP(
    VLOOKUP(TEXT($B$3,"yyyymmdd")&amp;"_"&amp;TEXT($B122*60+BB$109,"0000"),RawData!$A$2:$G$30000,7,FALSE),
    Mapping!$A$4:$B$9,2,FALSE
  ),
"")</f>
        <v>주방</v>
      </c>
      <c r="BC122" s="51" t="str">
        <f>IFERROR(
  VLOOKUP(
    VLOOKUP(TEXT($B$3,"yyyymmdd")&amp;"_"&amp;TEXT($B122*60+BC$109,"0000"),RawData!$A$2:$G$30000,7,FALSE),
    Mapping!$A$4:$B$9,2,FALSE
  ),
"")</f>
        <v>주방</v>
      </c>
      <c r="BD122" s="51" t="str">
        <f>IFERROR(
  VLOOKUP(
    VLOOKUP(TEXT($B$3,"yyyymmdd")&amp;"_"&amp;TEXT($B122*60+BD$109,"0000"),RawData!$A$2:$G$30000,7,FALSE),
    Mapping!$A$4:$B$9,2,FALSE
  ),
"")</f>
        <v>거실A</v>
      </c>
      <c r="BE122" s="51" t="str">
        <f>IFERROR(
  VLOOKUP(
    VLOOKUP(TEXT($B$3,"yyyymmdd")&amp;"_"&amp;TEXT($B122*60+BE$109,"0000"),RawData!$A$2:$G$30000,7,FALSE),
    Mapping!$A$4:$B$9,2,FALSE
  ),
"")</f>
        <v>거실A</v>
      </c>
      <c r="BF122" s="51" t="str">
        <f>IFERROR(
  VLOOKUP(
    VLOOKUP(TEXT($B$3,"yyyymmdd")&amp;"_"&amp;TEXT($B122*60+BF$109,"0000"),RawData!$A$2:$G$30000,7,FALSE),
    Mapping!$A$4:$B$9,2,FALSE
  ),
"")</f>
        <v>거실A</v>
      </c>
      <c r="BG122" s="51" t="str">
        <f>IFERROR(
  VLOOKUP(
    VLOOKUP(TEXT($B$3,"yyyymmdd")&amp;"_"&amp;TEXT($B122*60+BG$109,"0000"),RawData!$A$2:$G$30000,7,FALSE),
    Mapping!$A$4:$B$9,2,FALSE
  ),
"")</f>
        <v>거실A</v>
      </c>
      <c r="BH122" s="51" t="str">
        <f>IFERROR(
  VLOOKUP(
    VLOOKUP(TEXT($B$3,"yyyymmdd")&amp;"_"&amp;TEXT($B122*60+BH$109,"0000"),RawData!$A$2:$G$30000,7,FALSE),
    Mapping!$A$4:$B$9,2,FALSE
  ),
"")</f>
        <v>거실A</v>
      </c>
      <c r="BI122" s="51" t="str">
        <f>IFERROR(
  VLOOKUP(
    VLOOKUP(TEXT($B$3,"yyyymmdd")&amp;"_"&amp;TEXT($B122*60+BI$109,"0000"),RawData!$A$2:$G$30000,7,FALSE),
    Mapping!$A$4:$B$9,2,FALSE
  ),
"")</f>
        <v>주방</v>
      </c>
      <c r="BJ122" s="51" t="str">
        <f>IFERROR(
  VLOOKUP(
    VLOOKUP(TEXT($B$3,"yyyymmdd")&amp;"_"&amp;TEXT($B122*60+BJ$109,"0000"),RawData!$A$2:$G$30000,7,FALSE),
    Mapping!$A$4:$B$9,2,FALSE
  ),
"")</f>
        <v>거실A</v>
      </c>
      <c r="BK122" s="4" t="str">
        <f>IFERROR(VLOOKUP(TEXT($B$3,"yyyymmdd")&amp;"_"&amp;TEXT(111,"0000"),RawData!$A$2:$F$1441,4,FALSE),"")</f>
        <v>00</v>
      </c>
      <c r="BL122" s="19">
        <f>TIME(0,0,0)+111/1440</f>
        <v>7.7083333333333337E-2</v>
      </c>
      <c r="BM122" s="4">
        <f>IFERROR(VLOOKUP(TEXT($B$3,"yyyymmdd")&amp;"_"&amp;TEXT(111,"0000"),RawData!$A$2:$F$1441,5,FALSE),"")</f>
        <v>0</v>
      </c>
      <c r="BN122" s="4">
        <f t="shared" si="2"/>
        <v>0</v>
      </c>
    </row>
    <row r="123" spans="2:66" x14ac:dyDescent="0.6">
      <c r="B123" s="18">
        <v>13</v>
      </c>
      <c r="C123" s="51" t="str">
        <f>IFERROR(
  VLOOKUP(
    VLOOKUP(TEXT($B$3,"yyyymmdd")&amp;"_"&amp;TEXT($B123*60+C$109,"0000"),RawData!$A$2:$G$30000,7,FALSE),
    Mapping!$A$4:$B$9,2,FALSE
  ),
"")</f>
        <v>거실A</v>
      </c>
      <c r="D123" s="51" t="str">
        <f>IFERROR(
  VLOOKUP(
    VLOOKUP(TEXT($B$3,"yyyymmdd")&amp;"_"&amp;TEXT($B123*60+D$109,"0000"),RawData!$A$2:$G$30000,7,FALSE),
    Mapping!$A$4:$B$9,2,FALSE
  ),
"")</f>
        <v>주방</v>
      </c>
      <c r="E123" s="51" t="str">
        <f>IFERROR(
  VLOOKUP(
    VLOOKUP(TEXT($B$3,"yyyymmdd")&amp;"_"&amp;TEXT($B123*60+E$109,"0000"),RawData!$A$2:$G$30000,7,FALSE),
    Mapping!$A$4:$B$9,2,FALSE
  ),
"")</f>
        <v>주방</v>
      </c>
      <c r="F123" s="51" t="str">
        <f>IFERROR(
  VLOOKUP(
    VLOOKUP(TEXT($B$3,"yyyymmdd")&amp;"_"&amp;TEXT($B123*60+F$109,"0000"),RawData!$A$2:$G$30000,7,FALSE),
    Mapping!$A$4:$B$9,2,FALSE
  ),
"")</f>
        <v>거실A</v>
      </c>
      <c r="G123" s="51" t="str">
        <f>IFERROR(
  VLOOKUP(
    VLOOKUP(TEXT($B$3,"yyyymmdd")&amp;"_"&amp;TEXT($B123*60+G$109,"0000"),RawData!$A$2:$G$30000,7,FALSE),
    Mapping!$A$4:$B$9,2,FALSE
  ),
"")</f>
        <v>거실A</v>
      </c>
      <c r="H123" s="51" t="str">
        <f>IFERROR(
  VLOOKUP(
    VLOOKUP(TEXT($B$3,"yyyymmdd")&amp;"_"&amp;TEXT($B123*60+H$109,"0000"),RawData!$A$2:$G$30000,7,FALSE),
    Mapping!$A$4:$B$9,2,FALSE
  ),
"")</f>
        <v>거실A</v>
      </c>
      <c r="I123" s="51" t="str">
        <f>IFERROR(
  VLOOKUP(
    VLOOKUP(TEXT($B$3,"yyyymmdd")&amp;"_"&amp;TEXT($B123*60+I$109,"0000"),RawData!$A$2:$G$30000,7,FALSE),
    Mapping!$A$4:$B$9,2,FALSE
  ),
"")</f>
        <v>거실A</v>
      </c>
      <c r="J123" s="51" t="str">
        <f>IFERROR(
  VLOOKUP(
    VLOOKUP(TEXT($B$3,"yyyymmdd")&amp;"_"&amp;TEXT($B123*60+J$109,"0000"),RawData!$A$2:$G$30000,7,FALSE),
    Mapping!$A$4:$B$9,2,FALSE
  ),
"")</f>
        <v>거실A</v>
      </c>
      <c r="K123" s="51" t="str">
        <f>IFERROR(
  VLOOKUP(
    VLOOKUP(TEXT($B$3,"yyyymmdd")&amp;"_"&amp;TEXT($B123*60+K$109,"0000"),RawData!$A$2:$G$30000,7,FALSE),
    Mapping!$A$4:$B$9,2,FALSE
  ),
"")</f>
        <v>거실A</v>
      </c>
      <c r="L123" s="51" t="str">
        <f>IFERROR(
  VLOOKUP(
    VLOOKUP(TEXT($B$3,"yyyymmdd")&amp;"_"&amp;TEXT($B123*60+L$109,"0000"),RawData!$A$2:$G$30000,7,FALSE),
    Mapping!$A$4:$B$9,2,FALSE
  ),
"")</f>
        <v>거실A</v>
      </c>
      <c r="M123" s="51" t="str">
        <f>IFERROR(
  VLOOKUP(
    VLOOKUP(TEXT($B$3,"yyyymmdd")&amp;"_"&amp;TEXT($B123*60+M$109,"0000"),RawData!$A$2:$G$30000,7,FALSE),
    Mapping!$A$4:$B$9,2,FALSE
  ),
"")</f>
        <v>주방</v>
      </c>
      <c r="N123" s="51" t="str">
        <f>IFERROR(
  VLOOKUP(
    VLOOKUP(TEXT($B$3,"yyyymmdd")&amp;"_"&amp;TEXT($B123*60+N$109,"0000"),RawData!$A$2:$G$30000,7,FALSE),
    Mapping!$A$4:$B$9,2,FALSE
  ),
"")</f>
        <v>주방</v>
      </c>
      <c r="O123" s="51" t="str">
        <f>IFERROR(
  VLOOKUP(
    VLOOKUP(TEXT($B$3,"yyyymmdd")&amp;"_"&amp;TEXT($B123*60+O$109,"0000"),RawData!$A$2:$G$30000,7,FALSE),
    Mapping!$A$4:$B$9,2,FALSE
  ),
"")</f>
        <v>거실A</v>
      </c>
      <c r="P123" s="51" t="str">
        <f>IFERROR(
  VLOOKUP(
    VLOOKUP(TEXT($B$3,"yyyymmdd")&amp;"_"&amp;TEXT($B123*60+P$109,"0000"),RawData!$A$2:$G$30000,7,FALSE),
    Mapping!$A$4:$B$9,2,FALSE
  ),
"")</f>
        <v>거실A</v>
      </c>
      <c r="Q123" s="51" t="str">
        <f>IFERROR(
  VLOOKUP(
    VLOOKUP(TEXT($B$3,"yyyymmdd")&amp;"_"&amp;TEXT($B123*60+Q$109,"0000"),RawData!$A$2:$G$30000,7,FALSE),
    Mapping!$A$4:$B$9,2,FALSE
  ),
"")</f>
        <v>거실A</v>
      </c>
      <c r="R123" s="51" t="str">
        <f>IFERROR(
  VLOOKUP(
    VLOOKUP(TEXT($B$3,"yyyymmdd")&amp;"_"&amp;TEXT($B123*60+R$109,"0000"),RawData!$A$2:$G$30000,7,FALSE),
    Mapping!$A$4:$B$9,2,FALSE
  ),
"")</f>
        <v>거실A</v>
      </c>
      <c r="S123" s="51" t="str">
        <f>IFERROR(
  VLOOKUP(
    VLOOKUP(TEXT($B$3,"yyyymmdd")&amp;"_"&amp;TEXT($B123*60+S$109,"0000"),RawData!$A$2:$G$30000,7,FALSE),
    Mapping!$A$4:$B$9,2,FALSE
  ),
"")</f>
        <v>주방</v>
      </c>
      <c r="T123" s="51" t="str">
        <f>IFERROR(
  VLOOKUP(
    VLOOKUP(TEXT($B$3,"yyyymmdd")&amp;"_"&amp;TEXT($B123*60+T$109,"0000"),RawData!$A$2:$G$30000,7,FALSE),
    Mapping!$A$4:$B$9,2,FALSE
  ),
"")</f>
        <v>주방</v>
      </c>
      <c r="U123" s="51" t="str">
        <f>IFERROR(
  VLOOKUP(
    VLOOKUP(TEXT($B$3,"yyyymmdd")&amp;"_"&amp;TEXT($B123*60+U$109,"0000"),RawData!$A$2:$G$30000,7,FALSE),
    Mapping!$A$4:$B$9,2,FALSE
  ),
"")</f>
        <v>거실A</v>
      </c>
      <c r="V123" s="51" t="str">
        <f>IFERROR(
  VLOOKUP(
    VLOOKUP(TEXT($B$3,"yyyymmdd")&amp;"_"&amp;TEXT($B123*60+V$109,"0000"),RawData!$A$2:$G$30000,7,FALSE),
    Mapping!$A$4:$B$9,2,FALSE
  ),
"")</f>
        <v>거실A</v>
      </c>
      <c r="W123" s="51" t="str">
        <f>IFERROR(
  VLOOKUP(
    VLOOKUP(TEXT($B$3,"yyyymmdd")&amp;"_"&amp;TEXT($B123*60+W$109,"0000"),RawData!$A$2:$G$30000,7,FALSE),
    Mapping!$A$4:$B$9,2,FALSE
  ),
"")</f>
        <v>주방</v>
      </c>
      <c r="X123" s="51" t="str">
        <f>IFERROR(
  VLOOKUP(
    VLOOKUP(TEXT($B$3,"yyyymmdd")&amp;"_"&amp;TEXT($B123*60+X$109,"0000"),RawData!$A$2:$G$30000,7,FALSE),
    Mapping!$A$4:$B$9,2,FALSE
  ),
"")</f>
        <v>주방</v>
      </c>
      <c r="Y123" s="51" t="str">
        <f>IFERROR(
  VLOOKUP(
    VLOOKUP(TEXT($B$3,"yyyymmdd")&amp;"_"&amp;TEXT($B123*60+Y$109,"0000"),RawData!$A$2:$G$30000,7,FALSE),
    Mapping!$A$4:$B$9,2,FALSE
  ),
"")</f>
        <v>주방</v>
      </c>
      <c r="Z123" s="51" t="str">
        <f>IFERROR(
  VLOOKUP(
    VLOOKUP(TEXT($B$3,"yyyymmdd")&amp;"_"&amp;TEXT($B123*60+Z$109,"0000"),RawData!$A$2:$G$30000,7,FALSE),
    Mapping!$A$4:$B$9,2,FALSE
  ),
"")</f>
        <v>주방</v>
      </c>
      <c r="AA123" s="51" t="str">
        <f>IFERROR(
  VLOOKUP(
    VLOOKUP(TEXT($B$3,"yyyymmdd")&amp;"_"&amp;TEXT($B123*60+AA$109,"0000"),RawData!$A$2:$G$30000,7,FALSE),
    Mapping!$A$4:$B$9,2,FALSE
  ),
"")</f>
        <v>주방</v>
      </c>
      <c r="AB123" s="51" t="str">
        <f>IFERROR(
  VLOOKUP(
    VLOOKUP(TEXT($B$3,"yyyymmdd")&amp;"_"&amp;TEXT($B123*60+AB$109,"0000"),RawData!$A$2:$G$30000,7,FALSE),
    Mapping!$A$4:$B$9,2,FALSE
  ),
"")</f>
        <v>주방</v>
      </c>
      <c r="AC123" s="51" t="str">
        <f>IFERROR(
  VLOOKUP(
    VLOOKUP(TEXT($B$3,"yyyymmdd")&amp;"_"&amp;TEXT($B123*60+AC$109,"0000"),RawData!$A$2:$G$30000,7,FALSE),
    Mapping!$A$4:$B$9,2,FALSE
  ),
"")</f>
        <v>주방</v>
      </c>
      <c r="AD123" s="51" t="str">
        <f>IFERROR(
  VLOOKUP(
    VLOOKUP(TEXT($B$3,"yyyymmdd")&amp;"_"&amp;TEXT($B123*60+AD$109,"0000"),RawData!$A$2:$G$30000,7,FALSE),
    Mapping!$A$4:$B$9,2,FALSE
  ),
"")</f>
        <v>주방</v>
      </c>
      <c r="AE123" s="51" t="str">
        <f>IFERROR(
  VLOOKUP(
    VLOOKUP(TEXT($B$3,"yyyymmdd")&amp;"_"&amp;TEXT($B123*60+AE$109,"0000"),RawData!$A$2:$G$30000,7,FALSE),
    Mapping!$A$4:$B$9,2,FALSE
  ),
"")</f>
        <v>주방</v>
      </c>
      <c r="AF123" s="51" t="str">
        <f>IFERROR(
  VLOOKUP(
    VLOOKUP(TEXT($B$3,"yyyymmdd")&amp;"_"&amp;TEXT($B123*60+AF$109,"0000"),RawData!$A$2:$G$30000,7,FALSE),
    Mapping!$A$4:$B$9,2,FALSE
  ),
"")</f>
        <v>주방</v>
      </c>
      <c r="AG123" s="51" t="str">
        <f>IFERROR(
  VLOOKUP(
    VLOOKUP(TEXT($B$3,"yyyymmdd")&amp;"_"&amp;TEXT($B123*60+AG$109,"0000"),RawData!$A$2:$G$30000,7,FALSE),
    Mapping!$A$4:$B$9,2,FALSE
  ),
"")</f>
        <v>주방</v>
      </c>
      <c r="AH123" s="51" t="str">
        <f>IFERROR(
  VLOOKUP(
    VLOOKUP(TEXT($B$3,"yyyymmdd")&amp;"_"&amp;TEXT($B123*60+AH$109,"0000"),RawData!$A$2:$G$30000,7,FALSE),
    Mapping!$A$4:$B$9,2,FALSE
  ),
"")</f>
        <v>주방</v>
      </c>
      <c r="AI123" s="51" t="str">
        <f>IFERROR(
  VLOOKUP(
    VLOOKUP(TEXT($B$3,"yyyymmdd")&amp;"_"&amp;TEXT($B123*60+AI$109,"0000"),RawData!$A$2:$G$30000,7,FALSE),
    Mapping!$A$4:$B$9,2,FALSE
  ),
"")</f>
        <v>주방</v>
      </c>
      <c r="AJ123" s="51" t="str">
        <f>IFERROR(
  VLOOKUP(
    VLOOKUP(TEXT($B$3,"yyyymmdd")&amp;"_"&amp;TEXT($B123*60+AJ$109,"0000"),RawData!$A$2:$G$30000,7,FALSE),
    Mapping!$A$4:$B$9,2,FALSE
  ),
"")</f>
        <v>주방</v>
      </c>
      <c r="AK123" s="51" t="str">
        <f>IFERROR(
  VLOOKUP(
    VLOOKUP(TEXT($B$3,"yyyymmdd")&amp;"_"&amp;TEXT($B123*60+AK$109,"0000"),RawData!$A$2:$G$30000,7,FALSE),
    Mapping!$A$4:$B$9,2,FALSE
  ),
"")</f>
        <v>주방</v>
      </c>
      <c r="AL123" s="51" t="str">
        <f>IFERROR(
  VLOOKUP(
    VLOOKUP(TEXT($B$3,"yyyymmdd")&amp;"_"&amp;TEXT($B123*60+AL$109,"0000"),RawData!$A$2:$G$30000,7,FALSE),
    Mapping!$A$4:$B$9,2,FALSE
  ),
"")</f>
        <v>주방</v>
      </c>
      <c r="AM123" s="51" t="str">
        <f>IFERROR(
  VLOOKUP(
    VLOOKUP(TEXT($B$3,"yyyymmdd")&amp;"_"&amp;TEXT($B123*60+AM$109,"0000"),RawData!$A$2:$G$30000,7,FALSE),
    Mapping!$A$4:$B$9,2,FALSE
  ),
"")</f>
        <v>주방</v>
      </c>
      <c r="AN123" s="51" t="str">
        <f>IFERROR(
  VLOOKUP(
    VLOOKUP(TEXT($B$3,"yyyymmdd")&amp;"_"&amp;TEXT($B123*60+AN$109,"0000"),RawData!$A$2:$G$30000,7,FALSE),
    Mapping!$A$4:$B$9,2,FALSE
  ),
"")</f>
        <v>주방</v>
      </c>
      <c r="AO123" s="51" t="str">
        <f>IFERROR(
  VLOOKUP(
    VLOOKUP(TEXT($B$3,"yyyymmdd")&amp;"_"&amp;TEXT($B123*60+AO$109,"0000"),RawData!$A$2:$G$30000,7,FALSE),
    Mapping!$A$4:$B$9,2,FALSE
  ),
"")</f>
        <v>주방</v>
      </c>
      <c r="AP123" s="51" t="str">
        <f>IFERROR(
  VLOOKUP(
    VLOOKUP(TEXT($B$3,"yyyymmdd")&amp;"_"&amp;TEXT($B123*60+AP$109,"0000"),RawData!$A$2:$G$30000,7,FALSE),
    Mapping!$A$4:$B$9,2,FALSE
  ),
"")</f>
        <v>주방</v>
      </c>
      <c r="AQ123" s="51" t="str">
        <f>IFERROR(
  VLOOKUP(
    VLOOKUP(TEXT($B$3,"yyyymmdd")&amp;"_"&amp;TEXT($B123*60+AQ$109,"0000"),RawData!$A$2:$G$30000,7,FALSE),
    Mapping!$A$4:$B$9,2,FALSE
  ),
"")</f>
        <v>주방</v>
      </c>
      <c r="AR123" s="51" t="str">
        <f>IFERROR(
  VLOOKUP(
    VLOOKUP(TEXT($B$3,"yyyymmdd")&amp;"_"&amp;TEXT($B123*60+AR$109,"0000"),RawData!$A$2:$G$30000,7,FALSE),
    Mapping!$A$4:$B$9,2,FALSE
  ),
"")</f>
        <v>주방</v>
      </c>
      <c r="AS123" s="51" t="str">
        <f>IFERROR(
  VLOOKUP(
    VLOOKUP(TEXT($B$3,"yyyymmdd")&amp;"_"&amp;TEXT($B123*60+AS$109,"0000"),RawData!$A$2:$G$30000,7,FALSE),
    Mapping!$A$4:$B$9,2,FALSE
  ),
"")</f>
        <v>주방</v>
      </c>
      <c r="AT123" s="51" t="str">
        <f>IFERROR(
  VLOOKUP(
    VLOOKUP(TEXT($B$3,"yyyymmdd")&amp;"_"&amp;TEXT($B123*60+AT$109,"0000"),RawData!$A$2:$G$30000,7,FALSE),
    Mapping!$A$4:$B$9,2,FALSE
  ),
"")</f>
        <v>주방</v>
      </c>
      <c r="AU123" s="51" t="str">
        <f>IFERROR(
  VLOOKUP(
    VLOOKUP(TEXT($B$3,"yyyymmdd")&amp;"_"&amp;TEXT($B123*60+AU$109,"0000"),RawData!$A$2:$G$30000,7,FALSE),
    Mapping!$A$4:$B$9,2,FALSE
  ),
"")</f>
        <v>주방</v>
      </c>
      <c r="AV123" s="51" t="str">
        <f>IFERROR(
  VLOOKUP(
    VLOOKUP(TEXT($B$3,"yyyymmdd")&amp;"_"&amp;TEXT($B123*60+AV$109,"0000"),RawData!$A$2:$G$30000,7,FALSE),
    Mapping!$A$4:$B$9,2,FALSE
  ),
"")</f>
        <v>주방</v>
      </c>
      <c r="AW123" s="51" t="str">
        <f>IFERROR(
  VLOOKUP(
    VLOOKUP(TEXT($B$3,"yyyymmdd")&amp;"_"&amp;TEXT($B123*60+AW$109,"0000"),RawData!$A$2:$G$30000,7,FALSE),
    Mapping!$A$4:$B$9,2,FALSE
  ),
"")</f>
        <v>주방</v>
      </c>
      <c r="AX123" s="51" t="str">
        <f>IFERROR(
  VLOOKUP(
    VLOOKUP(TEXT($B$3,"yyyymmdd")&amp;"_"&amp;TEXT($B123*60+AX$109,"0000"),RawData!$A$2:$G$30000,7,FALSE),
    Mapping!$A$4:$B$9,2,FALSE
  ),
"")</f>
        <v>주방</v>
      </c>
      <c r="AY123" s="51" t="str">
        <f>IFERROR(
  VLOOKUP(
    VLOOKUP(TEXT($B$3,"yyyymmdd")&amp;"_"&amp;TEXT($B123*60+AY$109,"0000"),RawData!$A$2:$G$30000,7,FALSE),
    Mapping!$A$4:$B$9,2,FALSE
  ),
"")</f>
        <v>주방</v>
      </c>
      <c r="AZ123" s="51" t="str">
        <f>IFERROR(
  VLOOKUP(
    VLOOKUP(TEXT($B$3,"yyyymmdd")&amp;"_"&amp;TEXT($B123*60+AZ$109,"0000"),RawData!$A$2:$G$30000,7,FALSE),
    Mapping!$A$4:$B$9,2,FALSE
  ),
"")</f>
        <v>주방</v>
      </c>
      <c r="BA123" s="51" t="str">
        <f>IFERROR(
  VLOOKUP(
    VLOOKUP(TEXT($B$3,"yyyymmdd")&amp;"_"&amp;TEXT($B123*60+BA$109,"0000"),RawData!$A$2:$G$30000,7,FALSE),
    Mapping!$A$4:$B$9,2,FALSE
  ),
"")</f>
        <v>주방</v>
      </c>
      <c r="BB123" s="51" t="str">
        <f>IFERROR(
  VLOOKUP(
    VLOOKUP(TEXT($B$3,"yyyymmdd")&amp;"_"&amp;TEXT($B123*60+BB$109,"0000"),RawData!$A$2:$G$30000,7,FALSE),
    Mapping!$A$4:$B$9,2,FALSE
  ),
"")</f>
        <v>주방</v>
      </c>
      <c r="BC123" s="51" t="str">
        <f>IFERROR(
  VLOOKUP(
    VLOOKUP(TEXT($B$3,"yyyymmdd")&amp;"_"&amp;TEXT($B123*60+BC$109,"0000"),RawData!$A$2:$G$30000,7,FALSE),
    Mapping!$A$4:$B$9,2,FALSE
  ),
"")</f>
        <v>주방</v>
      </c>
      <c r="BD123" s="51" t="str">
        <f>IFERROR(
  VLOOKUP(
    VLOOKUP(TEXT($B$3,"yyyymmdd")&amp;"_"&amp;TEXT($B123*60+BD$109,"0000"),RawData!$A$2:$G$30000,7,FALSE),
    Mapping!$A$4:$B$9,2,FALSE
  ),
"")</f>
        <v>주방</v>
      </c>
      <c r="BE123" s="51" t="str">
        <f>IFERROR(
  VLOOKUP(
    VLOOKUP(TEXT($B$3,"yyyymmdd")&amp;"_"&amp;TEXT($B123*60+BE$109,"0000"),RawData!$A$2:$G$30000,7,FALSE),
    Mapping!$A$4:$B$9,2,FALSE
  ),
"")</f>
        <v>주방</v>
      </c>
      <c r="BF123" s="51" t="str">
        <f>IFERROR(
  VLOOKUP(
    VLOOKUP(TEXT($B$3,"yyyymmdd")&amp;"_"&amp;TEXT($B123*60+BF$109,"0000"),RawData!$A$2:$G$30000,7,FALSE),
    Mapping!$A$4:$B$9,2,FALSE
  ),
"")</f>
        <v>주방</v>
      </c>
      <c r="BG123" s="51" t="str">
        <f>IFERROR(
  VLOOKUP(
    VLOOKUP(TEXT($B$3,"yyyymmdd")&amp;"_"&amp;TEXT($B123*60+BG$109,"0000"),RawData!$A$2:$G$30000,7,FALSE),
    Mapping!$A$4:$B$9,2,FALSE
  ),
"")</f>
        <v>주방</v>
      </c>
      <c r="BH123" s="51" t="str">
        <f>IFERROR(
  VLOOKUP(
    VLOOKUP(TEXT($B$3,"yyyymmdd")&amp;"_"&amp;TEXT($B123*60+BH$109,"0000"),RawData!$A$2:$G$30000,7,FALSE),
    Mapping!$A$4:$B$9,2,FALSE
  ),
"")</f>
        <v>주방</v>
      </c>
      <c r="BI123" s="51" t="str">
        <f>IFERROR(
  VLOOKUP(
    VLOOKUP(TEXT($B$3,"yyyymmdd")&amp;"_"&amp;TEXT($B123*60+BI$109,"0000"),RawData!$A$2:$G$30000,7,FALSE),
    Mapping!$A$4:$B$9,2,FALSE
  ),
"")</f>
        <v>주방</v>
      </c>
      <c r="BJ123" s="51" t="str">
        <f>IFERROR(
  VLOOKUP(
    VLOOKUP(TEXT($B$3,"yyyymmdd")&amp;"_"&amp;TEXT($B123*60+BJ$109,"0000"),RawData!$A$2:$G$30000,7,FALSE),
    Mapping!$A$4:$B$9,2,FALSE
  ),
"")</f>
        <v>주방</v>
      </c>
      <c r="BK123" s="4" t="str">
        <f>IFERROR(VLOOKUP(TEXT($B$3,"yyyymmdd")&amp;"_"&amp;TEXT(112,"0000"),RawData!$A$2:$F$1441,4,FALSE),"")</f>
        <v>00</v>
      </c>
      <c r="BL123" s="19">
        <f>TIME(0,0,0)+112/1440</f>
        <v>7.7777777777777779E-2</v>
      </c>
      <c r="BM123" s="4">
        <f>IFERROR(VLOOKUP(TEXT($B$3,"yyyymmdd")&amp;"_"&amp;TEXT(112,"0000"),RawData!$A$2:$F$1441,5,FALSE),"")</f>
        <v>0</v>
      </c>
      <c r="BN123" s="4">
        <f t="shared" si="2"/>
        <v>0</v>
      </c>
    </row>
    <row r="124" spans="2:66" x14ac:dyDescent="0.6">
      <c r="B124" s="18">
        <v>14</v>
      </c>
      <c r="C124" s="51" t="str">
        <f>IFERROR(
  VLOOKUP(
    VLOOKUP(TEXT($B$3,"yyyymmdd")&amp;"_"&amp;TEXT($B124*60+C$109,"0000"),RawData!$A$2:$G$30000,7,FALSE),
    Mapping!$A$4:$B$9,2,FALSE
  ),
"")</f>
        <v>주방</v>
      </c>
      <c r="D124" s="51" t="str">
        <f>IFERROR(
  VLOOKUP(
    VLOOKUP(TEXT($B$3,"yyyymmdd")&amp;"_"&amp;TEXT($B124*60+D$109,"0000"),RawData!$A$2:$G$30000,7,FALSE),
    Mapping!$A$4:$B$9,2,FALSE
  ),
"")</f>
        <v>주방</v>
      </c>
      <c r="E124" s="51" t="str">
        <f>IFERROR(
  VLOOKUP(
    VLOOKUP(TEXT($B$3,"yyyymmdd")&amp;"_"&amp;TEXT($B124*60+E$109,"0000"),RawData!$A$2:$G$30000,7,FALSE),
    Mapping!$A$4:$B$9,2,FALSE
  ),
"")</f>
        <v>거실A</v>
      </c>
      <c r="F124" s="51" t="str">
        <f>IFERROR(
  VLOOKUP(
    VLOOKUP(TEXT($B$3,"yyyymmdd")&amp;"_"&amp;TEXT($B124*60+F$109,"0000"),RawData!$A$2:$G$30000,7,FALSE),
    Mapping!$A$4:$B$9,2,FALSE
  ),
"")</f>
        <v>주방</v>
      </c>
      <c r="G124" s="51" t="str">
        <f>IFERROR(
  VLOOKUP(
    VLOOKUP(TEXT($B$3,"yyyymmdd")&amp;"_"&amp;TEXT($B124*60+G$109,"0000"),RawData!$A$2:$G$30000,7,FALSE),
    Mapping!$A$4:$B$9,2,FALSE
  ),
"")</f>
        <v>주방</v>
      </c>
      <c r="H124" s="51" t="str">
        <f>IFERROR(
  VLOOKUP(
    VLOOKUP(TEXT($B$3,"yyyymmdd")&amp;"_"&amp;TEXT($B124*60+H$109,"0000"),RawData!$A$2:$G$30000,7,FALSE),
    Mapping!$A$4:$B$9,2,FALSE
  ),
"")</f>
        <v>주방</v>
      </c>
      <c r="I124" s="51" t="str">
        <f>IFERROR(
  VLOOKUP(
    VLOOKUP(TEXT($B$3,"yyyymmdd")&amp;"_"&amp;TEXT($B124*60+I$109,"0000"),RawData!$A$2:$G$30000,7,FALSE),
    Mapping!$A$4:$B$9,2,FALSE
  ),
"")</f>
        <v>거실A</v>
      </c>
      <c r="J124" s="51" t="str">
        <f>IFERROR(
  VLOOKUP(
    VLOOKUP(TEXT($B$3,"yyyymmdd")&amp;"_"&amp;TEXT($B124*60+J$109,"0000"),RawData!$A$2:$G$30000,7,FALSE),
    Mapping!$A$4:$B$9,2,FALSE
  ),
"")</f>
        <v>거실A</v>
      </c>
      <c r="K124" s="51" t="str">
        <f>IFERROR(
  VLOOKUP(
    VLOOKUP(TEXT($B$3,"yyyymmdd")&amp;"_"&amp;TEXT($B124*60+K$109,"0000"),RawData!$A$2:$G$30000,7,FALSE),
    Mapping!$A$4:$B$9,2,FALSE
  ),
"")</f>
        <v>거실A</v>
      </c>
      <c r="L124" s="51" t="str">
        <f>IFERROR(
  VLOOKUP(
    VLOOKUP(TEXT($B$3,"yyyymmdd")&amp;"_"&amp;TEXT($B124*60+L$109,"0000"),RawData!$A$2:$G$30000,7,FALSE),
    Mapping!$A$4:$B$9,2,FALSE
  ),
"")</f>
        <v>거실A</v>
      </c>
      <c r="M124" s="51" t="str">
        <f>IFERROR(
  VLOOKUP(
    VLOOKUP(TEXT($B$3,"yyyymmdd")&amp;"_"&amp;TEXT($B124*60+M$109,"0000"),RawData!$A$2:$G$30000,7,FALSE),
    Mapping!$A$4:$B$9,2,FALSE
  ),
"")</f>
        <v>거실A</v>
      </c>
      <c r="N124" s="51" t="str">
        <f>IFERROR(
  VLOOKUP(
    VLOOKUP(TEXT($B$3,"yyyymmdd")&amp;"_"&amp;TEXT($B124*60+N$109,"0000"),RawData!$A$2:$G$30000,7,FALSE),
    Mapping!$A$4:$B$9,2,FALSE
  ),
"")</f>
        <v>주방</v>
      </c>
      <c r="O124" s="51" t="str">
        <f>IFERROR(
  VLOOKUP(
    VLOOKUP(TEXT($B$3,"yyyymmdd")&amp;"_"&amp;TEXT($B124*60+O$109,"0000"),RawData!$A$2:$G$30000,7,FALSE),
    Mapping!$A$4:$B$9,2,FALSE
  ),
"")</f>
        <v>주방</v>
      </c>
      <c r="P124" s="51" t="str">
        <f>IFERROR(
  VLOOKUP(
    VLOOKUP(TEXT($B$3,"yyyymmdd")&amp;"_"&amp;TEXT($B124*60+P$109,"0000"),RawData!$A$2:$G$30000,7,FALSE),
    Mapping!$A$4:$B$9,2,FALSE
  ),
"")</f>
        <v>주방</v>
      </c>
      <c r="Q124" s="51" t="str">
        <f>IFERROR(
  VLOOKUP(
    VLOOKUP(TEXT($B$3,"yyyymmdd")&amp;"_"&amp;TEXT($B124*60+Q$109,"0000"),RawData!$A$2:$G$30000,7,FALSE),
    Mapping!$A$4:$B$9,2,FALSE
  ),
"")</f>
        <v>주방</v>
      </c>
      <c r="R124" s="51" t="str">
        <f>IFERROR(
  VLOOKUP(
    VLOOKUP(TEXT($B$3,"yyyymmdd")&amp;"_"&amp;TEXT($B124*60+R$109,"0000"),RawData!$A$2:$G$30000,7,FALSE),
    Mapping!$A$4:$B$9,2,FALSE
  ),
"")</f>
        <v>주방</v>
      </c>
      <c r="S124" s="51" t="str">
        <f>IFERROR(
  VLOOKUP(
    VLOOKUP(TEXT($B$3,"yyyymmdd")&amp;"_"&amp;TEXT($B124*60+S$109,"0000"),RawData!$A$2:$G$30000,7,FALSE),
    Mapping!$A$4:$B$9,2,FALSE
  ),
"")</f>
        <v>주방</v>
      </c>
      <c r="T124" s="51" t="str">
        <f>IFERROR(
  VLOOKUP(
    VLOOKUP(TEXT($B$3,"yyyymmdd")&amp;"_"&amp;TEXT($B124*60+T$109,"0000"),RawData!$A$2:$G$30000,7,FALSE),
    Mapping!$A$4:$B$9,2,FALSE
  ),
"")</f>
        <v>주방</v>
      </c>
      <c r="U124" s="51" t="str">
        <f>IFERROR(
  VLOOKUP(
    VLOOKUP(TEXT($B$3,"yyyymmdd")&amp;"_"&amp;TEXT($B124*60+U$109,"0000"),RawData!$A$2:$G$30000,7,FALSE),
    Mapping!$A$4:$B$9,2,FALSE
  ),
"")</f>
        <v>주방</v>
      </c>
      <c r="V124" s="51" t="str">
        <f>IFERROR(
  VLOOKUP(
    VLOOKUP(TEXT($B$3,"yyyymmdd")&amp;"_"&amp;TEXT($B124*60+V$109,"0000"),RawData!$A$2:$G$30000,7,FALSE),
    Mapping!$A$4:$B$9,2,FALSE
  ),
"")</f>
        <v>화장실</v>
      </c>
      <c r="W124" s="51" t="str">
        <f>IFERROR(
  VLOOKUP(
    VLOOKUP(TEXT($B$3,"yyyymmdd")&amp;"_"&amp;TEXT($B124*60+W$109,"0000"),RawData!$A$2:$G$30000,7,FALSE),
    Mapping!$A$4:$B$9,2,FALSE
  ),
"")</f>
        <v>주방</v>
      </c>
      <c r="X124" s="51" t="str">
        <f>IFERROR(
  VLOOKUP(
    VLOOKUP(TEXT($B$3,"yyyymmdd")&amp;"_"&amp;TEXT($B124*60+X$109,"0000"),RawData!$A$2:$G$30000,7,FALSE),
    Mapping!$A$4:$B$9,2,FALSE
  ),
"")</f>
        <v>거실A</v>
      </c>
      <c r="Y124" s="51" t="str">
        <f>IFERROR(
  VLOOKUP(
    VLOOKUP(TEXT($B$3,"yyyymmdd")&amp;"_"&amp;TEXT($B124*60+Y$109,"0000"),RawData!$A$2:$G$30000,7,FALSE),
    Mapping!$A$4:$B$9,2,FALSE
  ),
"")</f>
        <v>거실A</v>
      </c>
      <c r="Z124" s="51" t="str">
        <f>IFERROR(
  VLOOKUP(
    VLOOKUP(TEXT($B$3,"yyyymmdd")&amp;"_"&amp;TEXT($B124*60+Z$109,"0000"),RawData!$A$2:$G$30000,7,FALSE),
    Mapping!$A$4:$B$9,2,FALSE
  ),
"")</f>
        <v>거실A</v>
      </c>
      <c r="AA124" s="51" t="str">
        <f>IFERROR(
  VLOOKUP(
    VLOOKUP(TEXT($B$3,"yyyymmdd")&amp;"_"&amp;TEXT($B124*60+AA$109,"0000"),RawData!$A$2:$G$30000,7,FALSE),
    Mapping!$A$4:$B$9,2,FALSE
  ),
"")</f>
        <v>거실A</v>
      </c>
      <c r="AB124" s="51" t="str">
        <f>IFERROR(
  VLOOKUP(
    VLOOKUP(TEXT($B$3,"yyyymmdd")&amp;"_"&amp;TEXT($B124*60+AB$109,"0000"),RawData!$A$2:$G$30000,7,FALSE),
    Mapping!$A$4:$B$9,2,FALSE
  ),
"")</f>
        <v>거실A</v>
      </c>
      <c r="AC124" s="51" t="str">
        <f>IFERROR(
  VLOOKUP(
    VLOOKUP(TEXT($B$3,"yyyymmdd")&amp;"_"&amp;TEXT($B124*60+AC$109,"0000"),RawData!$A$2:$G$30000,7,FALSE),
    Mapping!$A$4:$B$9,2,FALSE
  ),
"")</f>
        <v>거실A</v>
      </c>
      <c r="AD124" s="51" t="str">
        <f>IFERROR(
  VLOOKUP(
    VLOOKUP(TEXT($B$3,"yyyymmdd")&amp;"_"&amp;TEXT($B124*60+AD$109,"0000"),RawData!$A$2:$G$30000,7,FALSE),
    Mapping!$A$4:$B$9,2,FALSE
  ),
"")</f>
        <v>주방</v>
      </c>
      <c r="AE124" s="51" t="str">
        <f>IFERROR(
  VLOOKUP(
    VLOOKUP(TEXT($B$3,"yyyymmdd")&amp;"_"&amp;TEXT($B124*60+AE$109,"0000"),RawData!$A$2:$G$30000,7,FALSE),
    Mapping!$A$4:$B$9,2,FALSE
  ),
"")</f>
        <v>주방</v>
      </c>
      <c r="AF124" s="51" t="str">
        <f>IFERROR(
  VLOOKUP(
    VLOOKUP(TEXT($B$3,"yyyymmdd")&amp;"_"&amp;TEXT($B124*60+AF$109,"0000"),RawData!$A$2:$G$30000,7,FALSE),
    Mapping!$A$4:$B$9,2,FALSE
  ),
"")</f>
        <v>주방</v>
      </c>
      <c r="AG124" s="51" t="str">
        <f>IFERROR(
  VLOOKUP(
    VLOOKUP(TEXT($B$3,"yyyymmdd")&amp;"_"&amp;TEXT($B124*60+AG$109,"0000"),RawData!$A$2:$G$30000,7,FALSE),
    Mapping!$A$4:$B$9,2,FALSE
  ),
"")</f>
        <v>주방</v>
      </c>
      <c r="AH124" s="51" t="str">
        <f>IFERROR(
  VLOOKUP(
    VLOOKUP(TEXT($B$3,"yyyymmdd")&amp;"_"&amp;TEXT($B124*60+AH$109,"0000"),RawData!$A$2:$G$30000,7,FALSE),
    Mapping!$A$4:$B$9,2,FALSE
  ),
"")</f>
        <v>주방</v>
      </c>
      <c r="AI124" s="51" t="str">
        <f>IFERROR(
  VLOOKUP(
    VLOOKUP(TEXT($B$3,"yyyymmdd")&amp;"_"&amp;TEXT($B124*60+AI$109,"0000"),RawData!$A$2:$G$30000,7,FALSE),
    Mapping!$A$4:$B$9,2,FALSE
  ),
"")</f>
        <v>주방</v>
      </c>
      <c r="AJ124" s="51" t="str">
        <f>IFERROR(
  VLOOKUP(
    VLOOKUP(TEXT($B$3,"yyyymmdd")&amp;"_"&amp;TEXT($B124*60+AJ$109,"0000"),RawData!$A$2:$G$30000,7,FALSE),
    Mapping!$A$4:$B$9,2,FALSE
  ),
"")</f>
        <v>주방</v>
      </c>
      <c r="AK124" s="51" t="str">
        <f>IFERROR(
  VLOOKUP(
    VLOOKUP(TEXT($B$3,"yyyymmdd")&amp;"_"&amp;TEXT($B124*60+AK$109,"0000"),RawData!$A$2:$G$30000,7,FALSE),
    Mapping!$A$4:$B$9,2,FALSE
  ),
"")</f>
        <v>주방</v>
      </c>
      <c r="AL124" s="51" t="str">
        <f>IFERROR(
  VLOOKUP(
    VLOOKUP(TEXT($B$3,"yyyymmdd")&amp;"_"&amp;TEXT($B124*60+AL$109,"0000"),RawData!$A$2:$G$30000,7,FALSE),
    Mapping!$A$4:$B$9,2,FALSE
  ),
"")</f>
        <v>주방</v>
      </c>
      <c r="AM124" s="51" t="str">
        <f>IFERROR(
  VLOOKUP(
    VLOOKUP(TEXT($B$3,"yyyymmdd")&amp;"_"&amp;TEXT($B124*60+AM$109,"0000"),RawData!$A$2:$G$30000,7,FALSE),
    Mapping!$A$4:$B$9,2,FALSE
  ),
"")</f>
        <v>주방</v>
      </c>
      <c r="AN124" s="51" t="str">
        <f>IFERROR(
  VLOOKUP(
    VLOOKUP(TEXT($B$3,"yyyymmdd")&amp;"_"&amp;TEXT($B124*60+AN$109,"0000"),RawData!$A$2:$G$30000,7,FALSE),
    Mapping!$A$4:$B$9,2,FALSE
  ),
"")</f>
        <v>주방</v>
      </c>
      <c r="AO124" s="51" t="str">
        <f>IFERROR(
  VLOOKUP(
    VLOOKUP(TEXT($B$3,"yyyymmdd")&amp;"_"&amp;TEXT($B124*60+AO$109,"0000"),RawData!$A$2:$G$30000,7,FALSE),
    Mapping!$A$4:$B$9,2,FALSE
  ),
"")</f>
        <v>주방</v>
      </c>
      <c r="AP124" s="51" t="str">
        <f>IFERROR(
  VLOOKUP(
    VLOOKUP(TEXT($B$3,"yyyymmdd")&amp;"_"&amp;TEXT($B124*60+AP$109,"0000"),RawData!$A$2:$G$30000,7,FALSE),
    Mapping!$A$4:$B$9,2,FALSE
  ),
"")</f>
        <v>화장실</v>
      </c>
      <c r="AQ124" s="51" t="str">
        <f>IFERROR(
  VLOOKUP(
    VLOOKUP(TEXT($B$3,"yyyymmdd")&amp;"_"&amp;TEXT($B124*60+AQ$109,"0000"),RawData!$A$2:$G$30000,7,FALSE),
    Mapping!$A$4:$B$9,2,FALSE
  ),
"")</f>
        <v>화장실</v>
      </c>
      <c r="AR124" s="51" t="str">
        <f>IFERROR(
  VLOOKUP(
    VLOOKUP(TEXT($B$3,"yyyymmdd")&amp;"_"&amp;TEXT($B124*60+AR$109,"0000"),RawData!$A$2:$G$30000,7,FALSE),
    Mapping!$A$4:$B$9,2,FALSE
  ),
"")</f>
        <v>화장실</v>
      </c>
      <c r="AS124" s="51" t="str">
        <f>IFERROR(
  VLOOKUP(
    VLOOKUP(TEXT($B$3,"yyyymmdd")&amp;"_"&amp;TEXT($B124*60+AS$109,"0000"),RawData!$A$2:$G$30000,7,FALSE),
    Mapping!$A$4:$B$9,2,FALSE
  ),
"")</f>
        <v>화장실</v>
      </c>
      <c r="AT124" s="51" t="str">
        <f>IFERROR(
  VLOOKUP(
    VLOOKUP(TEXT($B$3,"yyyymmdd")&amp;"_"&amp;TEXT($B124*60+AT$109,"0000"),RawData!$A$2:$G$30000,7,FALSE),
    Mapping!$A$4:$B$9,2,FALSE
  ),
"")</f>
        <v>화장실</v>
      </c>
      <c r="AU124" s="51" t="str">
        <f>IFERROR(
  VLOOKUP(
    VLOOKUP(TEXT($B$3,"yyyymmdd")&amp;"_"&amp;TEXT($B124*60+AU$109,"0000"),RawData!$A$2:$G$30000,7,FALSE),
    Mapping!$A$4:$B$9,2,FALSE
  ),
"")</f>
        <v>화장실</v>
      </c>
      <c r="AV124" s="51" t="str">
        <f>IFERROR(
  VLOOKUP(
    VLOOKUP(TEXT($B$3,"yyyymmdd")&amp;"_"&amp;TEXT($B124*60+AV$109,"0000"),RawData!$A$2:$G$30000,7,FALSE),
    Mapping!$A$4:$B$9,2,FALSE
  ),
"")</f>
        <v>화장실</v>
      </c>
      <c r="AW124" s="51" t="str">
        <f>IFERROR(
  VLOOKUP(
    VLOOKUP(TEXT($B$3,"yyyymmdd")&amp;"_"&amp;TEXT($B124*60+AW$109,"0000"),RawData!$A$2:$G$30000,7,FALSE),
    Mapping!$A$4:$B$9,2,FALSE
  ),
"")</f>
        <v>화장실</v>
      </c>
      <c r="AX124" s="51" t="str">
        <f>IFERROR(
  VLOOKUP(
    VLOOKUP(TEXT($B$3,"yyyymmdd")&amp;"_"&amp;TEXT($B124*60+AX$109,"0000"),RawData!$A$2:$G$30000,7,FALSE),
    Mapping!$A$4:$B$9,2,FALSE
  ),
"")</f>
        <v>화장실</v>
      </c>
      <c r="AY124" s="51" t="str">
        <f>IFERROR(
  VLOOKUP(
    VLOOKUP(TEXT($B$3,"yyyymmdd")&amp;"_"&amp;TEXT($B124*60+AY$109,"0000"),RawData!$A$2:$G$30000,7,FALSE),
    Mapping!$A$4:$B$9,2,FALSE
  ),
"")</f>
        <v>화장실</v>
      </c>
      <c r="AZ124" s="51" t="str">
        <f>IFERROR(
  VLOOKUP(
    VLOOKUP(TEXT($B$3,"yyyymmdd")&amp;"_"&amp;TEXT($B124*60+AZ$109,"0000"),RawData!$A$2:$G$30000,7,FALSE),
    Mapping!$A$4:$B$9,2,FALSE
  ),
"")</f>
        <v>화장실</v>
      </c>
      <c r="BA124" s="51" t="str">
        <f>IFERROR(
  VLOOKUP(
    VLOOKUP(TEXT($B$3,"yyyymmdd")&amp;"_"&amp;TEXT($B124*60+BA$109,"0000"),RawData!$A$2:$G$30000,7,FALSE),
    Mapping!$A$4:$B$9,2,FALSE
  ),
"")</f>
        <v>화장실</v>
      </c>
      <c r="BB124" s="51" t="str">
        <f>IFERROR(
  VLOOKUP(
    VLOOKUP(TEXT($B$3,"yyyymmdd")&amp;"_"&amp;TEXT($B124*60+BB$109,"0000"),RawData!$A$2:$G$30000,7,FALSE),
    Mapping!$A$4:$B$9,2,FALSE
  ),
"")</f>
        <v>거실A</v>
      </c>
      <c r="BC124" s="51" t="str">
        <f>IFERROR(
  VLOOKUP(
    VLOOKUP(TEXT($B$3,"yyyymmdd")&amp;"_"&amp;TEXT($B124*60+BC$109,"0000"),RawData!$A$2:$G$30000,7,FALSE),
    Mapping!$A$4:$B$9,2,FALSE
  ),
"")</f>
        <v>화장실</v>
      </c>
      <c r="BD124" s="51" t="str">
        <f>IFERROR(
  VLOOKUP(
    VLOOKUP(TEXT($B$3,"yyyymmdd")&amp;"_"&amp;TEXT($B124*60+BD$109,"0000"),RawData!$A$2:$G$30000,7,FALSE),
    Mapping!$A$4:$B$9,2,FALSE
  ),
"")</f>
        <v>화장실</v>
      </c>
      <c r="BE124" s="51" t="str">
        <f>IFERROR(
  VLOOKUP(
    VLOOKUP(TEXT($B$3,"yyyymmdd")&amp;"_"&amp;TEXT($B124*60+BE$109,"0000"),RawData!$A$2:$G$30000,7,FALSE),
    Mapping!$A$4:$B$9,2,FALSE
  ),
"")</f>
        <v>주방</v>
      </c>
      <c r="BF124" s="51" t="str">
        <f>IFERROR(
  VLOOKUP(
    VLOOKUP(TEXT($B$3,"yyyymmdd")&amp;"_"&amp;TEXT($B124*60+BF$109,"0000"),RawData!$A$2:$G$30000,7,FALSE),
    Mapping!$A$4:$B$9,2,FALSE
  ),
"")</f>
        <v>거실A</v>
      </c>
      <c r="BG124" s="51" t="str">
        <f>IFERROR(
  VLOOKUP(
    VLOOKUP(TEXT($B$3,"yyyymmdd")&amp;"_"&amp;TEXT($B124*60+BG$109,"0000"),RawData!$A$2:$G$30000,7,FALSE),
    Mapping!$A$4:$B$9,2,FALSE
  ),
"")</f>
        <v>거실A</v>
      </c>
      <c r="BH124" s="51" t="str">
        <f>IFERROR(
  VLOOKUP(
    VLOOKUP(TEXT($B$3,"yyyymmdd")&amp;"_"&amp;TEXT($B124*60+BH$109,"0000"),RawData!$A$2:$G$30000,7,FALSE),
    Mapping!$A$4:$B$9,2,FALSE
  ),
"")</f>
        <v>거실A</v>
      </c>
      <c r="BI124" s="51" t="str">
        <f>IFERROR(
  VLOOKUP(
    VLOOKUP(TEXT($B$3,"yyyymmdd")&amp;"_"&amp;TEXT($B124*60+BI$109,"0000"),RawData!$A$2:$G$30000,7,FALSE),
    Mapping!$A$4:$B$9,2,FALSE
  ),
"")</f>
        <v>거실A</v>
      </c>
      <c r="BJ124" s="51" t="str">
        <f>IFERROR(
  VLOOKUP(
    VLOOKUP(TEXT($B$3,"yyyymmdd")&amp;"_"&amp;TEXT($B124*60+BJ$109,"0000"),RawData!$A$2:$G$30000,7,FALSE),
    Mapping!$A$4:$B$9,2,FALSE
  ),
"")</f>
        <v>거실A</v>
      </c>
      <c r="BK124" s="4" t="str">
        <f>IFERROR(VLOOKUP(TEXT($B$3,"yyyymmdd")&amp;"_"&amp;TEXT(113,"0000"),RawData!$A$2:$F$1441,4,FALSE),"")</f>
        <v>01</v>
      </c>
      <c r="BL124" s="19">
        <f>TIME(0,0,0)+113/1440</f>
        <v>7.8472222222222221E-2</v>
      </c>
      <c r="BM124" s="4">
        <f>IFERROR(VLOOKUP(TEXT($B$3,"yyyymmdd")&amp;"_"&amp;TEXT(113,"0000"),RawData!$A$2:$F$1441,5,FALSE),"")</f>
        <v>0</v>
      </c>
      <c r="BN124" s="4">
        <f t="shared" si="2"/>
        <v>1</v>
      </c>
    </row>
    <row r="125" spans="2:66" x14ac:dyDescent="0.6">
      <c r="B125" s="18">
        <v>15</v>
      </c>
      <c r="C125" s="51" t="str">
        <f>IFERROR(
  VLOOKUP(
    VLOOKUP(TEXT($B$3,"yyyymmdd")&amp;"_"&amp;TEXT($B125*60+C$109,"0000"),RawData!$A$2:$G$30000,7,FALSE),
    Mapping!$A$4:$B$9,2,FALSE
  ),
"")</f>
        <v>거실A</v>
      </c>
      <c r="D125" s="51" t="str">
        <f>IFERROR(
  VLOOKUP(
    VLOOKUP(TEXT($B$3,"yyyymmdd")&amp;"_"&amp;TEXT($B125*60+D$109,"0000"),RawData!$A$2:$G$30000,7,FALSE),
    Mapping!$A$4:$B$9,2,FALSE
  ),
"")</f>
        <v>거실A</v>
      </c>
      <c r="E125" s="51" t="str">
        <f>IFERROR(
  VLOOKUP(
    VLOOKUP(TEXT($B$3,"yyyymmdd")&amp;"_"&amp;TEXT($B125*60+E$109,"0000"),RawData!$A$2:$G$30000,7,FALSE),
    Mapping!$A$4:$B$9,2,FALSE
  ),
"")</f>
        <v>거실A</v>
      </c>
      <c r="F125" s="51" t="str">
        <f>IFERROR(
  VLOOKUP(
    VLOOKUP(TEXT($B$3,"yyyymmdd")&amp;"_"&amp;TEXT($B125*60+F$109,"0000"),RawData!$A$2:$G$30000,7,FALSE),
    Mapping!$A$4:$B$9,2,FALSE
  ),
"")</f>
        <v>거실A</v>
      </c>
      <c r="G125" s="51" t="str">
        <f>IFERROR(
  VLOOKUP(
    VLOOKUP(TEXT($B$3,"yyyymmdd")&amp;"_"&amp;TEXT($B125*60+G$109,"0000"),RawData!$A$2:$G$30000,7,FALSE),
    Mapping!$A$4:$B$9,2,FALSE
  ),
"")</f>
        <v>거실A</v>
      </c>
      <c r="H125" s="51" t="str">
        <f>IFERROR(
  VLOOKUP(
    VLOOKUP(TEXT($B$3,"yyyymmdd")&amp;"_"&amp;TEXT($B125*60+H$109,"0000"),RawData!$A$2:$G$30000,7,FALSE),
    Mapping!$A$4:$B$9,2,FALSE
  ),
"")</f>
        <v>거실A</v>
      </c>
      <c r="I125" s="51" t="str">
        <f>IFERROR(
  VLOOKUP(
    VLOOKUP(TEXT($B$3,"yyyymmdd")&amp;"_"&amp;TEXT($B125*60+I$109,"0000"),RawData!$A$2:$G$30000,7,FALSE),
    Mapping!$A$4:$B$9,2,FALSE
  ),
"")</f>
        <v>거실A</v>
      </c>
      <c r="J125" s="51" t="str">
        <f>IFERROR(
  VLOOKUP(
    VLOOKUP(TEXT($B$3,"yyyymmdd")&amp;"_"&amp;TEXT($B125*60+J$109,"0000"),RawData!$A$2:$G$30000,7,FALSE),
    Mapping!$A$4:$B$9,2,FALSE
  ),
"")</f>
        <v>주방</v>
      </c>
      <c r="K125" s="51" t="str">
        <f>IFERROR(
  VLOOKUP(
    VLOOKUP(TEXT($B$3,"yyyymmdd")&amp;"_"&amp;TEXT($B125*60+K$109,"0000"),RawData!$A$2:$G$30000,7,FALSE),
    Mapping!$A$4:$B$9,2,FALSE
  ),
"")</f>
        <v>거실A</v>
      </c>
      <c r="L125" s="51" t="str">
        <f>IFERROR(
  VLOOKUP(
    VLOOKUP(TEXT($B$3,"yyyymmdd")&amp;"_"&amp;TEXT($B125*60+L$109,"0000"),RawData!$A$2:$G$30000,7,FALSE),
    Mapping!$A$4:$B$9,2,FALSE
  ),
"")</f>
        <v>거실A</v>
      </c>
      <c r="M125" s="51" t="str">
        <f>IFERROR(
  VLOOKUP(
    VLOOKUP(TEXT($B$3,"yyyymmdd")&amp;"_"&amp;TEXT($B125*60+M$109,"0000"),RawData!$A$2:$G$30000,7,FALSE),
    Mapping!$A$4:$B$9,2,FALSE
  ),
"")</f>
        <v>거실A</v>
      </c>
      <c r="N125" s="51" t="str">
        <f>IFERROR(
  VLOOKUP(
    VLOOKUP(TEXT($B$3,"yyyymmdd")&amp;"_"&amp;TEXT($B125*60+N$109,"0000"),RawData!$A$2:$G$30000,7,FALSE),
    Mapping!$A$4:$B$9,2,FALSE
  ),
"")</f>
        <v>거실A</v>
      </c>
      <c r="O125" s="51" t="str">
        <f>IFERROR(
  VLOOKUP(
    VLOOKUP(TEXT($B$3,"yyyymmdd")&amp;"_"&amp;TEXT($B125*60+O$109,"0000"),RawData!$A$2:$G$30000,7,FALSE),
    Mapping!$A$4:$B$9,2,FALSE
  ),
"")</f>
        <v>주방</v>
      </c>
      <c r="P125" s="51" t="str">
        <f>IFERROR(
  VLOOKUP(
    VLOOKUP(TEXT($B$3,"yyyymmdd")&amp;"_"&amp;TEXT($B125*60+P$109,"0000"),RawData!$A$2:$G$30000,7,FALSE),
    Mapping!$A$4:$B$9,2,FALSE
  ),
"")</f>
        <v>침실A</v>
      </c>
      <c r="Q125" s="51" t="str">
        <f>IFERROR(
  VLOOKUP(
    VLOOKUP(TEXT($B$3,"yyyymmdd")&amp;"_"&amp;TEXT($B125*60+Q$109,"0000"),RawData!$A$2:$G$30000,7,FALSE),
    Mapping!$A$4:$B$9,2,FALSE
  ),
"")</f>
        <v>침실A</v>
      </c>
      <c r="R125" s="51" t="str">
        <f>IFERROR(
  VLOOKUP(
    VLOOKUP(TEXT($B$3,"yyyymmdd")&amp;"_"&amp;TEXT($B125*60+R$109,"0000"),RawData!$A$2:$G$30000,7,FALSE),
    Mapping!$A$4:$B$9,2,FALSE
  ),
"")</f>
        <v>침실A</v>
      </c>
      <c r="S125" s="51" t="str">
        <f>IFERROR(
  VLOOKUP(
    VLOOKUP(TEXT($B$3,"yyyymmdd")&amp;"_"&amp;TEXT($B125*60+S$109,"0000"),RawData!$A$2:$G$30000,7,FALSE),
    Mapping!$A$4:$B$9,2,FALSE
  ),
"")</f>
        <v>주방</v>
      </c>
      <c r="T125" s="51" t="str">
        <f>IFERROR(
  VLOOKUP(
    VLOOKUP(TEXT($B$3,"yyyymmdd")&amp;"_"&amp;TEXT($B125*60+T$109,"0000"),RawData!$A$2:$G$30000,7,FALSE),
    Mapping!$A$4:$B$9,2,FALSE
  ),
"")</f>
        <v>주방</v>
      </c>
      <c r="U125" s="51" t="str">
        <f>IFERROR(
  VLOOKUP(
    VLOOKUP(TEXT($B$3,"yyyymmdd")&amp;"_"&amp;TEXT($B125*60+U$109,"0000"),RawData!$A$2:$G$30000,7,FALSE),
    Mapping!$A$4:$B$9,2,FALSE
  ),
"")</f>
        <v>주방</v>
      </c>
      <c r="V125" s="51" t="str">
        <f>IFERROR(
  VLOOKUP(
    VLOOKUP(TEXT($B$3,"yyyymmdd")&amp;"_"&amp;TEXT($B125*60+V$109,"0000"),RawData!$A$2:$G$30000,7,FALSE),
    Mapping!$A$4:$B$9,2,FALSE
  ),
"")</f>
        <v>주방</v>
      </c>
      <c r="W125" s="51" t="str">
        <f>IFERROR(
  VLOOKUP(
    VLOOKUP(TEXT($B$3,"yyyymmdd")&amp;"_"&amp;TEXT($B125*60+W$109,"0000"),RawData!$A$2:$G$30000,7,FALSE),
    Mapping!$A$4:$B$9,2,FALSE
  ),
"")</f>
        <v>주방</v>
      </c>
      <c r="X125" s="51" t="str">
        <f>IFERROR(
  VLOOKUP(
    VLOOKUP(TEXT($B$3,"yyyymmdd")&amp;"_"&amp;TEXT($B125*60+X$109,"0000"),RawData!$A$2:$G$30000,7,FALSE),
    Mapping!$A$4:$B$9,2,FALSE
  ),
"")</f>
        <v>주방</v>
      </c>
      <c r="Y125" s="51" t="str">
        <f>IFERROR(
  VLOOKUP(
    VLOOKUP(TEXT($B$3,"yyyymmdd")&amp;"_"&amp;TEXT($B125*60+Y$109,"0000"),RawData!$A$2:$G$30000,7,FALSE),
    Mapping!$A$4:$B$9,2,FALSE
  ),
"")</f>
        <v>주방</v>
      </c>
      <c r="Z125" s="51" t="str">
        <f>IFERROR(
  VLOOKUP(
    VLOOKUP(TEXT($B$3,"yyyymmdd")&amp;"_"&amp;TEXT($B125*60+Z$109,"0000"),RawData!$A$2:$G$30000,7,FALSE),
    Mapping!$A$4:$B$9,2,FALSE
  ),
"")</f>
        <v>주방</v>
      </c>
      <c r="AA125" s="51" t="str">
        <f>IFERROR(
  VLOOKUP(
    VLOOKUP(TEXT($B$3,"yyyymmdd")&amp;"_"&amp;TEXT($B125*60+AA$109,"0000"),RawData!$A$2:$G$30000,7,FALSE),
    Mapping!$A$4:$B$9,2,FALSE
  ),
"")</f>
        <v>주방</v>
      </c>
      <c r="AB125" s="51" t="str">
        <f>IFERROR(
  VLOOKUP(
    VLOOKUP(TEXT($B$3,"yyyymmdd")&amp;"_"&amp;TEXT($B125*60+AB$109,"0000"),RawData!$A$2:$G$30000,7,FALSE),
    Mapping!$A$4:$B$9,2,FALSE
  ),
"")</f>
        <v>주방</v>
      </c>
      <c r="AC125" s="51" t="str">
        <f>IFERROR(
  VLOOKUP(
    VLOOKUP(TEXT($B$3,"yyyymmdd")&amp;"_"&amp;TEXT($B125*60+AC$109,"0000"),RawData!$A$2:$G$30000,7,FALSE),
    Mapping!$A$4:$B$9,2,FALSE
  ),
"")</f>
        <v>주방</v>
      </c>
      <c r="AD125" s="51" t="str">
        <f>IFERROR(
  VLOOKUP(
    VLOOKUP(TEXT($B$3,"yyyymmdd")&amp;"_"&amp;TEXT($B125*60+AD$109,"0000"),RawData!$A$2:$G$30000,7,FALSE),
    Mapping!$A$4:$B$9,2,FALSE
  ),
"")</f>
        <v>주방</v>
      </c>
      <c r="AE125" s="51" t="str">
        <f>IFERROR(
  VLOOKUP(
    VLOOKUP(TEXT($B$3,"yyyymmdd")&amp;"_"&amp;TEXT($B125*60+AE$109,"0000"),RawData!$A$2:$G$30000,7,FALSE),
    Mapping!$A$4:$B$9,2,FALSE
  ),
"")</f>
        <v>주방</v>
      </c>
      <c r="AF125" s="51" t="str">
        <f>IFERROR(
  VLOOKUP(
    VLOOKUP(TEXT($B$3,"yyyymmdd")&amp;"_"&amp;TEXT($B125*60+AF$109,"0000"),RawData!$A$2:$G$30000,7,FALSE),
    Mapping!$A$4:$B$9,2,FALSE
  ),
"")</f>
        <v>주방</v>
      </c>
      <c r="AG125" s="51" t="str">
        <f>IFERROR(
  VLOOKUP(
    VLOOKUP(TEXT($B$3,"yyyymmdd")&amp;"_"&amp;TEXT($B125*60+AG$109,"0000"),RawData!$A$2:$G$30000,7,FALSE),
    Mapping!$A$4:$B$9,2,FALSE
  ),
"")</f>
        <v>주방</v>
      </c>
      <c r="AH125" s="51" t="str">
        <f>IFERROR(
  VLOOKUP(
    VLOOKUP(TEXT($B$3,"yyyymmdd")&amp;"_"&amp;TEXT($B125*60+AH$109,"0000"),RawData!$A$2:$G$30000,7,FALSE),
    Mapping!$A$4:$B$9,2,FALSE
  ),
"")</f>
        <v>주방</v>
      </c>
      <c r="AI125" s="51" t="str">
        <f>IFERROR(
  VLOOKUP(
    VLOOKUP(TEXT($B$3,"yyyymmdd")&amp;"_"&amp;TEXT($B125*60+AI$109,"0000"),RawData!$A$2:$G$30000,7,FALSE),
    Mapping!$A$4:$B$9,2,FALSE
  ),
"")</f>
        <v>주방</v>
      </c>
      <c r="AJ125" s="51" t="str">
        <f>IFERROR(
  VLOOKUP(
    VLOOKUP(TEXT($B$3,"yyyymmdd")&amp;"_"&amp;TEXT($B125*60+AJ$109,"0000"),RawData!$A$2:$G$30000,7,FALSE),
    Mapping!$A$4:$B$9,2,FALSE
  ),
"")</f>
        <v>침실A</v>
      </c>
      <c r="AK125" s="51" t="str">
        <f>IFERROR(
  VLOOKUP(
    VLOOKUP(TEXT($B$3,"yyyymmdd")&amp;"_"&amp;TEXT($B125*60+AK$109,"0000"),RawData!$A$2:$G$30000,7,FALSE),
    Mapping!$A$4:$B$9,2,FALSE
  ),
"")</f>
        <v>주방</v>
      </c>
      <c r="AL125" s="51" t="str">
        <f>IFERROR(
  VLOOKUP(
    VLOOKUP(TEXT($B$3,"yyyymmdd")&amp;"_"&amp;TEXT($B125*60+AL$109,"0000"),RawData!$A$2:$G$30000,7,FALSE),
    Mapping!$A$4:$B$9,2,FALSE
  ),
"")</f>
        <v>침실A</v>
      </c>
      <c r="AM125" s="51" t="str">
        <f>IFERROR(
  VLOOKUP(
    VLOOKUP(TEXT($B$3,"yyyymmdd")&amp;"_"&amp;TEXT($B125*60+AM$109,"0000"),RawData!$A$2:$G$30000,7,FALSE),
    Mapping!$A$4:$B$9,2,FALSE
  ),
"")</f>
        <v>침실A</v>
      </c>
      <c r="AN125" s="51" t="str">
        <f>IFERROR(
  VLOOKUP(
    VLOOKUP(TEXT($B$3,"yyyymmdd")&amp;"_"&amp;TEXT($B125*60+AN$109,"0000"),RawData!$A$2:$G$30000,7,FALSE),
    Mapping!$A$4:$B$9,2,FALSE
  ),
"")</f>
        <v>침실A</v>
      </c>
      <c r="AO125" s="51" t="str">
        <f>IFERROR(
  VLOOKUP(
    VLOOKUP(TEXT($B$3,"yyyymmdd")&amp;"_"&amp;TEXT($B125*60+AO$109,"0000"),RawData!$A$2:$G$30000,7,FALSE),
    Mapping!$A$4:$B$9,2,FALSE
  ),
"")</f>
        <v>침실A</v>
      </c>
      <c r="AP125" s="51" t="str">
        <f>IFERROR(
  VLOOKUP(
    VLOOKUP(TEXT($B$3,"yyyymmdd")&amp;"_"&amp;TEXT($B125*60+AP$109,"0000"),RawData!$A$2:$G$30000,7,FALSE),
    Mapping!$A$4:$B$9,2,FALSE
  ),
"")</f>
        <v>침실A</v>
      </c>
      <c r="AQ125" s="51" t="str">
        <f>IFERROR(
  VLOOKUP(
    VLOOKUP(TEXT($B$3,"yyyymmdd")&amp;"_"&amp;TEXT($B125*60+AQ$109,"0000"),RawData!$A$2:$G$30000,7,FALSE),
    Mapping!$A$4:$B$9,2,FALSE
  ),
"")</f>
        <v>침실A</v>
      </c>
      <c r="AR125" s="51" t="str">
        <f>IFERROR(
  VLOOKUP(
    VLOOKUP(TEXT($B$3,"yyyymmdd")&amp;"_"&amp;TEXT($B125*60+AR$109,"0000"),RawData!$A$2:$G$30000,7,FALSE),
    Mapping!$A$4:$B$9,2,FALSE
  ),
"")</f>
        <v>침실A</v>
      </c>
      <c r="AS125" s="51" t="str">
        <f>IFERROR(
  VLOOKUP(
    VLOOKUP(TEXT($B$3,"yyyymmdd")&amp;"_"&amp;TEXT($B125*60+AS$109,"0000"),RawData!$A$2:$G$30000,7,FALSE),
    Mapping!$A$4:$B$9,2,FALSE
  ),
"")</f>
        <v>침실A</v>
      </c>
      <c r="AT125" s="51" t="str">
        <f>IFERROR(
  VLOOKUP(
    VLOOKUP(TEXT($B$3,"yyyymmdd")&amp;"_"&amp;TEXT($B125*60+AT$109,"0000"),RawData!$A$2:$G$30000,7,FALSE),
    Mapping!$A$4:$B$9,2,FALSE
  ),
"")</f>
        <v>침실A</v>
      </c>
      <c r="AU125" s="51" t="str">
        <f>IFERROR(
  VLOOKUP(
    VLOOKUP(TEXT($B$3,"yyyymmdd")&amp;"_"&amp;TEXT($B125*60+AU$109,"0000"),RawData!$A$2:$G$30000,7,FALSE),
    Mapping!$A$4:$B$9,2,FALSE
  ),
"")</f>
        <v>침실A</v>
      </c>
      <c r="AV125" s="51" t="str">
        <f>IFERROR(
  VLOOKUP(
    VLOOKUP(TEXT($B$3,"yyyymmdd")&amp;"_"&amp;TEXT($B125*60+AV$109,"0000"),RawData!$A$2:$G$30000,7,FALSE),
    Mapping!$A$4:$B$9,2,FALSE
  ),
"")</f>
        <v>침실A</v>
      </c>
      <c r="AW125" s="51" t="str">
        <f>IFERROR(
  VLOOKUP(
    VLOOKUP(TEXT($B$3,"yyyymmdd")&amp;"_"&amp;TEXT($B125*60+AW$109,"0000"),RawData!$A$2:$G$30000,7,FALSE),
    Mapping!$A$4:$B$9,2,FALSE
  ),
"")</f>
        <v>침실A</v>
      </c>
      <c r="AX125" s="51" t="str">
        <f>IFERROR(
  VLOOKUP(
    VLOOKUP(TEXT($B$3,"yyyymmdd")&amp;"_"&amp;TEXT($B125*60+AX$109,"0000"),RawData!$A$2:$G$30000,7,FALSE),
    Mapping!$A$4:$B$9,2,FALSE
  ),
"")</f>
        <v>침실A</v>
      </c>
      <c r="AY125" s="51" t="str">
        <f>IFERROR(
  VLOOKUP(
    VLOOKUP(TEXT($B$3,"yyyymmdd")&amp;"_"&amp;TEXT($B125*60+AY$109,"0000"),RawData!$A$2:$G$30000,7,FALSE),
    Mapping!$A$4:$B$9,2,FALSE
  ),
"")</f>
        <v>침실A</v>
      </c>
      <c r="AZ125" s="51" t="str">
        <f>IFERROR(
  VLOOKUP(
    VLOOKUP(TEXT($B$3,"yyyymmdd")&amp;"_"&amp;TEXT($B125*60+AZ$109,"0000"),RawData!$A$2:$G$30000,7,FALSE),
    Mapping!$A$4:$B$9,2,FALSE
  ),
"")</f>
        <v>침실A</v>
      </c>
      <c r="BA125" s="51" t="str">
        <f>IFERROR(
  VLOOKUP(
    VLOOKUP(TEXT($B$3,"yyyymmdd")&amp;"_"&amp;TEXT($B125*60+BA$109,"0000"),RawData!$A$2:$G$30000,7,FALSE),
    Mapping!$A$4:$B$9,2,FALSE
  ),
"")</f>
        <v>침실A</v>
      </c>
      <c r="BB125" s="51" t="str">
        <f>IFERROR(
  VLOOKUP(
    VLOOKUP(TEXT($B$3,"yyyymmdd")&amp;"_"&amp;TEXT($B125*60+BB$109,"0000"),RawData!$A$2:$G$30000,7,FALSE),
    Mapping!$A$4:$B$9,2,FALSE
  ),
"")</f>
        <v>침실A</v>
      </c>
      <c r="BC125" s="51" t="str">
        <f>IFERROR(
  VLOOKUP(
    VLOOKUP(TEXT($B$3,"yyyymmdd")&amp;"_"&amp;TEXT($B125*60+BC$109,"0000"),RawData!$A$2:$G$30000,7,FALSE),
    Mapping!$A$4:$B$9,2,FALSE
  ),
"")</f>
        <v>침실A</v>
      </c>
      <c r="BD125" s="51" t="str">
        <f>IFERROR(
  VLOOKUP(
    VLOOKUP(TEXT($B$3,"yyyymmdd")&amp;"_"&amp;TEXT($B125*60+BD$109,"0000"),RawData!$A$2:$G$30000,7,FALSE),
    Mapping!$A$4:$B$9,2,FALSE
  ),
"")</f>
        <v>침실A</v>
      </c>
      <c r="BE125" s="51" t="str">
        <f>IFERROR(
  VLOOKUP(
    VLOOKUP(TEXT($B$3,"yyyymmdd")&amp;"_"&amp;TEXT($B125*60+BE$109,"0000"),RawData!$A$2:$G$30000,7,FALSE),
    Mapping!$A$4:$B$9,2,FALSE
  ),
"")</f>
        <v>침실A</v>
      </c>
      <c r="BF125" s="51" t="str">
        <f>IFERROR(
  VLOOKUP(
    VLOOKUP(TEXT($B$3,"yyyymmdd")&amp;"_"&amp;TEXT($B125*60+BF$109,"0000"),RawData!$A$2:$G$30000,7,FALSE),
    Mapping!$A$4:$B$9,2,FALSE
  ),
"")</f>
        <v>침실A</v>
      </c>
      <c r="BG125" s="51" t="str">
        <f>IFERROR(
  VLOOKUP(
    VLOOKUP(TEXT($B$3,"yyyymmdd")&amp;"_"&amp;TEXT($B125*60+BG$109,"0000"),RawData!$A$2:$G$30000,7,FALSE),
    Mapping!$A$4:$B$9,2,FALSE
  ),
"")</f>
        <v>침실A</v>
      </c>
      <c r="BH125" s="51" t="str">
        <f>IFERROR(
  VLOOKUP(
    VLOOKUP(TEXT($B$3,"yyyymmdd")&amp;"_"&amp;TEXT($B125*60+BH$109,"0000"),RawData!$A$2:$G$30000,7,FALSE),
    Mapping!$A$4:$B$9,2,FALSE
  ),
"")</f>
        <v>침실A</v>
      </c>
      <c r="BI125" s="51" t="str">
        <f>IFERROR(
  VLOOKUP(
    VLOOKUP(TEXT($B$3,"yyyymmdd")&amp;"_"&amp;TEXT($B125*60+BI$109,"0000"),RawData!$A$2:$G$30000,7,FALSE),
    Mapping!$A$4:$B$9,2,FALSE
  ),
"")</f>
        <v>침실A</v>
      </c>
      <c r="BJ125" s="51" t="str">
        <f>IFERROR(
  VLOOKUP(
    VLOOKUP(TEXT($B$3,"yyyymmdd")&amp;"_"&amp;TEXT($B125*60+BJ$109,"0000"),RawData!$A$2:$G$30000,7,FALSE),
    Mapping!$A$4:$B$9,2,FALSE
  ),
"")</f>
        <v>침실A</v>
      </c>
      <c r="BK125" s="4" t="str">
        <f>IFERROR(VLOOKUP(TEXT($B$3,"yyyymmdd")&amp;"_"&amp;TEXT(114,"0000"),RawData!$A$2:$F$1441,4,FALSE),"")</f>
        <v>01</v>
      </c>
      <c r="BL125" s="19">
        <f>TIME(0,0,0)+114/1440</f>
        <v>7.9166666666666663E-2</v>
      </c>
      <c r="BM125" s="4">
        <f>IFERROR(VLOOKUP(TEXT($B$3,"yyyymmdd")&amp;"_"&amp;TEXT(114,"0000"),RawData!$A$2:$F$1441,5,FALSE),"")</f>
        <v>0</v>
      </c>
      <c r="BN125" s="4">
        <f t="shared" si="2"/>
        <v>1</v>
      </c>
    </row>
    <row r="126" spans="2:66" x14ac:dyDescent="0.6">
      <c r="B126" s="18">
        <v>16</v>
      </c>
      <c r="C126" s="51" t="str">
        <f>IFERROR(
  VLOOKUP(
    VLOOKUP(TEXT($B$3,"yyyymmdd")&amp;"_"&amp;TEXT($B126*60+C$109,"0000"),RawData!$A$2:$G$30000,7,FALSE),
    Mapping!$A$4:$B$9,2,FALSE
  ),
"")</f>
        <v>침실A</v>
      </c>
      <c r="D126" s="51" t="str">
        <f>IFERROR(
  VLOOKUP(
    VLOOKUP(TEXT($B$3,"yyyymmdd")&amp;"_"&amp;TEXT($B126*60+D$109,"0000"),RawData!$A$2:$G$30000,7,FALSE),
    Mapping!$A$4:$B$9,2,FALSE
  ),
"")</f>
        <v>침실A</v>
      </c>
      <c r="E126" s="51" t="str">
        <f>IFERROR(
  VLOOKUP(
    VLOOKUP(TEXT($B$3,"yyyymmdd")&amp;"_"&amp;TEXT($B126*60+E$109,"0000"),RawData!$A$2:$G$30000,7,FALSE),
    Mapping!$A$4:$B$9,2,FALSE
  ),
"")</f>
        <v>침실A</v>
      </c>
      <c r="F126" s="51" t="str">
        <f>IFERROR(
  VLOOKUP(
    VLOOKUP(TEXT($B$3,"yyyymmdd")&amp;"_"&amp;TEXT($B126*60+F$109,"0000"),RawData!$A$2:$G$30000,7,FALSE),
    Mapping!$A$4:$B$9,2,FALSE
  ),
"")</f>
        <v>침실A</v>
      </c>
      <c r="G126" s="51" t="str">
        <f>IFERROR(
  VLOOKUP(
    VLOOKUP(TEXT($B$3,"yyyymmdd")&amp;"_"&amp;TEXT($B126*60+G$109,"0000"),RawData!$A$2:$G$30000,7,FALSE),
    Mapping!$A$4:$B$9,2,FALSE
  ),
"")</f>
        <v>침실A</v>
      </c>
      <c r="H126" s="51" t="str">
        <f>IFERROR(
  VLOOKUP(
    VLOOKUP(TEXT($B$3,"yyyymmdd")&amp;"_"&amp;TEXT($B126*60+H$109,"0000"),RawData!$A$2:$G$30000,7,FALSE),
    Mapping!$A$4:$B$9,2,FALSE
  ),
"")</f>
        <v>주방</v>
      </c>
      <c r="I126" s="51" t="str">
        <f>IFERROR(
  VLOOKUP(
    VLOOKUP(TEXT($B$3,"yyyymmdd")&amp;"_"&amp;TEXT($B126*60+I$109,"0000"),RawData!$A$2:$G$30000,7,FALSE),
    Mapping!$A$4:$B$9,2,FALSE
  ),
"")</f>
        <v>침실A</v>
      </c>
      <c r="J126" s="51" t="str">
        <f>IFERROR(
  VLOOKUP(
    VLOOKUP(TEXT($B$3,"yyyymmdd")&amp;"_"&amp;TEXT($B126*60+J$109,"0000"),RawData!$A$2:$G$30000,7,FALSE),
    Mapping!$A$4:$B$9,2,FALSE
  ),
"")</f>
        <v>침실A</v>
      </c>
      <c r="K126" s="51" t="str">
        <f>IFERROR(
  VLOOKUP(
    VLOOKUP(TEXT($B$3,"yyyymmdd")&amp;"_"&amp;TEXT($B126*60+K$109,"0000"),RawData!$A$2:$G$30000,7,FALSE),
    Mapping!$A$4:$B$9,2,FALSE
  ),
"")</f>
        <v>침실A</v>
      </c>
      <c r="L126" s="51" t="str">
        <f>IFERROR(
  VLOOKUP(
    VLOOKUP(TEXT($B$3,"yyyymmdd")&amp;"_"&amp;TEXT($B126*60+L$109,"0000"),RawData!$A$2:$G$30000,7,FALSE),
    Mapping!$A$4:$B$9,2,FALSE
  ),
"")</f>
        <v>침실A</v>
      </c>
      <c r="M126" s="51" t="str">
        <f>IFERROR(
  VLOOKUP(
    VLOOKUP(TEXT($B$3,"yyyymmdd")&amp;"_"&amp;TEXT($B126*60+M$109,"0000"),RawData!$A$2:$G$30000,7,FALSE),
    Mapping!$A$4:$B$9,2,FALSE
  ),
"")</f>
        <v>침실A</v>
      </c>
      <c r="N126" s="51" t="str">
        <f>IFERROR(
  VLOOKUP(
    VLOOKUP(TEXT($B$3,"yyyymmdd")&amp;"_"&amp;TEXT($B126*60+N$109,"0000"),RawData!$A$2:$G$30000,7,FALSE),
    Mapping!$A$4:$B$9,2,FALSE
  ),
"")</f>
        <v>침실A</v>
      </c>
      <c r="O126" s="51" t="str">
        <f>IFERROR(
  VLOOKUP(
    VLOOKUP(TEXT($B$3,"yyyymmdd")&amp;"_"&amp;TEXT($B126*60+O$109,"0000"),RawData!$A$2:$G$30000,7,FALSE),
    Mapping!$A$4:$B$9,2,FALSE
  ),
"")</f>
        <v>침실A</v>
      </c>
      <c r="P126" s="51" t="str">
        <f>IFERROR(
  VLOOKUP(
    VLOOKUP(TEXT($B$3,"yyyymmdd")&amp;"_"&amp;TEXT($B126*60+P$109,"0000"),RawData!$A$2:$G$30000,7,FALSE),
    Mapping!$A$4:$B$9,2,FALSE
  ),
"")</f>
        <v>침실A</v>
      </c>
      <c r="Q126" s="51" t="str">
        <f>IFERROR(
  VLOOKUP(
    VLOOKUP(TEXT($B$3,"yyyymmdd")&amp;"_"&amp;TEXT($B126*60+Q$109,"0000"),RawData!$A$2:$G$30000,7,FALSE),
    Mapping!$A$4:$B$9,2,FALSE
  ),
"")</f>
        <v>침실A</v>
      </c>
      <c r="R126" s="51" t="str">
        <f>IFERROR(
  VLOOKUP(
    VLOOKUP(TEXT($B$3,"yyyymmdd")&amp;"_"&amp;TEXT($B126*60+R$109,"0000"),RawData!$A$2:$G$30000,7,FALSE),
    Mapping!$A$4:$B$9,2,FALSE
  ),
"")</f>
        <v>주방</v>
      </c>
      <c r="S126" s="51" t="str">
        <f>IFERROR(
  VLOOKUP(
    VLOOKUP(TEXT($B$3,"yyyymmdd")&amp;"_"&amp;TEXT($B126*60+S$109,"0000"),RawData!$A$2:$G$30000,7,FALSE),
    Mapping!$A$4:$B$9,2,FALSE
  ),
"")</f>
        <v>거실A</v>
      </c>
      <c r="T126" s="51" t="str">
        <f>IFERROR(
  VLOOKUP(
    VLOOKUP(TEXT($B$3,"yyyymmdd")&amp;"_"&amp;TEXT($B126*60+T$109,"0000"),RawData!$A$2:$G$30000,7,FALSE),
    Mapping!$A$4:$B$9,2,FALSE
  ),
"")</f>
        <v>거실A</v>
      </c>
      <c r="U126" s="51" t="str">
        <f>IFERROR(
  VLOOKUP(
    VLOOKUP(TEXT($B$3,"yyyymmdd")&amp;"_"&amp;TEXT($B126*60+U$109,"0000"),RawData!$A$2:$G$30000,7,FALSE),
    Mapping!$A$4:$B$9,2,FALSE
  ),
"")</f>
        <v>거실A</v>
      </c>
      <c r="V126" s="51" t="str">
        <f>IFERROR(
  VLOOKUP(
    VLOOKUP(TEXT($B$3,"yyyymmdd")&amp;"_"&amp;TEXT($B126*60+V$109,"0000"),RawData!$A$2:$G$30000,7,FALSE),
    Mapping!$A$4:$B$9,2,FALSE
  ),
"")</f>
        <v>주방</v>
      </c>
      <c r="W126" s="51" t="str">
        <f>IFERROR(
  VLOOKUP(
    VLOOKUP(TEXT($B$3,"yyyymmdd")&amp;"_"&amp;TEXT($B126*60+W$109,"0000"),RawData!$A$2:$G$30000,7,FALSE),
    Mapping!$A$4:$B$9,2,FALSE
  ),
"")</f>
        <v>주방</v>
      </c>
      <c r="X126" s="51" t="str">
        <f>IFERROR(
  VLOOKUP(
    VLOOKUP(TEXT($B$3,"yyyymmdd")&amp;"_"&amp;TEXT($B126*60+X$109,"0000"),RawData!$A$2:$G$30000,7,FALSE),
    Mapping!$A$4:$B$9,2,FALSE
  ),
"")</f>
        <v>주방</v>
      </c>
      <c r="Y126" s="51" t="str">
        <f>IFERROR(
  VLOOKUP(
    VLOOKUP(TEXT($B$3,"yyyymmdd")&amp;"_"&amp;TEXT($B126*60+Y$109,"0000"),RawData!$A$2:$G$30000,7,FALSE),
    Mapping!$A$4:$B$9,2,FALSE
  ),
"")</f>
        <v>주방</v>
      </c>
      <c r="Z126" s="51" t="str">
        <f>IFERROR(
  VLOOKUP(
    VLOOKUP(TEXT($B$3,"yyyymmdd")&amp;"_"&amp;TEXT($B126*60+Z$109,"0000"),RawData!$A$2:$G$30000,7,FALSE),
    Mapping!$A$4:$B$9,2,FALSE
  ),
"")</f>
        <v>거실A</v>
      </c>
      <c r="AA126" s="51" t="str">
        <f>IFERROR(
  VLOOKUP(
    VLOOKUP(TEXT($B$3,"yyyymmdd")&amp;"_"&amp;TEXT($B126*60+AA$109,"0000"),RawData!$A$2:$G$30000,7,FALSE),
    Mapping!$A$4:$B$9,2,FALSE
  ),
"")</f>
        <v>거실A</v>
      </c>
      <c r="AB126" s="51" t="str">
        <f>IFERROR(
  VLOOKUP(
    VLOOKUP(TEXT($B$3,"yyyymmdd")&amp;"_"&amp;TEXT($B126*60+AB$109,"0000"),RawData!$A$2:$G$30000,7,FALSE),
    Mapping!$A$4:$B$9,2,FALSE
  ),
"")</f>
        <v>거실A</v>
      </c>
      <c r="AC126" s="51" t="str">
        <f>IFERROR(
  VLOOKUP(
    VLOOKUP(TEXT($B$3,"yyyymmdd")&amp;"_"&amp;TEXT($B126*60+AC$109,"0000"),RawData!$A$2:$G$30000,7,FALSE),
    Mapping!$A$4:$B$9,2,FALSE
  ),
"")</f>
        <v>거실A</v>
      </c>
      <c r="AD126" s="51" t="str">
        <f>IFERROR(
  VLOOKUP(
    VLOOKUP(TEXT($B$3,"yyyymmdd")&amp;"_"&amp;TEXT($B126*60+AD$109,"0000"),RawData!$A$2:$G$30000,7,FALSE),
    Mapping!$A$4:$B$9,2,FALSE
  ),
"")</f>
        <v>거실A</v>
      </c>
      <c r="AE126" s="51" t="str">
        <f>IFERROR(
  VLOOKUP(
    VLOOKUP(TEXT($B$3,"yyyymmdd")&amp;"_"&amp;TEXT($B126*60+AE$109,"0000"),RawData!$A$2:$G$30000,7,FALSE),
    Mapping!$A$4:$B$9,2,FALSE
  ),
"")</f>
        <v>거실A</v>
      </c>
      <c r="AF126" s="51" t="str">
        <f>IFERROR(
  VLOOKUP(
    VLOOKUP(TEXT($B$3,"yyyymmdd")&amp;"_"&amp;TEXT($B126*60+AF$109,"0000"),RawData!$A$2:$G$30000,7,FALSE),
    Mapping!$A$4:$B$9,2,FALSE
  ),
"")</f>
        <v>거실A</v>
      </c>
      <c r="AG126" s="51" t="str">
        <f>IFERROR(
  VLOOKUP(
    VLOOKUP(TEXT($B$3,"yyyymmdd")&amp;"_"&amp;TEXT($B126*60+AG$109,"0000"),RawData!$A$2:$G$30000,7,FALSE),
    Mapping!$A$4:$B$9,2,FALSE
  ),
"")</f>
        <v>화장실</v>
      </c>
      <c r="AH126" s="51" t="str">
        <f>IFERROR(
  VLOOKUP(
    VLOOKUP(TEXT($B$3,"yyyymmdd")&amp;"_"&amp;TEXT($B126*60+AH$109,"0000"),RawData!$A$2:$G$30000,7,FALSE),
    Mapping!$A$4:$B$9,2,FALSE
  ),
"")</f>
        <v>주방</v>
      </c>
      <c r="AI126" s="51" t="str">
        <f>IFERROR(
  VLOOKUP(
    VLOOKUP(TEXT($B$3,"yyyymmdd")&amp;"_"&amp;TEXT($B126*60+AI$109,"0000"),RawData!$A$2:$G$30000,7,FALSE),
    Mapping!$A$4:$B$9,2,FALSE
  ),
"")</f>
        <v>주방</v>
      </c>
      <c r="AJ126" s="51" t="str">
        <f>IFERROR(
  VLOOKUP(
    VLOOKUP(TEXT($B$3,"yyyymmdd")&amp;"_"&amp;TEXT($B126*60+AJ$109,"0000"),RawData!$A$2:$G$30000,7,FALSE),
    Mapping!$A$4:$B$9,2,FALSE
  ),
"")</f>
        <v>거실A</v>
      </c>
      <c r="AK126" s="51" t="str">
        <f>IFERROR(
  VLOOKUP(
    VLOOKUP(TEXT($B$3,"yyyymmdd")&amp;"_"&amp;TEXT($B126*60+AK$109,"0000"),RawData!$A$2:$G$30000,7,FALSE),
    Mapping!$A$4:$B$9,2,FALSE
  ),
"")</f>
        <v>거실A</v>
      </c>
      <c r="AL126" s="51" t="str">
        <f>IFERROR(
  VLOOKUP(
    VLOOKUP(TEXT($B$3,"yyyymmdd")&amp;"_"&amp;TEXT($B126*60+AL$109,"0000"),RawData!$A$2:$G$30000,7,FALSE),
    Mapping!$A$4:$B$9,2,FALSE
  ),
"")</f>
        <v>거실A</v>
      </c>
      <c r="AM126" s="51" t="str">
        <f>IFERROR(
  VLOOKUP(
    VLOOKUP(TEXT($B$3,"yyyymmdd")&amp;"_"&amp;TEXT($B126*60+AM$109,"0000"),RawData!$A$2:$G$30000,7,FALSE),
    Mapping!$A$4:$B$9,2,FALSE
  ),
"")</f>
        <v>외출</v>
      </c>
      <c r="AN126" s="51" t="str">
        <f>IFERROR(
  VLOOKUP(
    VLOOKUP(TEXT($B$3,"yyyymmdd")&amp;"_"&amp;TEXT($B126*60+AN$109,"0000"),RawData!$A$2:$G$30000,7,FALSE),
    Mapping!$A$4:$B$9,2,FALSE
  ),
"")</f>
        <v>외출</v>
      </c>
      <c r="AO126" s="51" t="str">
        <f>IFERROR(
  VLOOKUP(
    VLOOKUP(TEXT($B$3,"yyyymmdd")&amp;"_"&amp;TEXT($B126*60+AO$109,"0000"),RawData!$A$2:$G$30000,7,FALSE),
    Mapping!$A$4:$B$9,2,FALSE
  ),
"")</f>
        <v>외출</v>
      </c>
      <c r="AP126" s="51" t="str">
        <f>IFERROR(
  VLOOKUP(
    VLOOKUP(TEXT($B$3,"yyyymmdd")&amp;"_"&amp;TEXT($B126*60+AP$109,"0000"),RawData!$A$2:$G$30000,7,FALSE),
    Mapping!$A$4:$B$9,2,FALSE
  ),
"")</f>
        <v>거실A</v>
      </c>
      <c r="AQ126" s="51" t="str">
        <f>IFERROR(
  VLOOKUP(
    VLOOKUP(TEXT($B$3,"yyyymmdd")&amp;"_"&amp;TEXT($B126*60+AQ$109,"0000"),RawData!$A$2:$G$30000,7,FALSE),
    Mapping!$A$4:$B$9,2,FALSE
  ),
"")</f>
        <v>외출</v>
      </c>
      <c r="AR126" s="51" t="str">
        <f>IFERROR(
  VLOOKUP(
    VLOOKUP(TEXT($B$3,"yyyymmdd")&amp;"_"&amp;TEXT($B126*60+AR$109,"0000"),RawData!$A$2:$G$30000,7,FALSE),
    Mapping!$A$4:$B$9,2,FALSE
  ),
"")</f>
        <v>외출</v>
      </c>
      <c r="AS126" s="51" t="str">
        <f>IFERROR(
  VLOOKUP(
    VLOOKUP(TEXT($B$3,"yyyymmdd")&amp;"_"&amp;TEXT($B126*60+AS$109,"0000"),RawData!$A$2:$G$30000,7,FALSE),
    Mapping!$A$4:$B$9,2,FALSE
  ),
"")</f>
        <v>외출</v>
      </c>
      <c r="AT126" s="51" t="str">
        <f>IFERROR(
  VLOOKUP(
    VLOOKUP(TEXT($B$3,"yyyymmdd")&amp;"_"&amp;TEXT($B126*60+AT$109,"0000"),RawData!$A$2:$G$30000,7,FALSE),
    Mapping!$A$4:$B$9,2,FALSE
  ),
"")</f>
        <v>외출</v>
      </c>
      <c r="AU126" s="51" t="str">
        <f>IFERROR(
  VLOOKUP(
    VLOOKUP(TEXT($B$3,"yyyymmdd")&amp;"_"&amp;TEXT($B126*60+AU$109,"0000"),RawData!$A$2:$G$30000,7,FALSE),
    Mapping!$A$4:$B$9,2,FALSE
  ),
"")</f>
        <v>외출</v>
      </c>
      <c r="AV126" s="51" t="str">
        <f>IFERROR(
  VLOOKUP(
    VLOOKUP(TEXT($B$3,"yyyymmdd")&amp;"_"&amp;TEXT($B126*60+AV$109,"0000"),RawData!$A$2:$G$30000,7,FALSE),
    Mapping!$A$4:$B$9,2,FALSE
  ),
"")</f>
        <v>외출</v>
      </c>
      <c r="AW126" s="51" t="str">
        <f>IFERROR(
  VLOOKUP(
    VLOOKUP(TEXT($B$3,"yyyymmdd")&amp;"_"&amp;TEXT($B126*60+AW$109,"0000"),RawData!$A$2:$G$30000,7,FALSE),
    Mapping!$A$4:$B$9,2,FALSE
  ),
"")</f>
        <v>외출</v>
      </c>
      <c r="AX126" s="51" t="str">
        <f>IFERROR(
  VLOOKUP(
    VLOOKUP(TEXT($B$3,"yyyymmdd")&amp;"_"&amp;TEXT($B126*60+AX$109,"0000"),RawData!$A$2:$G$30000,7,FALSE),
    Mapping!$A$4:$B$9,2,FALSE
  ),
"")</f>
        <v>외출</v>
      </c>
      <c r="AY126" s="51" t="str">
        <f>IFERROR(
  VLOOKUP(
    VLOOKUP(TEXT($B$3,"yyyymmdd")&amp;"_"&amp;TEXT($B126*60+AY$109,"0000"),RawData!$A$2:$G$30000,7,FALSE),
    Mapping!$A$4:$B$9,2,FALSE
  ),
"")</f>
        <v>외출</v>
      </c>
      <c r="AZ126" s="51" t="str">
        <f>IFERROR(
  VLOOKUP(
    VLOOKUP(TEXT($B$3,"yyyymmdd")&amp;"_"&amp;TEXT($B126*60+AZ$109,"0000"),RawData!$A$2:$G$30000,7,FALSE),
    Mapping!$A$4:$B$9,2,FALSE
  ),
"")</f>
        <v>외출</v>
      </c>
      <c r="BA126" s="51" t="str">
        <f>IFERROR(
  VLOOKUP(
    VLOOKUP(TEXT($B$3,"yyyymmdd")&amp;"_"&amp;TEXT($B126*60+BA$109,"0000"),RawData!$A$2:$G$30000,7,FALSE),
    Mapping!$A$4:$B$9,2,FALSE
  ),
"")</f>
        <v>외출</v>
      </c>
      <c r="BB126" s="51" t="str">
        <f>IFERROR(
  VLOOKUP(
    VLOOKUP(TEXT($B$3,"yyyymmdd")&amp;"_"&amp;TEXT($B126*60+BB$109,"0000"),RawData!$A$2:$G$30000,7,FALSE),
    Mapping!$A$4:$B$9,2,FALSE
  ),
"")</f>
        <v>외출</v>
      </c>
      <c r="BC126" s="51" t="str">
        <f>IFERROR(
  VLOOKUP(
    VLOOKUP(TEXT($B$3,"yyyymmdd")&amp;"_"&amp;TEXT($B126*60+BC$109,"0000"),RawData!$A$2:$G$30000,7,FALSE),
    Mapping!$A$4:$B$9,2,FALSE
  ),
"")</f>
        <v>외출</v>
      </c>
      <c r="BD126" s="51" t="str">
        <f>IFERROR(
  VLOOKUP(
    VLOOKUP(TEXT($B$3,"yyyymmdd")&amp;"_"&amp;TEXT($B126*60+BD$109,"0000"),RawData!$A$2:$G$30000,7,FALSE),
    Mapping!$A$4:$B$9,2,FALSE
  ),
"")</f>
        <v>외출</v>
      </c>
      <c r="BE126" s="51" t="str">
        <f>IFERROR(
  VLOOKUP(
    VLOOKUP(TEXT($B$3,"yyyymmdd")&amp;"_"&amp;TEXT($B126*60+BE$109,"0000"),RawData!$A$2:$G$30000,7,FALSE),
    Mapping!$A$4:$B$9,2,FALSE
  ),
"")</f>
        <v>외출</v>
      </c>
      <c r="BF126" s="51" t="str">
        <f>IFERROR(
  VLOOKUP(
    VLOOKUP(TEXT($B$3,"yyyymmdd")&amp;"_"&amp;TEXT($B126*60+BF$109,"0000"),RawData!$A$2:$G$30000,7,FALSE),
    Mapping!$A$4:$B$9,2,FALSE
  ),
"")</f>
        <v>외출</v>
      </c>
      <c r="BG126" s="51" t="str">
        <f>IFERROR(
  VLOOKUP(
    VLOOKUP(TEXT($B$3,"yyyymmdd")&amp;"_"&amp;TEXT($B126*60+BG$109,"0000"),RawData!$A$2:$G$30000,7,FALSE),
    Mapping!$A$4:$B$9,2,FALSE
  ),
"")</f>
        <v>외출</v>
      </c>
      <c r="BH126" s="51" t="str">
        <f>IFERROR(
  VLOOKUP(
    VLOOKUP(TEXT($B$3,"yyyymmdd")&amp;"_"&amp;TEXT($B126*60+BH$109,"0000"),RawData!$A$2:$G$30000,7,FALSE),
    Mapping!$A$4:$B$9,2,FALSE
  ),
"")</f>
        <v>외출</v>
      </c>
      <c r="BI126" s="51" t="str">
        <f>IFERROR(
  VLOOKUP(
    VLOOKUP(TEXT($B$3,"yyyymmdd")&amp;"_"&amp;TEXT($B126*60+BI$109,"0000"),RawData!$A$2:$G$30000,7,FALSE),
    Mapping!$A$4:$B$9,2,FALSE
  ),
"")</f>
        <v>외출</v>
      </c>
      <c r="BJ126" s="51" t="str">
        <f>IFERROR(
  VLOOKUP(
    VLOOKUP(TEXT($B$3,"yyyymmdd")&amp;"_"&amp;TEXT($B126*60+BJ$109,"0000"),RawData!$A$2:$G$30000,7,FALSE),
    Mapping!$A$4:$B$9,2,FALSE
  ),
"")</f>
        <v>외출</v>
      </c>
      <c r="BK126" s="4" t="str">
        <f>IFERROR(VLOOKUP(TEXT($B$3,"yyyymmdd")&amp;"_"&amp;TEXT(115,"0000"),RawData!$A$2:$F$1441,4,FALSE),"")</f>
        <v>01</v>
      </c>
      <c r="BL126" s="19">
        <f>TIME(0,0,0)+115/1440</f>
        <v>7.9861111111111105E-2</v>
      </c>
      <c r="BM126" s="4">
        <f>IFERROR(VLOOKUP(TEXT($B$3,"yyyymmdd")&amp;"_"&amp;TEXT(115,"0000"),RawData!$A$2:$F$1441,5,FALSE),"")</f>
        <v>0</v>
      </c>
      <c r="BN126" s="4">
        <f t="shared" si="2"/>
        <v>0</v>
      </c>
    </row>
    <row r="127" spans="2:66" x14ac:dyDescent="0.6">
      <c r="B127" s="18">
        <v>17</v>
      </c>
      <c r="C127" s="51" t="str">
        <f>IFERROR(
  VLOOKUP(
    VLOOKUP(TEXT($B$3,"yyyymmdd")&amp;"_"&amp;TEXT($B127*60+C$109,"0000"),RawData!$A$2:$G$30000,7,FALSE),
    Mapping!$A$4:$B$9,2,FALSE
  ),
"")</f>
        <v>외출</v>
      </c>
      <c r="D127" s="51" t="str">
        <f>IFERROR(
  VLOOKUP(
    VLOOKUP(TEXT($B$3,"yyyymmdd")&amp;"_"&amp;TEXT($B127*60+D$109,"0000"),RawData!$A$2:$G$30000,7,FALSE),
    Mapping!$A$4:$B$9,2,FALSE
  ),
"")</f>
        <v>외출</v>
      </c>
      <c r="E127" s="51" t="str">
        <f>IFERROR(
  VLOOKUP(
    VLOOKUP(TEXT($B$3,"yyyymmdd")&amp;"_"&amp;TEXT($B127*60+E$109,"0000"),RawData!$A$2:$G$30000,7,FALSE),
    Mapping!$A$4:$B$9,2,FALSE
  ),
"")</f>
        <v>외출</v>
      </c>
      <c r="F127" s="51" t="str">
        <f>IFERROR(
  VLOOKUP(
    VLOOKUP(TEXT($B$3,"yyyymmdd")&amp;"_"&amp;TEXT($B127*60+F$109,"0000"),RawData!$A$2:$G$30000,7,FALSE),
    Mapping!$A$4:$B$9,2,FALSE
  ),
"")</f>
        <v/>
      </c>
      <c r="G127" s="51" t="str">
        <f>IFERROR(
  VLOOKUP(
    VLOOKUP(TEXT($B$3,"yyyymmdd")&amp;"_"&amp;TEXT($B127*60+G$109,"0000"),RawData!$A$2:$G$30000,7,FALSE),
    Mapping!$A$4:$B$9,2,FALSE
  ),
"")</f>
        <v>외출</v>
      </c>
      <c r="H127" s="51" t="str">
        <f>IFERROR(
  VLOOKUP(
    VLOOKUP(TEXT($B$3,"yyyymmdd")&amp;"_"&amp;TEXT($B127*60+H$109,"0000"),RawData!$A$2:$G$30000,7,FALSE),
    Mapping!$A$4:$B$9,2,FALSE
  ),
"")</f>
        <v>외출</v>
      </c>
      <c r="I127" s="51" t="str">
        <f>IFERROR(
  VLOOKUP(
    VLOOKUP(TEXT($B$3,"yyyymmdd")&amp;"_"&amp;TEXT($B127*60+I$109,"0000"),RawData!$A$2:$G$30000,7,FALSE),
    Mapping!$A$4:$B$9,2,FALSE
  ),
"")</f>
        <v>외출</v>
      </c>
      <c r="J127" s="51" t="str">
        <f>IFERROR(
  VLOOKUP(
    VLOOKUP(TEXT($B$3,"yyyymmdd")&amp;"_"&amp;TEXT($B127*60+J$109,"0000"),RawData!$A$2:$G$30000,7,FALSE),
    Mapping!$A$4:$B$9,2,FALSE
  ),
"")</f>
        <v>외출</v>
      </c>
      <c r="K127" s="51" t="str">
        <f>IFERROR(
  VLOOKUP(
    VLOOKUP(TEXT($B$3,"yyyymmdd")&amp;"_"&amp;TEXT($B127*60+K$109,"0000"),RawData!$A$2:$G$30000,7,FALSE),
    Mapping!$A$4:$B$9,2,FALSE
  ),
"")</f>
        <v>외출</v>
      </c>
      <c r="L127" s="51" t="str">
        <f>IFERROR(
  VLOOKUP(
    VLOOKUP(TEXT($B$3,"yyyymmdd")&amp;"_"&amp;TEXT($B127*60+L$109,"0000"),RawData!$A$2:$G$30000,7,FALSE),
    Mapping!$A$4:$B$9,2,FALSE
  ),
"")</f>
        <v>외출</v>
      </c>
      <c r="M127" s="51" t="str">
        <f>IFERROR(
  VLOOKUP(
    VLOOKUP(TEXT($B$3,"yyyymmdd")&amp;"_"&amp;TEXT($B127*60+M$109,"0000"),RawData!$A$2:$G$30000,7,FALSE),
    Mapping!$A$4:$B$9,2,FALSE
  ),
"")</f>
        <v>외출</v>
      </c>
      <c r="N127" s="51" t="str">
        <f>IFERROR(
  VLOOKUP(
    VLOOKUP(TEXT($B$3,"yyyymmdd")&amp;"_"&amp;TEXT($B127*60+N$109,"0000"),RawData!$A$2:$G$30000,7,FALSE),
    Mapping!$A$4:$B$9,2,FALSE
  ),
"")</f>
        <v>외출</v>
      </c>
      <c r="O127" s="51" t="str">
        <f>IFERROR(
  VLOOKUP(
    VLOOKUP(TEXT($B$3,"yyyymmdd")&amp;"_"&amp;TEXT($B127*60+O$109,"0000"),RawData!$A$2:$G$30000,7,FALSE),
    Mapping!$A$4:$B$9,2,FALSE
  ),
"")</f>
        <v>외출</v>
      </c>
      <c r="P127" s="51" t="str">
        <f>IFERROR(
  VLOOKUP(
    VLOOKUP(TEXT($B$3,"yyyymmdd")&amp;"_"&amp;TEXT($B127*60+P$109,"0000"),RawData!$A$2:$G$30000,7,FALSE),
    Mapping!$A$4:$B$9,2,FALSE
  ),
"")</f>
        <v>외출</v>
      </c>
      <c r="Q127" s="51" t="str">
        <f>IFERROR(
  VLOOKUP(
    VLOOKUP(TEXT($B$3,"yyyymmdd")&amp;"_"&amp;TEXT($B127*60+Q$109,"0000"),RawData!$A$2:$G$30000,7,FALSE),
    Mapping!$A$4:$B$9,2,FALSE
  ),
"")</f>
        <v>외출</v>
      </c>
      <c r="R127" s="51" t="str">
        <f>IFERROR(
  VLOOKUP(
    VLOOKUP(TEXT($B$3,"yyyymmdd")&amp;"_"&amp;TEXT($B127*60+R$109,"0000"),RawData!$A$2:$G$30000,7,FALSE),
    Mapping!$A$4:$B$9,2,FALSE
  ),
"")</f>
        <v>외출</v>
      </c>
      <c r="S127" s="51" t="str">
        <f>IFERROR(
  VLOOKUP(
    VLOOKUP(TEXT($B$3,"yyyymmdd")&amp;"_"&amp;TEXT($B127*60+S$109,"0000"),RawData!$A$2:$G$30000,7,FALSE),
    Mapping!$A$4:$B$9,2,FALSE
  ),
"")</f>
        <v>외출</v>
      </c>
      <c r="T127" s="51" t="str">
        <f>IFERROR(
  VLOOKUP(
    VLOOKUP(TEXT($B$3,"yyyymmdd")&amp;"_"&amp;TEXT($B127*60+T$109,"0000"),RawData!$A$2:$G$30000,7,FALSE),
    Mapping!$A$4:$B$9,2,FALSE
  ),
"")</f>
        <v>외출</v>
      </c>
      <c r="U127" s="51" t="str">
        <f>IFERROR(
  VLOOKUP(
    VLOOKUP(TEXT($B$3,"yyyymmdd")&amp;"_"&amp;TEXT($B127*60+U$109,"0000"),RawData!$A$2:$G$30000,7,FALSE),
    Mapping!$A$4:$B$9,2,FALSE
  ),
"")</f>
        <v>외출</v>
      </c>
      <c r="V127" s="51" t="str">
        <f>IFERROR(
  VLOOKUP(
    VLOOKUP(TEXT($B$3,"yyyymmdd")&amp;"_"&amp;TEXT($B127*60+V$109,"0000"),RawData!$A$2:$G$30000,7,FALSE),
    Mapping!$A$4:$B$9,2,FALSE
  ),
"")</f>
        <v>외출</v>
      </c>
      <c r="W127" s="51" t="str">
        <f>IFERROR(
  VLOOKUP(
    VLOOKUP(TEXT($B$3,"yyyymmdd")&amp;"_"&amp;TEXT($B127*60+W$109,"0000"),RawData!$A$2:$G$30000,7,FALSE),
    Mapping!$A$4:$B$9,2,FALSE
  ),
"")</f>
        <v>외출</v>
      </c>
      <c r="X127" s="51" t="str">
        <f>IFERROR(
  VLOOKUP(
    VLOOKUP(TEXT($B$3,"yyyymmdd")&amp;"_"&amp;TEXT($B127*60+X$109,"0000"),RawData!$A$2:$G$30000,7,FALSE),
    Mapping!$A$4:$B$9,2,FALSE
  ),
"")</f>
        <v>외출</v>
      </c>
      <c r="Y127" s="51" t="str">
        <f>IFERROR(
  VLOOKUP(
    VLOOKUP(TEXT($B$3,"yyyymmdd")&amp;"_"&amp;TEXT($B127*60+Y$109,"0000"),RawData!$A$2:$G$30000,7,FALSE),
    Mapping!$A$4:$B$9,2,FALSE
  ),
"")</f>
        <v>외출</v>
      </c>
      <c r="Z127" s="51" t="str">
        <f>IFERROR(
  VLOOKUP(
    VLOOKUP(TEXT($B$3,"yyyymmdd")&amp;"_"&amp;TEXT($B127*60+Z$109,"0000"),RawData!$A$2:$G$30000,7,FALSE),
    Mapping!$A$4:$B$9,2,FALSE
  ),
"")</f>
        <v>외출</v>
      </c>
      <c r="AA127" s="51" t="str">
        <f>IFERROR(
  VLOOKUP(
    VLOOKUP(TEXT($B$3,"yyyymmdd")&amp;"_"&amp;TEXT($B127*60+AA$109,"0000"),RawData!$A$2:$G$30000,7,FALSE),
    Mapping!$A$4:$B$9,2,FALSE
  ),
"")</f>
        <v>외출</v>
      </c>
      <c r="AB127" s="51" t="str">
        <f>IFERROR(
  VLOOKUP(
    VLOOKUP(TEXT($B$3,"yyyymmdd")&amp;"_"&amp;TEXT($B127*60+AB$109,"0000"),RawData!$A$2:$G$30000,7,FALSE),
    Mapping!$A$4:$B$9,2,FALSE
  ),
"")</f>
        <v>외출</v>
      </c>
      <c r="AC127" s="51" t="str">
        <f>IFERROR(
  VLOOKUP(
    VLOOKUP(TEXT($B$3,"yyyymmdd")&amp;"_"&amp;TEXT($B127*60+AC$109,"0000"),RawData!$A$2:$G$30000,7,FALSE),
    Mapping!$A$4:$B$9,2,FALSE
  ),
"")</f>
        <v>외출</v>
      </c>
      <c r="AD127" s="51" t="str">
        <f>IFERROR(
  VLOOKUP(
    VLOOKUP(TEXT($B$3,"yyyymmdd")&amp;"_"&amp;TEXT($B127*60+AD$109,"0000"),RawData!$A$2:$G$30000,7,FALSE),
    Mapping!$A$4:$B$9,2,FALSE
  ),
"")</f>
        <v>외출</v>
      </c>
      <c r="AE127" s="51" t="str">
        <f>IFERROR(
  VLOOKUP(
    VLOOKUP(TEXT($B$3,"yyyymmdd")&amp;"_"&amp;TEXT($B127*60+AE$109,"0000"),RawData!$A$2:$G$30000,7,FALSE),
    Mapping!$A$4:$B$9,2,FALSE
  ),
"")</f>
        <v>외출</v>
      </c>
      <c r="AF127" s="51" t="str">
        <f>IFERROR(
  VLOOKUP(
    VLOOKUP(TEXT($B$3,"yyyymmdd")&amp;"_"&amp;TEXT($B127*60+AF$109,"0000"),RawData!$A$2:$G$30000,7,FALSE),
    Mapping!$A$4:$B$9,2,FALSE
  ),
"")</f>
        <v>외출</v>
      </c>
      <c r="AG127" s="51" t="str">
        <f>IFERROR(
  VLOOKUP(
    VLOOKUP(TEXT($B$3,"yyyymmdd")&amp;"_"&amp;TEXT($B127*60+AG$109,"0000"),RawData!$A$2:$G$30000,7,FALSE),
    Mapping!$A$4:$B$9,2,FALSE
  ),
"")</f>
        <v>외출</v>
      </c>
      <c r="AH127" s="51" t="str">
        <f>IFERROR(
  VLOOKUP(
    VLOOKUP(TEXT($B$3,"yyyymmdd")&amp;"_"&amp;TEXT($B127*60+AH$109,"0000"),RawData!$A$2:$G$30000,7,FALSE),
    Mapping!$A$4:$B$9,2,FALSE
  ),
"")</f>
        <v>외출</v>
      </c>
      <c r="AI127" s="51" t="str">
        <f>IFERROR(
  VLOOKUP(
    VLOOKUP(TEXT($B$3,"yyyymmdd")&amp;"_"&amp;TEXT($B127*60+AI$109,"0000"),RawData!$A$2:$G$30000,7,FALSE),
    Mapping!$A$4:$B$9,2,FALSE
  ),
"")</f>
        <v>외출</v>
      </c>
      <c r="AJ127" s="51" t="str">
        <f>IFERROR(
  VLOOKUP(
    VLOOKUP(TEXT($B$3,"yyyymmdd")&amp;"_"&amp;TEXT($B127*60+AJ$109,"0000"),RawData!$A$2:$G$30000,7,FALSE),
    Mapping!$A$4:$B$9,2,FALSE
  ),
"")</f>
        <v>외출</v>
      </c>
      <c r="AK127" s="51" t="str">
        <f>IFERROR(
  VLOOKUP(
    VLOOKUP(TEXT($B$3,"yyyymmdd")&amp;"_"&amp;TEXT($B127*60+AK$109,"0000"),RawData!$A$2:$G$30000,7,FALSE),
    Mapping!$A$4:$B$9,2,FALSE
  ),
"")</f>
        <v>외출</v>
      </c>
      <c r="AL127" s="51" t="str">
        <f>IFERROR(
  VLOOKUP(
    VLOOKUP(TEXT($B$3,"yyyymmdd")&amp;"_"&amp;TEXT($B127*60+AL$109,"0000"),RawData!$A$2:$G$30000,7,FALSE),
    Mapping!$A$4:$B$9,2,FALSE
  ),
"")</f>
        <v>외출</v>
      </c>
      <c r="AM127" s="51" t="str">
        <f>IFERROR(
  VLOOKUP(
    VLOOKUP(TEXT($B$3,"yyyymmdd")&amp;"_"&amp;TEXT($B127*60+AM$109,"0000"),RawData!$A$2:$G$30000,7,FALSE),
    Mapping!$A$4:$B$9,2,FALSE
  ),
"")</f>
        <v>외출</v>
      </c>
      <c r="AN127" s="51" t="str">
        <f>IFERROR(
  VLOOKUP(
    VLOOKUP(TEXT($B$3,"yyyymmdd")&amp;"_"&amp;TEXT($B127*60+AN$109,"0000"),RawData!$A$2:$G$30000,7,FALSE),
    Mapping!$A$4:$B$9,2,FALSE
  ),
"")</f>
        <v>외출</v>
      </c>
      <c r="AO127" s="51" t="str">
        <f>IFERROR(
  VLOOKUP(
    VLOOKUP(TEXT($B$3,"yyyymmdd")&amp;"_"&amp;TEXT($B127*60+AO$109,"0000"),RawData!$A$2:$G$30000,7,FALSE),
    Mapping!$A$4:$B$9,2,FALSE
  ),
"")</f>
        <v>외출</v>
      </c>
      <c r="AP127" s="51" t="str">
        <f>IFERROR(
  VLOOKUP(
    VLOOKUP(TEXT($B$3,"yyyymmdd")&amp;"_"&amp;TEXT($B127*60+AP$109,"0000"),RawData!$A$2:$G$30000,7,FALSE),
    Mapping!$A$4:$B$9,2,FALSE
  ),
"")</f>
        <v>외출</v>
      </c>
      <c r="AQ127" s="51" t="str">
        <f>IFERROR(
  VLOOKUP(
    VLOOKUP(TEXT($B$3,"yyyymmdd")&amp;"_"&amp;TEXT($B127*60+AQ$109,"0000"),RawData!$A$2:$G$30000,7,FALSE),
    Mapping!$A$4:$B$9,2,FALSE
  ),
"")</f>
        <v>외출</v>
      </c>
      <c r="AR127" s="51" t="str">
        <f>IFERROR(
  VLOOKUP(
    VLOOKUP(TEXT($B$3,"yyyymmdd")&amp;"_"&amp;TEXT($B127*60+AR$109,"0000"),RawData!$A$2:$G$30000,7,FALSE),
    Mapping!$A$4:$B$9,2,FALSE
  ),
"")</f>
        <v>외출</v>
      </c>
      <c r="AS127" s="51" t="str">
        <f>IFERROR(
  VLOOKUP(
    VLOOKUP(TEXT($B$3,"yyyymmdd")&amp;"_"&amp;TEXT($B127*60+AS$109,"0000"),RawData!$A$2:$G$30000,7,FALSE),
    Mapping!$A$4:$B$9,2,FALSE
  ),
"")</f>
        <v>외출</v>
      </c>
      <c r="AT127" s="51" t="str">
        <f>IFERROR(
  VLOOKUP(
    VLOOKUP(TEXT($B$3,"yyyymmdd")&amp;"_"&amp;TEXT($B127*60+AT$109,"0000"),RawData!$A$2:$G$30000,7,FALSE),
    Mapping!$A$4:$B$9,2,FALSE
  ),
"")</f>
        <v>외출</v>
      </c>
      <c r="AU127" s="51" t="str">
        <f>IFERROR(
  VLOOKUP(
    VLOOKUP(TEXT($B$3,"yyyymmdd")&amp;"_"&amp;TEXT($B127*60+AU$109,"0000"),RawData!$A$2:$G$30000,7,FALSE),
    Mapping!$A$4:$B$9,2,FALSE
  ),
"")</f>
        <v>외출</v>
      </c>
      <c r="AV127" s="51" t="str">
        <f>IFERROR(
  VLOOKUP(
    VLOOKUP(TEXT($B$3,"yyyymmdd")&amp;"_"&amp;TEXT($B127*60+AV$109,"0000"),RawData!$A$2:$G$30000,7,FALSE),
    Mapping!$A$4:$B$9,2,FALSE
  ),
"")</f>
        <v>외출</v>
      </c>
      <c r="AW127" s="51" t="str">
        <f>IFERROR(
  VLOOKUP(
    VLOOKUP(TEXT($B$3,"yyyymmdd")&amp;"_"&amp;TEXT($B127*60+AW$109,"0000"),RawData!$A$2:$G$30000,7,FALSE),
    Mapping!$A$4:$B$9,2,FALSE
  ),
"")</f>
        <v>외출</v>
      </c>
      <c r="AX127" s="51" t="str">
        <f>IFERROR(
  VLOOKUP(
    VLOOKUP(TEXT($B$3,"yyyymmdd")&amp;"_"&amp;TEXT($B127*60+AX$109,"0000"),RawData!$A$2:$G$30000,7,FALSE),
    Mapping!$A$4:$B$9,2,FALSE
  ),
"")</f>
        <v>외출</v>
      </c>
      <c r="AY127" s="51" t="str">
        <f>IFERROR(
  VLOOKUP(
    VLOOKUP(TEXT($B$3,"yyyymmdd")&amp;"_"&amp;TEXT($B127*60+AY$109,"0000"),RawData!$A$2:$G$30000,7,FALSE),
    Mapping!$A$4:$B$9,2,FALSE
  ),
"")</f>
        <v>외출</v>
      </c>
      <c r="AZ127" s="51" t="str">
        <f>IFERROR(
  VLOOKUP(
    VLOOKUP(TEXT($B$3,"yyyymmdd")&amp;"_"&amp;TEXT($B127*60+AZ$109,"0000"),RawData!$A$2:$G$30000,7,FALSE),
    Mapping!$A$4:$B$9,2,FALSE
  ),
"")</f>
        <v>외출</v>
      </c>
      <c r="BA127" s="51" t="str">
        <f>IFERROR(
  VLOOKUP(
    VLOOKUP(TEXT($B$3,"yyyymmdd")&amp;"_"&amp;TEXT($B127*60+BA$109,"0000"),RawData!$A$2:$G$30000,7,FALSE),
    Mapping!$A$4:$B$9,2,FALSE
  ),
"")</f>
        <v>외출</v>
      </c>
      <c r="BB127" s="51" t="str">
        <f>IFERROR(
  VLOOKUP(
    VLOOKUP(TEXT($B$3,"yyyymmdd")&amp;"_"&amp;TEXT($B127*60+BB$109,"0000"),RawData!$A$2:$G$30000,7,FALSE),
    Mapping!$A$4:$B$9,2,FALSE
  ),
"")</f>
        <v>외출</v>
      </c>
      <c r="BC127" s="51" t="str">
        <f>IFERROR(
  VLOOKUP(
    VLOOKUP(TEXT($B$3,"yyyymmdd")&amp;"_"&amp;TEXT($B127*60+BC$109,"0000"),RawData!$A$2:$G$30000,7,FALSE),
    Mapping!$A$4:$B$9,2,FALSE
  ),
"")</f>
        <v>외출</v>
      </c>
      <c r="BD127" s="51" t="str">
        <f>IFERROR(
  VLOOKUP(
    VLOOKUP(TEXT($B$3,"yyyymmdd")&amp;"_"&amp;TEXT($B127*60+BD$109,"0000"),RawData!$A$2:$G$30000,7,FALSE),
    Mapping!$A$4:$B$9,2,FALSE
  ),
"")</f>
        <v>외출</v>
      </c>
      <c r="BE127" s="51" t="str">
        <f>IFERROR(
  VLOOKUP(
    VLOOKUP(TEXT($B$3,"yyyymmdd")&amp;"_"&amp;TEXT($B127*60+BE$109,"0000"),RawData!$A$2:$G$30000,7,FALSE),
    Mapping!$A$4:$B$9,2,FALSE
  ),
"")</f>
        <v>외출</v>
      </c>
      <c r="BF127" s="51" t="str">
        <f>IFERROR(
  VLOOKUP(
    VLOOKUP(TEXT($B$3,"yyyymmdd")&amp;"_"&amp;TEXT($B127*60+BF$109,"0000"),RawData!$A$2:$G$30000,7,FALSE),
    Mapping!$A$4:$B$9,2,FALSE
  ),
"")</f>
        <v>외출</v>
      </c>
      <c r="BG127" s="51" t="str">
        <f>IFERROR(
  VLOOKUP(
    VLOOKUP(TEXT($B$3,"yyyymmdd")&amp;"_"&amp;TEXT($B127*60+BG$109,"0000"),RawData!$A$2:$G$30000,7,FALSE),
    Mapping!$A$4:$B$9,2,FALSE
  ),
"")</f>
        <v>화장실</v>
      </c>
      <c r="BH127" s="51" t="str">
        <f>IFERROR(
  VLOOKUP(
    VLOOKUP(TEXT($B$3,"yyyymmdd")&amp;"_"&amp;TEXT($B127*60+BH$109,"0000"),RawData!$A$2:$G$30000,7,FALSE),
    Mapping!$A$4:$B$9,2,FALSE
  ),
"")</f>
        <v>침실B</v>
      </c>
      <c r="BI127" s="51" t="str">
        <f>IFERROR(
  VLOOKUP(
    VLOOKUP(TEXT($B$3,"yyyymmdd")&amp;"_"&amp;TEXT($B127*60+BI$109,"0000"),RawData!$A$2:$G$30000,7,FALSE),
    Mapping!$A$4:$B$9,2,FALSE
  ),
"")</f>
        <v>침실B</v>
      </c>
      <c r="BJ127" s="51" t="str">
        <f>IFERROR(
  VLOOKUP(
    VLOOKUP(TEXT($B$3,"yyyymmdd")&amp;"_"&amp;TEXT($B127*60+BJ$109,"0000"),RawData!$A$2:$G$30000,7,FALSE),
    Mapping!$A$4:$B$9,2,FALSE
  ),
"")</f>
        <v>침실B</v>
      </c>
      <c r="BK127" s="4" t="str">
        <f>IFERROR(VLOOKUP(TEXT($B$3,"yyyymmdd")&amp;"_"&amp;TEXT(116,"0000"),RawData!$A$2:$F$1441,4,FALSE),"")</f>
        <v>01</v>
      </c>
      <c r="BL127" s="19">
        <f>TIME(0,0,0)+116/1440</f>
        <v>8.0555555555555561E-2</v>
      </c>
      <c r="BM127" s="4">
        <f>IFERROR(VLOOKUP(TEXT($B$3,"yyyymmdd")&amp;"_"&amp;TEXT(116,"0000"),RawData!$A$2:$F$1441,5,FALSE),"")</f>
        <v>0</v>
      </c>
      <c r="BN127" s="4">
        <f t="shared" si="2"/>
        <v>1</v>
      </c>
    </row>
    <row r="128" spans="2:66" x14ac:dyDescent="0.6">
      <c r="B128" s="18">
        <v>18</v>
      </c>
      <c r="C128" s="51" t="str">
        <f>IFERROR(
  VLOOKUP(
    VLOOKUP(TEXT($B$3,"yyyymmdd")&amp;"_"&amp;TEXT($B128*60+C$109,"0000"),RawData!$A$2:$G$30000,7,FALSE),
    Mapping!$A$4:$B$9,2,FALSE
  ),
"")</f>
        <v>침실B</v>
      </c>
      <c r="D128" s="51" t="str">
        <f>IFERROR(
  VLOOKUP(
    VLOOKUP(TEXT($B$3,"yyyymmdd")&amp;"_"&amp;TEXT($B128*60+D$109,"0000"),RawData!$A$2:$G$30000,7,FALSE),
    Mapping!$A$4:$B$9,2,FALSE
  ),
"")</f>
        <v>침실B</v>
      </c>
      <c r="E128" s="51" t="str">
        <f>IFERROR(
  VLOOKUP(
    VLOOKUP(TEXT($B$3,"yyyymmdd")&amp;"_"&amp;TEXT($B128*60+E$109,"0000"),RawData!$A$2:$G$30000,7,FALSE),
    Mapping!$A$4:$B$9,2,FALSE
  ),
"")</f>
        <v>침실B</v>
      </c>
      <c r="F128" s="51" t="str">
        <f>IFERROR(
  VLOOKUP(
    VLOOKUP(TEXT($B$3,"yyyymmdd")&amp;"_"&amp;TEXT($B128*60+F$109,"0000"),RawData!$A$2:$G$30000,7,FALSE),
    Mapping!$A$4:$B$9,2,FALSE
  ),
"")</f>
        <v>침실B</v>
      </c>
      <c r="G128" s="51" t="str">
        <f>IFERROR(
  VLOOKUP(
    VLOOKUP(TEXT($B$3,"yyyymmdd")&amp;"_"&amp;TEXT($B128*60+G$109,"0000"),RawData!$A$2:$G$30000,7,FALSE),
    Mapping!$A$4:$B$9,2,FALSE
  ),
"")</f>
        <v>침실B</v>
      </c>
      <c r="H128" s="51" t="str">
        <f>IFERROR(
  VLOOKUP(
    VLOOKUP(TEXT($B$3,"yyyymmdd")&amp;"_"&amp;TEXT($B128*60+H$109,"0000"),RawData!$A$2:$G$30000,7,FALSE),
    Mapping!$A$4:$B$9,2,FALSE
  ),
"")</f>
        <v>주방</v>
      </c>
      <c r="I128" s="51" t="str">
        <f>IFERROR(
  VLOOKUP(
    VLOOKUP(TEXT($B$3,"yyyymmdd")&amp;"_"&amp;TEXT($B128*60+I$109,"0000"),RawData!$A$2:$G$30000,7,FALSE),
    Mapping!$A$4:$B$9,2,FALSE
  ),
"")</f>
        <v>침실B</v>
      </c>
      <c r="J128" s="51" t="str">
        <f>IFERROR(
  VLOOKUP(
    VLOOKUP(TEXT($B$3,"yyyymmdd")&amp;"_"&amp;TEXT($B128*60+J$109,"0000"),RawData!$A$2:$G$30000,7,FALSE),
    Mapping!$A$4:$B$9,2,FALSE
  ),
"")</f>
        <v>거실A</v>
      </c>
      <c r="K128" s="51" t="str">
        <f>IFERROR(
  VLOOKUP(
    VLOOKUP(TEXT($B$3,"yyyymmdd")&amp;"_"&amp;TEXT($B128*60+K$109,"0000"),RawData!$A$2:$G$30000,7,FALSE),
    Mapping!$A$4:$B$9,2,FALSE
  ),
"")</f>
        <v>침실B</v>
      </c>
      <c r="L128" s="51" t="str">
        <f>IFERROR(
  VLOOKUP(
    VLOOKUP(TEXT($B$3,"yyyymmdd")&amp;"_"&amp;TEXT($B128*60+L$109,"0000"),RawData!$A$2:$G$30000,7,FALSE),
    Mapping!$A$4:$B$9,2,FALSE
  ),
"")</f>
        <v>침실B</v>
      </c>
      <c r="M128" s="51" t="str">
        <f>IFERROR(
  VLOOKUP(
    VLOOKUP(TEXT($B$3,"yyyymmdd")&amp;"_"&amp;TEXT($B128*60+M$109,"0000"),RawData!$A$2:$G$30000,7,FALSE),
    Mapping!$A$4:$B$9,2,FALSE
  ),
"")</f>
        <v>침실B</v>
      </c>
      <c r="N128" s="51" t="str">
        <f>IFERROR(
  VLOOKUP(
    VLOOKUP(TEXT($B$3,"yyyymmdd")&amp;"_"&amp;TEXT($B128*60+N$109,"0000"),RawData!$A$2:$G$30000,7,FALSE),
    Mapping!$A$4:$B$9,2,FALSE
  ),
"")</f>
        <v>침실B</v>
      </c>
      <c r="O128" s="51" t="str">
        <f>IFERROR(
  VLOOKUP(
    VLOOKUP(TEXT($B$3,"yyyymmdd")&amp;"_"&amp;TEXT($B128*60+O$109,"0000"),RawData!$A$2:$G$30000,7,FALSE),
    Mapping!$A$4:$B$9,2,FALSE
  ),
"")</f>
        <v>침실B</v>
      </c>
      <c r="P128" s="51" t="str">
        <f>IFERROR(
  VLOOKUP(
    VLOOKUP(TEXT($B$3,"yyyymmdd")&amp;"_"&amp;TEXT($B128*60+P$109,"0000"),RawData!$A$2:$G$30000,7,FALSE),
    Mapping!$A$4:$B$9,2,FALSE
  ),
"")</f>
        <v>침실B</v>
      </c>
      <c r="Q128" s="51" t="str">
        <f>IFERROR(
  VLOOKUP(
    VLOOKUP(TEXT($B$3,"yyyymmdd")&amp;"_"&amp;TEXT($B128*60+Q$109,"0000"),RawData!$A$2:$G$30000,7,FALSE),
    Mapping!$A$4:$B$9,2,FALSE
  ),
"")</f>
        <v>침실B</v>
      </c>
      <c r="R128" s="51" t="str">
        <f>IFERROR(
  VLOOKUP(
    VLOOKUP(TEXT($B$3,"yyyymmdd")&amp;"_"&amp;TEXT($B128*60+R$109,"0000"),RawData!$A$2:$G$30000,7,FALSE),
    Mapping!$A$4:$B$9,2,FALSE
  ),
"")</f>
        <v>침실B</v>
      </c>
      <c r="S128" s="51" t="str">
        <f>IFERROR(
  VLOOKUP(
    VLOOKUP(TEXT($B$3,"yyyymmdd")&amp;"_"&amp;TEXT($B128*60+S$109,"0000"),RawData!$A$2:$G$30000,7,FALSE),
    Mapping!$A$4:$B$9,2,FALSE
  ),
"")</f>
        <v>침실B</v>
      </c>
      <c r="T128" s="51" t="str">
        <f>IFERROR(
  VLOOKUP(
    VLOOKUP(TEXT($B$3,"yyyymmdd")&amp;"_"&amp;TEXT($B128*60+T$109,"0000"),RawData!$A$2:$G$30000,7,FALSE),
    Mapping!$A$4:$B$9,2,FALSE
  ),
"")</f>
        <v>침실B</v>
      </c>
      <c r="U128" s="51" t="str">
        <f>IFERROR(
  VLOOKUP(
    VLOOKUP(TEXT($B$3,"yyyymmdd")&amp;"_"&amp;TEXT($B128*60+U$109,"0000"),RawData!$A$2:$G$30000,7,FALSE),
    Mapping!$A$4:$B$9,2,FALSE
  ),
"")</f>
        <v>침실B</v>
      </c>
      <c r="V128" s="51" t="str">
        <f>IFERROR(
  VLOOKUP(
    VLOOKUP(TEXT($B$3,"yyyymmdd")&amp;"_"&amp;TEXT($B128*60+V$109,"0000"),RawData!$A$2:$G$30000,7,FALSE),
    Mapping!$A$4:$B$9,2,FALSE
  ),
"")</f>
        <v>침실B</v>
      </c>
      <c r="W128" s="51" t="str">
        <f>IFERROR(
  VLOOKUP(
    VLOOKUP(TEXT($B$3,"yyyymmdd")&amp;"_"&amp;TEXT($B128*60+W$109,"0000"),RawData!$A$2:$G$30000,7,FALSE),
    Mapping!$A$4:$B$9,2,FALSE
  ),
"")</f>
        <v>침실B</v>
      </c>
      <c r="X128" s="51" t="str">
        <f>IFERROR(
  VLOOKUP(
    VLOOKUP(TEXT($B$3,"yyyymmdd")&amp;"_"&amp;TEXT($B128*60+X$109,"0000"),RawData!$A$2:$G$30000,7,FALSE),
    Mapping!$A$4:$B$9,2,FALSE
  ),
"")</f>
        <v>침실B</v>
      </c>
      <c r="Y128" s="51" t="str">
        <f>IFERROR(
  VLOOKUP(
    VLOOKUP(TEXT($B$3,"yyyymmdd")&amp;"_"&amp;TEXT($B128*60+Y$109,"0000"),RawData!$A$2:$G$30000,7,FALSE),
    Mapping!$A$4:$B$9,2,FALSE
  ),
"")</f>
        <v>침실B</v>
      </c>
      <c r="Z128" s="51" t="str">
        <f>IFERROR(
  VLOOKUP(
    VLOOKUP(TEXT($B$3,"yyyymmdd")&amp;"_"&amp;TEXT($B128*60+Z$109,"0000"),RawData!$A$2:$G$30000,7,FALSE),
    Mapping!$A$4:$B$9,2,FALSE
  ),
"")</f>
        <v>침실B</v>
      </c>
      <c r="AA128" s="51" t="str">
        <f>IFERROR(
  VLOOKUP(
    VLOOKUP(TEXT($B$3,"yyyymmdd")&amp;"_"&amp;TEXT($B128*60+AA$109,"0000"),RawData!$A$2:$G$30000,7,FALSE),
    Mapping!$A$4:$B$9,2,FALSE
  ),
"")</f>
        <v>침실B</v>
      </c>
      <c r="AB128" s="51" t="str">
        <f>IFERROR(
  VLOOKUP(
    VLOOKUP(TEXT($B$3,"yyyymmdd")&amp;"_"&amp;TEXT($B128*60+AB$109,"0000"),RawData!$A$2:$G$30000,7,FALSE),
    Mapping!$A$4:$B$9,2,FALSE
  ),
"")</f>
        <v>침실B</v>
      </c>
      <c r="AC128" s="51" t="str">
        <f>IFERROR(
  VLOOKUP(
    VLOOKUP(TEXT($B$3,"yyyymmdd")&amp;"_"&amp;TEXT($B128*60+AC$109,"0000"),RawData!$A$2:$G$30000,7,FALSE),
    Mapping!$A$4:$B$9,2,FALSE
  ),
"")</f>
        <v>침실B</v>
      </c>
      <c r="AD128" s="51" t="str">
        <f>IFERROR(
  VLOOKUP(
    VLOOKUP(TEXT($B$3,"yyyymmdd")&amp;"_"&amp;TEXT($B128*60+AD$109,"0000"),RawData!$A$2:$G$30000,7,FALSE),
    Mapping!$A$4:$B$9,2,FALSE
  ),
"")</f>
        <v>침실B</v>
      </c>
      <c r="AE128" s="51" t="str">
        <f>IFERROR(
  VLOOKUP(
    VLOOKUP(TEXT($B$3,"yyyymmdd")&amp;"_"&amp;TEXT($B128*60+AE$109,"0000"),RawData!$A$2:$G$30000,7,FALSE),
    Mapping!$A$4:$B$9,2,FALSE
  ),
"")</f>
        <v>침실B</v>
      </c>
      <c r="AF128" s="51" t="str">
        <f>IFERROR(
  VLOOKUP(
    VLOOKUP(TEXT($B$3,"yyyymmdd")&amp;"_"&amp;TEXT($B128*60+AF$109,"0000"),RawData!$A$2:$G$30000,7,FALSE),
    Mapping!$A$4:$B$9,2,FALSE
  ),
"")</f>
        <v>침실B</v>
      </c>
      <c r="AG128" s="51" t="str">
        <f>IFERROR(
  VLOOKUP(
    VLOOKUP(TEXT($B$3,"yyyymmdd")&amp;"_"&amp;TEXT($B128*60+AG$109,"0000"),RawData!$A$2:$G$30000,7,FALSE),
    Mapping!$A$4:$B$9,2,FALSE
  ),
"")</f>
        <v>침실B</v>
      </c>
      <c r="AH128" s="51" t="str">
        <f>IFERROR(
  VLOOKUP(
    VLOOKUP(TEXT($B$3,"yyyymmdd")&amp;"_"&amp;TEXT($B128*60+AH$109,"0000"),RawData!$A$2:$G$30000,7,FALSE),
    Mapping!$A$4:$B$9,2,FALSE
  ),
"")</f>
        <v>침실B</v>
      </c>
      <c r="AI128" s="51" t="str">
        <f>IFERROR(
  VLOOKUP(
    VLOOKUP(TEXT($B$3,"yyyymmdd")&amp;"_"&amp;TEXT($B128*60+AI$109,"0000"),RawData!$A$2:$G$30000,7,FALSE),
    Mapping!$A$4:$B$9,2,FALSE
  ),
"")</f>
        <v>침실B</v>
      </c>
      <c r="AJ128" s="51" t="str">
        <f>IFERROR(
  VLOOKUP(
    VLOOKUP(TEXT($B$3,"yyyymmdd")&amp;"_"&amp;TEXT($B128*60+AJ$109,"0000"),RawData!$A$2:$G$30000,7,FALSE),
    Mapping!$A$4:$B$9,2,FALSE
  ),
"")</f>
        <v>침실B</v>
      </c>
      <c r="AK128" s="51" t="str">
        <f>IFERROR(
  VLOOKUP(
    VLOOKUP(TEXT($B$3,"yyyymmdd")&amp;"_"&amp;TEXT($B128*60+AK$109,"0000"),RawData!$A$2:$G$30000,7,FALSE),
    Mapping!$A$4:$B$9,2,FALSE
  ),
"")</f>
        <v>침실B</v>
      </c>
      <c r="AL128" s="51" t="str">
        <f>IFERROR(
  VLOOKUP(
    VLOOKUP(TEXT($B$3,"yyyymmdd")&amp;"_"&amp;TEXT($B128*60+AL$109,"0000"),RawData!$A$2:$G$30000,7,FALSE),
    Mapping!$A$4:$B$9,2,FALSE
  ),
"")</f>
        <v>침실B</v>
      </c>
      <c r="AM128" s="51" t="str">
        <f>IFERROR(
  VLOOKUP(
    VLOOKUP(TEXT($B$3,"yyyymmdd")&amp;"_"&amp;TEXT($B128*60+AM$109,"0000"),RawData!$A$2:$G$30000,7,FALSE),
    Mapping!$A$4:$B$9,2,FALSE
  ),
"")</f>
        <v>침실B</v>
      </c>
      <c r="AN128" s="51" t="str">
        <f>IFERROR(
  VLOOKUP(
    VLOOKUP(TEXT($B$3,"yyyymmdd")&amp;"_"&amp;TEXT($B128*60+AN$109,"0000"),RawData!$A$2:$G$30000,7,FALSE),
    Mapping!$A$4:$B$9,2,FALSE
  ),
"")</f>
        <v>침실B</v>
      </c>
      <c r="AO128" s="51" t="str">
        <f>IFERROR(
  VLOOKUP(
    VLOOKUP(TEXT($B$3,"yyyymmdd")&amp;"_"&amp;TEXT($B128*60+AO$109,"0000"),RawData!$A$2:$G$30000,7,FALSE),
    Mapping!$A$4:$B$9,2,FALSE
  ),
"")</f>
        <v>침실B</v>
      </c>
      <c r="AP128" s="51" t="str">
        <f>IFERROR(
  VLOOKUP(
    VLOOKUP(TEXT($B$3,"yyyymmdd")&amp;"_"&amp;TEXT($B128*60+AP$109,"0000"),RawData!$A$2:$G$30000,7,FALSE),
    Mapping!$A$4:$B$9,2,FALSE
  ),
"")</f>
        <v>침실B</v>
      </c>
      <c r="AQ128" s="51" t="str">
        <f>IFERROR(
  VLOOKUP(
    VLOOKUP(TEXT($B$3,"yyyymmdd")&amp;"_"&amp;TEXT($B128*60+AQ$109,"0000"),RawData!$A$2:$G$30000,7,FALSE),
    Mapping!$A$4:$B$9,2,FALSE
  ),
"")</f>
        <v>침실B</v>
      </c>
      <c r="AR128" s="51" t="str">
        <f>IFERROR(
  VLOOKUP(
    VLOOKUP(TEXT($B$3,"yyyymmdd")&amp;"_"&amp;TEXT($B128*60+AR$109,"0000"),RawData!$A$2:$G$30000,7,FALSE),
    Mapping!$A$4:$B$9,2,FALSE
  ),
"")</f>
        <v>침실B</v>
      </c>
      <c r="AS128" s="51" t="str">
        <f>IFERROR(
  VLOOKUP(
    VLOOKUP(TEXT($B$3,"yyyymmdd")&amp;"_"&amp;TEXT($B128*60+AS$109,"0000"),RawData!$A$2:$G$30000,7,FALSE),
    Mapping!$A$4:$B$9,2,FALSE
  ),
"")</f>
        <v>침실B</v>
      </c>
      <c r="AT128" s="51" t="str">
        <f>IFERROR(
  VLOOKUP(
    VLOOKUP(TEXT($B$3,"yyyymmdd")&amp;"_"&amp;TEXT($B128*60+AT$109,"0000"),RawData!$A$2:$G$30000,7,FALSE),
    Mapping!$A$4:$B$9,2,FALSE
  ),
"")</f>
        <v>침실B</v>
      </c>
      <c r="AU128" s="51" t="str">
        <f>IFERROR(
  VLOOKUP(
    VLOOKUP(TEXT($B$3,"yyyymmdd")&amp;"_"&amp;TEXT($B128*60+AU$109,"0000"),RawData!$A$2:$G$30000,7,FALSE),
    Mapping!$A$4:$B$9,2,FALSE
  ),
"")</f>
        <v>침실B</v>
      </c>
      <c r="AV128" s="51" t="str">
        <f>IFERROR(
  VLOOKUP(
    VLOOKUP(TEXT($B$3,"yyyymmdd")&amp;"_"&amp;TEXT($B128*60+AV$109,"0000"),RawData!$A$2:$G$30000,7,FALSE),
    Mapping!$A$4:$B$9,2,FALSE
  ),
"")</f>
        <v>침실B</v>
      </c>
      <c r="AW128" s="51" t="str">
        <f>IFERROR(
  VLOOKUP(
    VLOOKUP(TEXT($B$3,"yyyymmdd")&amp;"_"&amp;TEXT($B128*60+AW$109,"0000"),RawData!$A$2:$G$30000,7,FALSE),
    Mapping!$A$4:$B$9,2,FALSE
  ),
"")</f>
        <v>침실B</v>
      </c>
      <c r="AX128" s="51" t="str">
        <f>IFERROR(
  VLOOKUP(
    VLOOKUP(TEXT($B$3,"yyyymmdd")&amp;"_"&amp;TEXT($B128*60+AX$109,"0000"),RawData!$A$2:$G$30000,7,FALSE),
    Mapping!$A$4:$B$9,2,FALSE
  ),
"")</f>
        <v>침실B</v>
      </c>
      <c r="AY128" s="51" t="str">
        <f>IFERROR(
  VLOOKUP(
    VLOOKUP(TEXT($B$3,"yyyymmdd")&amp;"_"&amp;TEXT($B128*60+AY$109,"0000"),RawData!$A$2:$G$30000,7,FALSE),
    Mapping!$A$4:$B$9,2,FALSE
  ),
"")</f>
        <v>침실B</v>
      </c>
      <c r="AZ128" s="51" t="str">
        <f>IFERROR(
  VLOOKUP(
    VLOOKUP(TEXT($B$3,"yyyymmdd")&amp;"_"&amp;TEXT($B128*60+AZ$109,"0000"),RawData!$A$2:$G$30000,7,FALSE),
    Mapping!$A$4:$B$9,2,FALSE
  ),
"")</f>
        <v>침실B</v>
      </c>
      <c r="BA128" s="51" t="str">
        <f>IFERROR(
  VLOOKUP(
    VLOOKUP(TEXT($B$3,"yyyymmdd")&amp;"_"&amp;TEXT($B128*60+BA$109,"0000"),RawData!$A$2:$G$30000,7,FALSE),
    Mapping!$A$4:$B$9,2,FALSE
  ),
"")</f>
        <v>침실B</v>
      </c>
      <c r="BB128" s="51" t="str">
        <f>IFERROR(
  VLOOKUP(
    VLOOKUP(TEXT($B$3,"yyyymmdd")&amp;"_"&amp;TEXT($B128*60+BB$109,"0000"),RawData!$A$2:$G$30000,7,FALSE),
    Mapping!$A$4:$B$9,2,FALSE
  ),
"")</f>
        <v>침실B</v>
      </c>
      <c r="BC128" s="51" t="str">
        <f>IFERROR(
  VLOOKUP(
    VLOOKUP(TEXT($B$3,"yyyymmdd")&amp;"_"&amp;TEXT($B128*60+BC$109,"0000"),RawData!$A$2:$G$30000,7,FALSE),
    Mapping!$A$4:$B$9,2,FALSE
  ),
"")</f>
        <v>침실B</v>
      </c>
      <c r="BD128" s="51" t="str">
        <f>IFERROR(
  VLOOKUP(
    VLOOKUP(TEXT($B$3,"yyyymmdd")&amp;"_"&amp;TEXT($B128*60+BD$109,"0000"),RawData!$A$2:$G$30000,7,FALSE),
    Mapping!$A$4:$B$9,2,FALSE
  ),
"")</f>
        <v>침실B</v>
      </c>
      <c r="BE128" s="51" t="str">
        <f>IFERROR(
  VLOOKUP(
    VLOOKUP(TEXT($B$3,"yyyymmdd")&amp;"_"&amp;TEXT($B128*60+BE$109,"0000"),RawData!$A$2:$G$30000,7,FALSE),
    Mapping!$A$4:$B$9,2,FALSE
  ),
"")</f>
        <v>침실B</v>
      </c>
      <c r="BF128" s="51" t="str">
        <f>IFERROR(
  VLOOKUP(
    VLOOKUP(TEXT($B$3,"yyyymmdd")&amp;"_"&amp;TEXT($B128*60+BF$109,"0000"),RawData!$A$2:$G$30000,7,FALSE),
    Mapping!$A$4:$B$9,2,FALSE
  ),
"")</f>
        <v>침실B</v>
      </c>
      <c r="BG128" s="51" t="str">
        <f>IFERROR(
  VLOOKUP(
    VLOOKUP(TEXT($B$3,"yyyymmdd")&amp;"_"&amp;TEXT($B128*60+BG$109,"0000"),RawData!$A$2:$G$30000,7,FALSE),
    Mapping!$A$4:$B$9,2,FALSE
  ),
"")</f>
        <v>침실B</v>
      </c>
      <c r="BH128" s="51" t="str">
        <f>IFERROR(
  VLOOKUP(
    VLOOKUP(TEXT($B$3,"yyyymmdd")&amp;"_"&amp;TEXT($B128*60+BH$109,"0000"),RawData!$A$2:$G$30000,7,FALSE),
    Mapping!$A$4:$B$9,2,FALSE
  ),
"")</f>
        <v>침실B</v>
      </c>
      <c r="BI128" s="51" t="str">
        <f>IFERROR(
  VLOOKUP(
    VLOOKUP(TEXT($B$3,"yyyymmdd")&amp;"_"&amp;TEXT($B128*60+BI$109,"0000"),RawData!$A$2:$G$30000,7,FALSE),
    Mapping!$A$4:$B$9,2,FALSE
  ),
"")</f>
        <v>침실B</v>
      </c>
      <c r="BJ128" s="51" t="str">
        <f>IFERROR(
  VLOOKUP(
    VLOOKUP(TEXT($B$3,"yyyymmdd")&amp;"_"&amp;TEXT($B128*60+BJ$109,"0000"),RawData!$A$2:$G$30000,7,FALSE),
    Mapping!$A$4:$B$9,2,FALSE
  ),
"")</f>
        <v>침실B</v>
      </c>
      <c r="BK128" s="4" t="str">
        <f>IFERROR(VLOOKUP(TEXT($B$3,"yyyymmdd")&amp;"_"&amp;TEXT(117,"0000"),RawData!$A$2:$F$1441,4,FALSE),"")</f>
        <v>01</v>
      </c>
      <c r="BL128" s="19">
        <f>TIME(0,0,0)+117/1440</f>
        <v>8.1250000000000003E-2</v>
      </c>
      <c r="BM128" s="4">
        <f>IFERROR(VLOOKUP(TEXT($B$3,"yyyymmdd")&amp;"_"&amp;TEXT(117,"0000"),RawData!$A$2:$F$1441,5,FALSE),"")</f>
        <v>0</v>
      </c>
      <c r="BN128" s="4">
        <f t="shared" si="2"/>
        <v>1</v>
      </c>
    </row>
    <row r="129" spans="2:66" x14ac:dyDescent="0.6">
      <c r="B129" s="18">
        <v>19</v>
      </c>
      <c r="C129" s="51" t="str">
        <f>IFERROR(
  VLOOKUP(
    VLOOKUP(TEXT($B$3,"yyyymmdd")&amp;"_"&amp;TEXT($B129*60+C$109,"0000"),RawData!$A$2:$G$30000,7,FALSE),
    Mapping!$A$4:$B$9,2,FALSE
  ),
"")</f>
        <v>거실A</v>
      </c>
      <c r="D129" s="51" t="str">
        <f>IFERROR(
  VLOOKUP(
    VLOOKUP(TEXT($B$3,"yyyymmdd")&amp;"_"&amp;TEXT($B129*60+D$109,"0000"),RawData!$A$2:$G$30000,7,FALSE),
    Mapping!$A$4:$B$9,2,FALSE
  ),
"")</f>
        <v>거실A</v>
      </c>
      <c r="E129" s="51" t="str">
        <f>IFERROR(
  VLOOKUP(
    VLOOKUP(TEXT($B$3,"yyyymmdd")&amp;"_"&amp;TEXT($B129*60+E$109,"0000"),RawData!$A$2:$G$30000,7,FALSE),
    Mapping!$A$4:$B$9,2,FALSE
  ),
"")</f>
        <v>침실B</v>
      </c>
      <c r="F129" s="51" t="str">
        <f>IFERROR(
  VLOOKUP(
    VLOOKUP(TEXT($B$3,"yyyymmdd")&amp;"_"&amp;TEXT($B129*60+F$109,"0000"),RawData!$A$2:$G$30000,7,FALSE),
    Mapping!$A$4:$B$9,2,FALSE
  ),
"")</f>
        <v>침실B</v>
      </c>
      <c r="G129" s="51" t="str">
        <f>IFERROR(
  VLOOKUP(
    VLOOKUP(TEXT($B$3,"yyyymmdd")&amp;"_"&amp;TEXT($B129*60+G$109,"0000"),RawData!$A$2:$G$30000,7,FALSE),
    Mapping!$A$4:$B$9,2,FALSE
  ),
"")</f>
        <v>침실B</v>
      </c>
      <c r="H129" s="51" t="str">
        <f>IFERROR(
  VLOOKUP(
    VLOOKUP(TEXT($B$3,"yyyymmdd")&amp;"_"&amp;TEXT($B129*60+H$109,"0000"),RawData!$A$2:$G$30000,7,FALSE),
    Mapping!$A$4:$B$9,2,FALSE
  ),
"")</f>
        <v>침실B</v>
      </c>
      <c r="I129" s="51" t="str">
        <f>IFERROR(
  VLOOKUP(
    VLOOKUP(TEXT($B$3,"yyyymmdd")&amp;"_"&amp;TEXT($B129*60+I$109,"0000"),RawData!$A$2:$G$30000,7,FALSE),
    Mapping!$A$4:$B$9,2,FALSE
  ),
"")</f>
        <v>침실B</v>
      </c>
      <c r="J129" s="51" t="str">
        <f>IFERROR(
  VLOOKUP(
    VLOOKUP(TEXT($B$3,"yyyymmdd")&amp;"_"&amp;TEXT($B129*60+J$109,"0000"),RawData!$A$2:$G$30000,7,FALSE),
    Mapping!$A$4:$B$9,2,FALSE
  ),
"")</f>
        <v>침실B</v>
      </c>
      <c r="K129" s="51" t="str">
        <f>IFERROR(
  VLOOKUP(
    VLOOKUP(TEXT($B$3,"yyyymmdd")&amp;"_"&amp;TEXT($B129*60+K$109,"0000"),RawData!$A$2:$G$30000,7,FALSE),
    Mapping!$A$4:$B$9,2,FALSE
  ),
"")</f>
        <v>침실B</v>
      </c>
      <c r="L129" s="51" t="str">
        <f>IFERROR(
  VLOOKUP(
    VLOOKUP(TEXT($B$3,"yyyymmdd")&amp;"_"&amp;TEXT($B129*60+L$109,"0000"),RawData!$A$2:$G$30000,7,FALSE),
    Mapping!$A$4:$B$9,2,FALSE
  ),
"")</f>
        <v>침실B</v>
      </c>
      <c r="M129" s="51" t="str">
        <f>IFERROR(
  VLOOKUP(
    VLOOKUP(TEXT($B$3,"yyyymmdd")&amp;"_"&amp;TEXT($B129*60+M$109,"0000"),RawData!$A$2:$G$30000,7,FALSE),
    Mapping!$A$4:$B$9,2,FALSE
  ),
"")</f>
        <v>침실B</v>
      </c>
      <c r="N129" s="51" t="str">
        <f>IFERROR(
  VLOOKUP(
    VLOOKUP(TEXT($B$3,"yyyymmdd")&amp;"_"&amp;TEXT($B129*60+N$109,"0000"),RawData!$A$2:$G$30000,7,FALSE),
    Mapping!$A$4:$B$9,2,FALSE
  ),
"")</f>
        <v>침실B</v>
      </c>
      <c r="O129" s="51" t="str">
        <f>IFERROR(
  VLOOKUP(
    VLOOKUP(TEXT($B$3,"yyyymmdd")&amp;"_"&amp;TEXT($B129*60+O$109,"0000"),RawData!$A$2:$G$30000,7,FALSE),
    Mapping!$A$4:$B$9,2,FALSE
  ),
"")</f>
        <v>침실B</v>
      </c>
      <c r="P129" s="51" t="str">
        <f>IFERROR(
  VLOOKUP(
    VLOOKUP(TEXT($B$3,"yyyymmdd")&amp;"_"&amp;TEXT($B129*60+P$109,"0000"),RawData!$A$2:$G$30000,7,FALSE),
    Mapping!$A$4:$B$9,2,FALSE
  ),
"")</f>
        <v>침실B</v>
      </c>
      <c r="Q129" s="51" t="str">
        <f>IFERROR(
  VLOOKUP(
    VLOOKUP(TEXT($B$3,"yyyymmdd")&amp;"_"&amp;TEXT($B129*60+Q$109,"0000"),RawData!$A$2:$G$30000,7,FALSE),
    Mapping!$A$4:$B$9,2,FALSE
  ),
"")</f>
        <v>침실B</v>
      </c>
      <c r="R129" s="51" t="str">
        <f>IFERROR(
  VLOOKUP(
    VLOOKUP(TEXT($B$3,"yyyymmdd")&amp;"_"&amp;TEXT($B129*60+R$109,"0000"),RawData!$A$2:$G$30000,7,FALSE),
    Mapping!$A$4:$B$9,2,FALSE
  ),
"")</f>
        <v>침실B</v>
      </c>
      <c r="S129" s="51" t="str">
        <f>IFERROR(
  VLOOKUP(
    VLOOKUP(TEXT($B$3,"yyyymmdd")&amp;"_"&amp;TEXT($B129*60+S$109,"0000"),RawData!$A$2:$G$30000,7,FALSE),
    Mapping!$A$4:$B$9,2,FALSE
  ),
"")</f>
        <v>주방</v>
      </c>
      <c r="T129" s="51" t="str">
        <f>IFERROR(
  VLOOKUP(
    VLOOKUP(TEXT($B$3,"yyyymmdd")&amp;"_"&amp;TEXT($B129*60+T$109,"0000"),RawData!$A$2:$G$30000,7,FALSE),
    Mapping!$A$4:$B$9,2,FALSE
  ),
"")</f>
        <v>침실B</v>
      </c>
      <c r="U129" s="51" t="str">
        <f>IFERROR(
  VLOOKUP(
    VLOOKUP(TEXT($B$3,"yyyymmdd")&amp;"_"&amp;TEXT($B129*60+U$109,"0000"),RawData!$A$2:$G$30000,7,FALSE),
    Mapping!$A$4:$B$9,2,FALSE
  ),
"")</f>
        <v>침실B</v>
      </c>
      <c r="V129" s="51" t="str">
        <f>IFERROR(
  VLOOKUP(
    VLOOKUP(TEXT($B$3,"yyyymmdd")&amp;"_"&amp;TEXT($B129*60+V$109,"0000"),RawData!$A$2:$G$30000,7,FALSE),
    Mapping!$A$4:$B$9,2,FALSE
  ),
"")</f>
        <v>침실B</v>
      </c>
      <c r="W129" s="51" t="str">
        <f>IFERROR(
  VLOOKUP(
    VLOOKUP(TEXT($B$3,"yyyymmdd")&amp;"_"&amp;TEXT($B129*60+W$109,"0000"),RawData!$A$2:$G$30000,7,FALSE),
    Mapping!$A$4:$B$9,2,FALSE
  ),
"")</f>
        <v>침실B</v>
      </c>
      <c r="X129" s="51" t="str">
        <f>IFERROR(
  VLOOKUP(
    VLOOKUP(TEXT($B$3,"yyyymmdd")&amp;"_"&amp;TEXT($B129*60+X$109,"0000"),RawData!$A$2:$G$30000,7,FALSE),
    Mapping!$A$4:$B$9,2,FALSE
  ),
"")</f>
        <v>침실B</v>
      </c>
      <c r="Y129" s="51" t="str">
        <f>IFERROR(
  VLOOKUP(
    VLOOKUP(TEXT($B$3,"yyyymmdd")&amp;"_"&amp;TEXT($B129*60+Y$109,"0000"),RawData!$A$2:$G$30000,7,FALSE),
    Mapping!$A$4:$B$9,2,FALSE
  ),
"")</f>
        <v>침실B</v>
      </c>
      <c r="Z129" s="51" t="str">
        <f>IFERROR(
  VLOOKUP(
    VLOOKUP(TEXT($B$3,"yyyymmdd")&amp;"_"&amp;TEXT($B129*60+Z$109,"0000"),RawData!$A$2:$G$30000,7,FALSE),
    Mapping!$A$4:$B$9,2,FALSE
  ),
"")</f>
        <v>침실B</v>
      </c>
      <c r="AA129" s="51" t="str">
        <f>IFERROR(
  VLOOKUP(
    VLOOKUP(TEXT($B$3,"yyyymmdd")&amp;"_"&amp;TEXT($B129*60+AA$109,"0000"),RawData!$A$2:$G$30000,7,FALSE),
    Mapping!$A$4:$B$9,2,FALSE
  ),
"")</f>
        <v>침실B</v>
      </c>
      <c r="AB129" s="51" t="str">
        <f>IFERROR(
  VLOOKUP(
    VLOOKUP(TEXT($B$3,"yyyymmdd")&amp;"_"&amp;TEXT($B129*60+AB$109,"0000"),RawData!$A$2:$G$30000,7,FALSE),
    Mapping!$A$4:$B$9,2,FALSE
  ),
"")</f>
        <v>침실B</v>
      </c>
      <c r="AC129" s="51" t="str">
        <f>IFERROR(
  VLOOKUP(
    VLOOKUP(TEXT($B$3,"yyyymmdd")&amp;"_"&amp;TEXT($B129*60+AC$109,"0000"),RawData!$A$2:$G$30000,7,FALSE),
    Mapping!$A$4:$B$9,2,FALSE
  ),
"")</f>
        <v>침실B</v>
      </c>
      <c r="AD129" s="51" t="str">
        <f>IFERROR(
  VLOOKUP(
    VLOOKUP(TEXT($B$3,"yyyymmdd")&amp;"_"&amp;TEXT($B129*60+AD$109,"0000"),RawData!$A$2:$G$30000,7,FALSE),
    Mapping!$A$4:$B$9,2,FALSE
  ),
"")</f>
        <v>침실B</v>
      </c>
      <c r="AE129" s="51" t="str">
        <f>IFERROR(
  VLOOKUP(
    VLOOKUP(TEXT($B$3,"yyyymmdd")&amp;"_"&amp;TEXT($B129*60+AE$109,"0000"),RawData!$A$2:$G$30000,7,FALSE),
    Mapping!$A$4:$B$9,2,FALSE
  ),
"")</f>
        <v>침실B</v>
      </c>
      <c r="AF129" s="51" t="str">
        <f>IFERROR(
  VLOOKUP(
    VLOOKUP(TEXT($B$3,"yyyymmdd")&amp;"_"&amp;TEXT($B129*60+AF$109,"0000"),RawData!$A$2:$G$30000,7,FALSE),
    Mapping!$A$4:$B$9,2,FALSE
  ),
"")</f>
        <v>침실B</v>
      </c>
      <c r="AG129" s="51" t="str">
        <f>IFERROR(
  VLOOKUP(
    VLOOKUP(TEXT($B$3,"yyyymmdd")&amp;"_"&amp;TEXT($B129*60+AG$109,"0000"),RawData!$A$2:$G$30000,7,FALSE),
    Mapping!$A$4:$B$9,2,FALSE
  ),
"")</f>
        <v>침실B</v>
      </c>
      <c r="AH129" s="51" t="str">
        <f>IFERROR(
  VLOOKUP(
    VLOOKUP(TEXT($B$3,"yyyymmdd")&amp;"_"&amp;TEXT($B129*60+AH$109,"0000"),RawData!$A$2:$G$30000,7,FALSE),
    Mapping!$A$4:$B$9,2,FALSE
  ),
"")</f>
        <v>침실B</v>
      </c>
      <c r="AI129" s="51" t="str">
        <f>IFERROR(
  VLOOKUP(
    VLOOKUP(TEXT($B$3,"yyyymmdd")&amp;"_"&amp;TEXT($B129*60+AI$109,"0000"),RawData!$A$2:$G$30000,7,FALSE),
    Mapping!$A$4:$B$9,2,FALSE
  ),
"")</f>
        <v>침실B</v>
      </c>
      <c r="AJ129" s="51" t="str">
        <f>IFERROR(
  VLOOKUP(
    VLOOKUP(TEXT($B$3,"yyyymmdd")&amp;"_"&amp;TEXT($B129*60+AJ$109,"0000"),RawData!$A$2:$G$30000,7,FALSE),
    Mapping!$A$4:$B$9,2,FALSE
  ),
"")</f>
        <v>거실A</v>
      </c>
      <c r="AK129" s="51" t="str">
        <f>IFERROR(
  VLOOKUP(
    VLOOKUP(TEXT($B$3,"yyyymmdd")&amp;"_"&amp;TEXT($B129*60+AK$109,"0000"),RawData!$A$2:$G$30000,7,FALSE),
    Mapping!$A$4:$B$9,2,FALSE
  ),
"")</f>
        <v>침실B</v>
      </c>
      <c r="AL129" s="51" t="str">
        <f>IFERROR(
  VLOOKUP(
    VLOOKUP(TEXT($B$3,"yyyymmdd")&amp;"_"&amp;TEXT($B129*60+AL$109,"0000"),RawData!$A$2:$G$30000,7,FALSE),
    Mapping!$A$4:$B$9,2,FALSE
  ),
"")</f>
        <v>거실A</v>
      </c>
      <c r="AM129" s="51" t="str">
        <f>IFERROR(
  VLOOKUP(
    VLOOKUP(TEXT($B$3,"yyyymmdd")&amp;"_"&amp;TEXT($B129*60+AM$109,"0000"),RawData!$A$2:$G$30000,7,FALSE),
    Mapping!$A$4:$B$9,2,FALSE
  ),
"")</f>
        <v>침실B</v>
      </c>
      <c r="AN129" s="51" t="str">
        <f>IFERROR(
  VLOOKUP(
    VLOOKUP(TEXT($B$3,"yyyymmdd")&amp;"_"&amp;TEXT($B129*60+AN$109,"0000"),RawData!$A$2:$G$30000,7,FALSE),
    Mapping!$A$4:$B$9,2,FALSE
  ),
"")</f>
        <v>침실B</v>
      </c>
      <c r="AO129" s="51" t="str">
        <f>IFERROR(
  VLOOKUP(
    VLOOKUP(TEXT($B$3,"yyyymmdd")&amp;"_"&amp;TEXT($B129*60+AO$109,"0000"),RawData!$A$2:$G$30000,7,FALSE),
    Mapping!$A$4:$B$9,2,FALSE
  ),
"")</f>
        <v>거실A</v>
      </c>
      <c r="AP129" s="51" t="str">
        <f>IFERROR(
  VLOOKUP(
    VLOOKUP(TEXT($B$3,"yyyymmdd")&amp;"_"&amp;TEXT($B129*60+AP$109,"0000"),RawData!$A$2:$G$30000,7,FALSE),
    Mapping!$A$4:$B$9,2,FALSE
  ),
"")</f>
        <v>침실B</v>
      </c>
      <c r="AQ129" s="51" t="str">
        <f>IFERROR(
  VLOOKUP(
    VLOOKUP(TEXT($B$3,"yyyymmdd")&amp;"_"&amp;TEXT($B129*60+AQ$109,"0000"),RawData!$A$2:$G$30000,7,FALSE),
    Mapping!$A$4:$B$9,2,FALSE
  ),
"")</f>
        <v>침실B</v>
      </c>
      <c r="AR129" s="51" t="str">
        <f>IFERROR(
  VLOOKUP(
    VLOOKUP(TEXT($B$3,"yyyymmdd")&amp;"_"&amp;TEXT($B129*60+AR$109,"0000"),RawData!$A$2:$G$30000,7,FALSE),
    Mapping!$A$4:$B$9,2,FALSE
  ),
"")</f>
        <v>침실B</v>
      </c>
      <c r="AS129" s="51" t="str">
        <f>IFERROR(
  VLOOKUP(
    VLOOKUP(TEXT($B$3,"yyyymmdd")&amp;"_"&amp;TEXT($B129*60+AS$109,"0000"),RawData!$A$2:$G$30000,7,FALSE),
    Mapping!$A$4:$B$9,2,FALSE
  ),
"")</f>
        <v>침실B</v>
      </c>
      <c r="AT129" s="51" t="str">
        <f>IFERROR(
  VLOOKUP(
    VLOOKUP(TEXT($B$3,"yyyymmdd")&amp;"_"&amp;TEXT($B129*60+AT$109,"0000"),RawData!$A$2:$G$30000,7,FALSE),
    Mapping!$A$4:$B$9,2,FALSE
  ),
"")</f>
        <v>거실A</v>
      </c>
      <c r="AU129" s="51" t="str">
        <f>IFERROR(
  VLOOKUP(
    VLOOKUP(TEXT($B$3,"yyyymmdd")&amp;"_"&amp;TEXT($B129*60+AU$109,"0000"),RawData!$A$2:$G$30000,7,FALSE),
    Mapping!$A$4:$B$9,2,FALSE
  ),
"")</f>
        <v>침실B</v>
      </c>
      <c r="AV129" s="51" t="str">
        <f>IFERROR(
  VLOOKUP(
    VLOOKUP(TEXT($B$3,"yyyymmdd")&amp;"_"&amp;TEXT($B129*60+AV$109,"0000"),RawData!$A$2:$G$30000,7,FALSE),
    Mapping!$A$4:$B$9,2,FALSE
  ),
"")</f>
        <v>침실B</v>
      </c>
      <c r="AW129" s="51" t="str">
        <f>IFERROR(
  VLOOKUP(
    VLOOKUP(TEXT($B$3,"yyyymmdd")&amp;"_"&amp;TEXT($B129*60+AW$109,"0000"),RawData!$A$2:$G$30000,7,FALSE),
    Mapping!$A$4:$B$9,2,FALSE
  ),
"")</f>
        <v>거실A</v>
      </c>
      <c r="AX129" s="51" t="str">
        <f>IFERROR(
  VLOOKUP(
    VLOOKUP(TEXT($B$3,"yyyymmdd")&amp;"_"&amp;TEXT($B129*60+AX$109,"0000"),RawData!$A$2:$G$30000,7,FALSE),
    Mapping!$A$4:$B$9,2,FALSE
  ),
"")</f>
        <v>거실A</v>
      </c>
      <c r="AY129" s="51" t="str">
        <f>IFERROR(
  VLOOKUP(
    VLOOKUP(TEXT($B$3,"yyyymmdd")&amp;"_"&amp;TEXT($B129*60+AY$109,"0000"),RawData!$A$2:$G$30000,7,FALSE),
    Mapping!$A$4:$B$9,2,FALSE
  ),
"")</f>
        <v>거실A</v>
      </c>
      <c r="AZ129" s="51" t="str">
        <f>IFERROR(
  VLOOKUP(
    VLOOKUP(TEXT($B$3,"yyyymmdd")&amp;"_"&amp;TEXT($B129*60+AZ$109,"0000"),RawData!$A$2:$G$30000,7,FALSE),
    Mapping!$A$4:$B$9,2,FALSE
  ),
"")</f>
        <v>거실A</v>
      </c>
      <c r="BA129" s="51" t="str">
        <f>IFERROR(
  VLOOKUP(
    VLOOKUP(TEXT($B$3,"yyyymmdd")&amp;"_"&amp;TEXT($B129*60+BA$109,"0000"),RawData!$A$2:$G$30000,7,FALSE),
    Mapping!$A$4:$B$9,2,FALSE
  ),
"")</f>
        <v>침실B</v>
      </c>
      <c r="BB129" s="51" t="str">
        <f>IFERROR(
  VLOOKUP(
    VLOOKUP(TEXT($B$3,"yyyymmdd")&amp;"_"&amp;TEXT($B129*60+BB$109,"0000"),RawData!$A$2:$G$30000,7,FALSE),
    Mapping!$A$4:$B$9,2,FALSE
  ),
"")</f>
        <v>침실B</v>
      </c>
      <c r="BC129" s="51" t="str">
        <f>IFERROR(
  VLOOKUP(
    VLOOKUP(TEXT($B$3,"yyyymmdd")&amp;"_"&amp;TEXT($B129*60+BC$109,"0000"),RawData!$A$2:$G$30000,7,FALSE),
    Mapping!$A$4:$B$9,2,FALSE
  ),
"")</f>
        <v>거실A</v>
      </c>
      <c r="BD129" s="51" t="str">
        <f>IFERROR(
  VLOOKUP(
    VLOOKUP(TEXT($B$3,"yyyymmdd")&amp;"_"&amp;TEXT($B129*60+BD$109,"0000"),RawData!$A$2:$G$30000,7,FALSE),
    Mapping!$A$4:$B$9,2,FALSE
  ),
"")</f>
        <v>거실A</v>
      </c>
      <c r="BE129" s="51" t="str">
        <f>IFERROR(
  VLOOKUP(
    VLOOKUP(TEXT($B$3,"yyyymmdd")&amp;"_"&amp;TEXT($B129*60+BE$109,"0000"),RawData!$A$2:$G$30000,7,FALSE),
    Mapping!$A$4:$B$9,2,FALSE
  ),
"")</f>
        <v>거실A</v>
      </c>
      <c r="BF129" s="51" t="str">
        <f>IFERROR(
  VLOOKUP(
    VLOOKUP(TEXT($B$3,"yyyymmdd")&amp;"_"&amp;TEXT($B129*60+BF$109,"0000"),RawData!$A$2:$G$30000,7,FALSE),
    Mapping!$A$4:$B$9,2,FALSE
  ),
"")</f>
        <v>거실A</v>
      </c>
      <c r="BG129" s="51" t="str">
        <f>IFERROR(
  VLOOKUP(
    VLOOKUP(TEXT($B$3,"yyyymmdd")&amp;"_"&amp;TEXT($B129*60+BG$109,"0000"),RawData!$A$2:$G$30000,7,FALSE),
    Mapping!$A$4:$B$9,2,FALSE
  ),
"")</f>
        <v>거실A</v>
      </c>
      <c r="BH129" s="51" t="str">
        <f>IFERROR(
  VLOOKUP(
    VLOOKUP(TEXT($B$3,"yyyymmdd")&amp;"_"&amp;TEXT($B129*60+BH$109,"0000"),RawData!$A$2:$G$30000,7,FALSE),
    Mapping!$A$4:$B$9,2,FALSE
  ),
"")</f>
        <v>거실A</v>
      </c>
      <c r="BI129" s="51" t="str">
        <f>IFERROR(
  VLOOKUP(
    VLOOKUP(TEXT($B$3,"yyyymmdd")&amp;"_"&amp;TEXT($B129*60+BI$109,"0000"),RawData!$A$2:$G$30000,7,FALSE),
    Mapping!$A$4:$B$9,2,FALSE
  ),
"")</f>
        <v>거실A</v>
      </c>
      <c r="BJ129" s="51" t="str">
        <f>IFERROR(
  VLOOKUP(
    VLOOKUP(TEXT($B$3,"yyyymmdd")&amp;"_"&amp;TEXT($B129*60+BJ$109,"0000"),RawData!$A$2:$G$30000,7,FALSE),
    Mapping!$A$4:$B$9,2,FALSE
  ),
"")</f>
        <v>거실A</v>
      </c>
      <c r="BK129" s="4" t="str">
        <f>IFERROR(VLOOKUP(TEXT($B$3,"yyyymmdd")&amp;"_"&amp;TEXT(118,"0000"),RawData!$A$2:$F$1441,4,FALSE),"")</f>
        <v>01</v>
      </c>
      <c r="BL129" s="19">
        <f>TIME(0,0,0)+118/1440</f>
        <v>8.1944444444444445E-2</v>
      </c>
      <c r="BM129" s="4">
        <f>IFERROR(VLOOKUP(TEXT($B$3,"yyyymmdd")&amp;"_"&amp;TEXT(118,"0000"),RawData!$A$2:$F$1441,5,FALSE),"")</f>
        <v>0</v>
      </c>
      <c r="BN129" s="4">
        <f t="shared" si="2"/>
        <v>0</v>
      </c>
    </row>
    <row r="130" spans="2:66" x14ac:dyDescent="0.6">
      <c r="B130" s="18">
        <v>20</v>
      </c>
      <c r="C130" s="51" t="str">
        <f>IFERROR(
  VLOOKUP(
    VLOOKUP(TEXT($B$3,"yyyymmdd")&amp;"_"&amp;TEXT($B130*60+C$109,"0000"),RawData!$A$2:$G$30000,7,FALSE),
    Mapping!$A$4:$B$9,2,FALSE
  ),
"")</f>
        <v>거실A</v>
      </c>
      <c r="D130" s="51" t="str">
        <f>IFERROR(
  VLOOKUP(
    VLOOKUP(TEXT($B$3,"yyyymmdd")&amp;"_"&amp;TEXT($B130*60+D$109,"0000"),RawData!$A$2:$G$30000,7,FALSE),
    Mapping!$A$4:$B$9,2,FALSE
  ),
"")</f>
        <v>침실B</v>
      </c>
      <c r="E130" s="51" t="str">
        <f>IFERROR(
  VLOOKUP(
    VLOOKUP(TEXT($B$3,"yyyymmdd")&amp;"_"&amp;TEXT($B130*60+E$109,"0000"),RawData!$A$2:$G$30000,7,FALSE),
    Mapping!$A$4:$B$9,2,FALSE
  ),
"")</f>
        <v>침실B</v>
      </c>
      <c r="F130" s="51" t="str">
        <f>IFERROR(
  VLOOKUP(
    VLOOKUP(TEXT($B$3,"yyyymmdd")&amp;"_"&amp;TEXT($B130*60+F$109,"0000"),RawData!$A$2:$G$30000,7,FALSE),
    Mapping!$A$4:$B$9,2,FALSE
  ),
"")</f>
        <v>침실B</v>
      </c>
      <c r="G130" s="51" t="str">
        <f>IFERROR(
  VLOOKUP(
    VLOOKUP(TEXT($B$3,"yyyymmdd")&amp;"_"&amp;TEXT($B130*60+G$109,"0000"),RawData!$A$2:$G$30000,7,FALSE),
    Mapping!$A$4:$B$9,2,FALSE
  ),
"")</f>
        <v>침실B</v>
      </c>
      <c r="H130" s="51" t="str">
        <f>IFERROR(
  VLOOKUP(
    VLOOKUP(TEXT($B$3,"yyyymmdd")&amp;"_"&amp;TEXT($B130*60+H$109,"0000"),RawData!$A$2:$G$30000,7,FALSE),
    Mapping!$A$4:$B$9,2,FALSE
  ),
"")</f>
        <v>침실B</v>
      </c>
      <c r="I130" s="51" t="str">
        <f>IFERROR(
  VLOOKUP(
    VLOOKUP(TEXT($B$3,"yyyymmdd")&amp;"_"&amp;TEXT($B130*60+I$109,"0000"),RawData!$A$2:$G$30000,7,FALSE),
    Mapping!$A$4:$B$9,2,FALSE
  ),
"")</f>
        <v>침실B</v>
      </c>
      <c r="J130" s="51" t="str">
        <f>IFERROR(
  VLOOKUP(
    VLOOKUP(TEXT($B$3,"yyyymmdd")&amp;"_"&amp;TEXT($B130*60+J$109,"0000"),RawData!$A$2:$G$30000,7,FALSE),
    Mapping!$A$4:$B$9,2,FALSE
  ),
"")</f>
        <v>침실B</v>
      </c>
      <c r="K130" s="51" t="str">
        <f>IFERROR(
  VLOOKUP(
    VLOOKUP(TEXT($B$3,"yyyymmdd")&amp;"_"&amp;TEXT($B130*60+K$109,"0000"),RawData!$A$2:$G$30000,7,FALSE),
    Mapping!$A$4:$B$9,2,FALSE
  ),
"")</f>
        <v>침실B</v>
      </c>
      <c r="L130" s="51" t="str">
        <f>IFERROR(
  VLOOKUP(
    VLOOKUP(TEXT($B$3,"yyyymmdd")&amp;"_"&amp;TEXT($B130*60+L$109,"0000"),RawData!$A$2:$G$30000,7,FALSE),
    Mapping!$A$4:$B$9,2,FALSE
  ),
"")</f>
        <v>침실B</v>
      </c>
      <c r="M130" s="51" t="str">
        <f>IFERROR(
  VLOOKUP(
    VLOOKUP(TEXT($B$3,"yyyymmdd")&amp;"_"&amp;TEXT($B130*60+M$109,"0000"),RawData!$A$2:$G$30000,7,FALSE),
    Mapping!$A$4:$B$9,2,FALSE
  ),
"")</f>
        <v>침실B</v>
      </c>
      <c r="N130" s="51" t="str">
        <f>IFERROR(
  VLOOKUP(
    VLOOKUP(TEXT($B$3,"yyyymmdd")&amp;"_"&amp;TEXT($B130*60+N$109,"0000"),RawData!$A$2:$G$30000,7,FALSE),
    Mapping!$A$4:$B$9,2,FALSE
  ),
"")</f>
        <v>침실B</v>
      </c>
      <c r="O130" s="51" t="str">
        <f>IFERROR(
  VLOOKUP(
    VLOOKUP(TEXT($B$3,"yyyymmdd")&amp;"_"&amp;TEXT($B130*60+O$109,"0000"),RawData!$A$2:$G$30000,7,FALSE),
    Mapping!$A$4:$B$9,2,FALSE
  ),
"")</f>
        <v>침실B</v>
      </c>
      <c r="P130" s="51" t="str">
        <f>IFERROR(
  VLOOKUP(
    VLOOKUP(TEXT($B$3,"yyyymmdd")&amp;"_"&amp;TEXT($B130*60+P$109,"0000"),RawData!$A$2:$G$30000,7,FALSE),
    Mapping!$A$4:$B$9,2,FALSE
  ),
"")</f>
        <v>거실A</v>
      </c>
      <c r="Q130" s="51" t="str">
        <f>IFERROR(
  VLOOKUP(
    VLOOKUP(TEXT($B$3,"yyyymmdd")&amp;"_"&amp;TEXT($B130*60+Q$109,"0000"),RawData!$A$2:$G$30000,7,FALSE),
    Mapping!$A$4:$B$9,2,FALSE
  ),
"")</f>
        <v>거실A</v>
      </c>
      <c r="R130" s="51" t="str">
        <f>IFERROR(
  VLOOKUP(
    VLOOKUP(TEXT($B$3,"yyyymmdd")&amp;"_"&amp;TEXT($B130*60+R$109,"0000"),RawData!$A$2:$G$30000,7,FALSE),
    Mapping!$A$4:$B$9,2,FALSE
  ),
"")</f>
        <v>화장실</v>
      </c>
      <c r="S130" s="51" t="str">
        <f>IFERROR(
  VLOOKUP(
    VLOOKUP(TEXT($B$3,"yyyymmdd")&amp;"_"&amp;TEXT($B130*60+S$109,"0000"),RawData!$A$2:$G$30000,7,FALSE),
    Mapping!$A$4:$B$9,2,FALSE
  ),
"")</f>
        <v>거실A</v>
      </c>
      <c r="T130" s="51" t="str">
        <f>IFERROR(
  VLOOKUP(
    VLOOKUP(TEXT($B$3,"yyyymmdd")&amp;"_"&amp;TEXT($B130*60+T$109,"0000"),RawData!$A$2:$G$30000,7,FALSE),
    Mapping!$A$4:$B$9,2,FALSE
  ),
"")</f>
        <v>거실A</v>
      </c>
      <c r="U130" s="51" t="str">
        <f>IFERROR(
  VLOOKUP(
    VLOOKUP(TEXT($B$3,"yyyymmdd")&amp;"_"&amp;TEXT($B130*60+U$109,"0000"),RawData!$A$2:$G$30000,7,FALSE),
    Mapping!$A$4:$B$9,2,FALSE
  ),
"")</f>
        <v>거실A</v>
      </c>
      <c r="V130" s="51" t="str">
        <f>IFERROR(
  VLOOKUP(
    VLOOKUP(TEXT($B$3,"yyyymmdd")&amp;"_"&amp;TEXT($B130*60+V$109,"0000"),RawData!$A$2:$G$30000,7,FALSE),
    Mapping!$A$4:$B$9,2,FALSE
  ),
"")</f>
        <v>주방</v>
      </c>
      <c r="W130" s="51" t="str">
        <f>IFERROR(
  VLOOKUP(
    VLOOKUP(TEXT($B$3,"yyyymmdd")&amp;"_"&amp;TEXT($B130*60+W$109,"0000"),RawData!$A$2:$G$30000,7,FALSE),
    Mapping!$A$4:$B$9,2,FALSE
  ),
"")</f>
        <v>침실B</v>
      </c>
      <c r="X130" s="51" t="str">
        <f>IFERROR(
  VLOOKUP(
    VLOOKUP(TEXT($B$3,"yyyymmdd")&amp;"_"&amp;TEXT($B130*60+X$109,"0000"),RawData!$A$2:$G$30000,7,FALSE),
    Mapping!$A$4:$B$9,2,FALSE
  ),
"")</f>
        <v>주방</v>
      </c>
      <c r="Y130" s="51" t="str">
        <f>IFERROR(
  VLOOKUP(
    VLOOKUP(TEXT($B$3,"yyyymmdd")&amp;"_"&amp;TEXT($B130*60+Y$109,"0000"),RawData!$A$2:$G$30000,7,FALSE),
    Mapping!$A$4:$B$9,2,FALSE
  ),
"")</f>
        <v>침실B</v>
      </c>
      <c r="Z130" s="51" t="str">
        <f>IFERROR(
  VLOOKUP(
    VLOOKUP(TEXT($B$3,"yyyymmdd")&amp;"_"&amp;TEXT($B130*60+Z$109,"0000"),RawData!$A$2:$G$30000,7,FALSE),
    Mapping!$A$4:$B$9,2,FALSE
  ),
"")</f>
        <v>침실B</v>
      </c>
      <c r="AA130" s="51" t="str">
        <f>IFERROR(
  VLOOKUP(
    VLOOKUP(TEXT($B$3,"yyyymmdd")&amp;"_"&amp;TEXT($B130*60+AA$109,"0000"),RawData!$A$2:$G$30000,7,FALSE),
    Mapping!$A$4:$B$9,2,FALSE
  ),
"")</f>
        <v>침실B</v>
      </c>
      <c r="AB130" s="51" t="str">
        <f>IFERROR(
  VLOOKUP(
    VLOOKUP(TEXT($B$3,"yyyymmdd")&amp;"_"&amp;TEXT($B130*60+AB$109,"0000"),RawData!$A$2:$G$30000,7,FALSE),
    Mapping!$A$4:$B$9,2,FALSE
  ),
"")</f>
        <v>침실B</v>
      </c>
      <c r="AC130" s="51" t="str">
        <f>IFERROR(
  VLOOKUP(
    VLOOKUP(TEXT($B$3,"yyyymmdd")&amp;"_"&amp;TEXT($B130*60+AC$109,"0000"),RawData!$A$2:$G$30000,7,FALSE),
    Mapping!$A$4:$B$9,2,FALSE
  ),
"")</f>
        <v>침실B</v>
      </c>
      <c r="AD130" s="51" t="str">
        <f>IFERROR(
  VLOOKUP(
    VLOOKUP(TEXT($B$3,"yyyymmdd")&amp;"_"&amp;TEXT($B130*60+AD$109,"0000"),RawData!$A$2:$G$30000,7,FALSE),
    Mapping!$A$4:$B$9,2,FALSE
  ),
"")</f>
        <v>침실B</v>
      </c>
      <c r="AE130" s="51" t="str">
        <f>IFERROR(
  VLOOKUP(
    VLOOKUP(TEXT($B$3,"yyyymmdd")&amp;"_"&amp;TEXT($B130*60+AE$109,"0000"),RawData!$A$2:$G$30000,7,FALSE),
    Mapping!$A$4:$B$9,2,FALSE
  ),
"")</f>
        <v>거실A</v>
      </c>
      <c r="AF130" s="51" t="str">
        <f>IFERROR(
  VLOOKUP(
    VLOOKUP(TEXT($B$3,"yyyymmdd")&amp;"_"&amp;TEXT($B130*60+AF$109,"0000"),RawData!$A$2:$G$30000,7,FALSE),
    Mapping!$A$4:$B$9,2,FALSE
  ),
"")</f>
        <v>거실A</v>
      </c>
      <c r="AG130" s="51" t="str">
        <f>IFERROR(
  VLOOKUP(
    VLOOKUP(TEXT($B$3,"yyyymmdd")&amp;"_"&amp;TEXT($B130*60+AG$109,"0000"),RawData!$A$2:$G$30000,7,FALSE),
    Mapping!$A$4:$B$9,2,FALSE
  ),
"")</f>
        <v>거실A</v>
      </c>
      <c r="AH130" s="51" t="str">
        <f>IFERROR(
  VLOOKUP(
    VLOOKUP(TEXT($B$3,"yyyymmdd")&amp;"_"&amp;TEXT($B130*60+AH$109,"0000"),RawData!$A$2:$G$30000,7,FALSE),
    Mapping!$A$4:$B$9,2,FALSE
  ),
"")</f>
        <v>거실A</v>
      </c>
      <c r="AI130" s="51" t="str">
        <f>IFERROR(
  VLOOKUP(
    VLOOKUP(TEXT($B$3,"yyyymmdd")&amp;"_"&amp;TEXT($B130*60+AI$109,"0000"),RawData!$A$2:$G$30000,7,FALSE),
    Mapping!$A$4:$B$9,2,FALSE
  ),
"")</f>
        <v>주방</v>
      </c>
      <c r="AJ130" s="51" t="str">
        <f>IFERROR(
  VLOOKUP(
    VLOOKUP(TEXT($B$3,"yyyymmdd")&amp;"_"&amp;TEXT($B130*60+AJ$109,"0000"),RawData!$A$2:$G$30000,7,FALSE),
    Mapping!$A$4:$B$9,2,FALSE
  ),
"")</f>
        <v>주방</v>
      </c>
      <c r="AK130" s="51" t="str">
        <f>IFERROR(
  VLOOKUP(
    VLOOKUP(TEXT($B$3,"yyyymmdd")&amp;"_"&amp;TEXT($B130*60+AK$109,"0000"),RawData!$A$2:$G$30000,7,FALSE),
    Mapping!$A$4:$B$9,2,FALSE
  ),
"")</f>
        <v>주방</v>
      </c>
      <c r="AL130" s="51" t="str">
        <f>IFERROR(
  VLOOKUP(
    VLOOKUP(TEXT($B$3,"yyyymmdd")&amp;"_"&amp;TEXT($B130*60+AL$109,"0000"),RawData!$A$2:$G$30000,7,FALSE),
    Mapping!$A$4:$B$9,2,FALSE
  ),
"")</f>
        <v>주방</v>
      </c>
      <c r="AM130" s="51" t="str">
        <f>IFERROR(
  VLOOKUP(
    VLOOKUP(TEXT($B$3,"yyyymmdd")&amp;"_"&amp;TEXT($B130*60+AM$109,"0000"),RawData!$A$2:$G$30000,7,FALSE),
    Mapping!$A$4:$B$9,2,FALSE
  ),
"")</f>
        <v>거실A</v>
      </c>
      <c r="AN130" s="51" t="str">
        <f>IFERROR(
  VLOOKUP(
    VLOOKUP(TEXT($B$3,"yyyymmdd")&amp;"_"&amp;TEXT($B130*60+AN$109,"0000"),RawData!$A$2:$G$30000,7,FALSE),
    Mapping!$A$4:$B$9,2,FALSE
  ),
"")</f>
        <v>거실A</v>
      </c>
      <c r="AO130" s="51" t="str">
        <f>IFERROR(
  VLOOKUP(
    VLOOKUP(TEXT($B$3,"yyyymmdd")&amp;"_"&amp;TEXT($B130*60+AO$109,"0000"),RawData!$A$2:$G$30000,7,FALSE),
    Mapping!$A$4:$B$9,2,FALSE
  ),
"")</f>
        <v>거실A</v>
      </c>
      <c r="AP130" s="51" t="str">
        <f>IFERROR(
  VLOOKUP(
    VLOOKUP(TEXT($B$3,"yyyymmdd")&amp;"_"&amp;TEXT($B130*60+AP$109,"0000"),RawData!$A$2:$G$30000,7,FALSE),
    Mapping!$A$4:$B$9,2,FALSE
  ),
"")</f>
        <v>거실A</v>
      </c>
      <c r="AQ130" s="51" t="str">
        <f>IFERROR(
  VLOOKUP(
    VLOOKUP(TEXT($B$3,"yyyymmdd")&amp;"_"&amp;TEXT($B130*60+AQ$109,"0000"),RawData!$A$2:$G$30000,7,FALSE),
    Mapping!$A$4:$B$9,2,FALSE
  ),
"")</f>
        <v>거실A</v>
      </c>
      <c r="AR130" s="51" t="str">
        <f>IFERROR(
  VLOOKUP(
    VLOOKUP(TEXT($B$3,"yyyymmdd")&amp;"_"&amp;TEXT($B130*60+AR$109,"0000"),RawData!$A$2:$G$30000,7,FALSE),
    Mapping!$A$4:$B$9,2,FALSE
  ),
"")</f>
        <v>거실A</v>
      </c>
      <c r="AS130" s="51" t="str">
        <f>IFERROR(
  VLOOKUP(
    VLOOKUP(TEXT($B$3,"yyyymmdd")&amp;"_"&amp;TEXT($B130*60+AS$109,"0000"),RawData!$A$2:$G$30000,7,FALSE),
    Mapping!$A$4:$B$9,2,FALSE
  ),
"")</f>
        <v>거실A</v>
      </c>
      <c r="AT130" s="51" t="str">
        <f>IFERROR(
  VLOOKUP(
    VLOOKUP(TEXT($B$3,"yyyymmdd")&amp;"_"&amp;TEXT($B130*60+AT$109,"0000"),RawData!$A$2:$G$30000,7,FALSE),
    Mapping!$A$4:$B$9,2,FALSE
  ),
"")</f>
        <v>거실A</v>
      </c>
      <c r="AU130" s="51" t="str">
        <f>IFERROR(
  VLOOKUP(
    VLOOKUP(TEXT($B$3,"yyyymmdd")&amp;"_"&amp;TEXT($B130*60+AU$109,"0000"),RawData!$A$2:$G$30000,7,FALSE),
    Mapping!$A$4:$B$9,2,FALSE
  ),
"")</f>
        <v>주방</v>
      </c>
      <c r="AV130" s="51" t="str">
        <f>IFERROR(
  VLOOKUP(
    VLOOKUP(TEXT($B$3,"yyyymmdd")&amp;"_"&amp;TEXT($B130*60+AV$109,"0000"),RawData!$A$2:$G$30000,7,FALSE),
    Mapping!$A$4:$B$9,2,FALSE
  ),
"")</f>
        <v>거실A</v>
      </c>
      <c r="AW130" s="51" t="str">
        <f>IFERROR(
  VLOOKUP(
    VLOOKUP(TEXT($B$3,"yyyymmdd")&amp;"_"&amp;TEXT($B130*60+AW$109,"0000"),RawData!$A$2:$G$30000,7,FALSE),
    Mapping!$A$4:$B$9,2,FALSE
  ),
"")</f>
        <v>거실A</v>
      </c>
      <c r="AX130" s="51" t="str">
        <f>IFERROR(
  VLOOKUP(
    VLOOKUP(TEXT($B$3,"yyyymmdd")&amp;"_"&amp;TEXT($B130*60+AX$109,"0000"),RawData!$A$2:$G$30000,7,FALSE),
    Mapping!$A$4:$B$9,2,FALSE
  ),
"")</f>
        <v>거실A</v>
      </c>
      <c r="AY130" s="51" t="str">
        <f>IFERROR(
  VLOOKUP(
    VLOOKUP(TEXT($B$3,"yyyymmdd")&amp;"_"&amp;TEXT($B130*60+AY$109,"0000"),RawData!$A$2:$G$30000,7,FALSE),
    Mapping!$A$4:$B$9,2,FALSE
  ),
"")</f>
        <v>거실A</v>
      </c>
      <c r="AZ130" s="51" t="str">
        <f>IFERROR(
  VLOOKUP(
    VLOOKUP(TEXT($B$3,"yyyymmdd")&amp;"_"&amp;TEXT($B130*60+AZ$109,"0000"),RawData!$A$2:$G$30000,7,FALSE),
    Mapping!$A$4:$B$9,2,FALSE
  ),
"")</f>
        <v>거실A</v>
      </c>
      <c r="BA130" s="51" t="str">
        <f>IFERROR(
  VLOOKUP(
    VLOOKUP(TEXT($B$3,"yyyymmdd")&amp;"_"&amp;TEXT($B130*60+BA$109,"0000"),RawData!$A$2:$G$30000,7,FALSE),
    Mapping!$A$4:$B$9,2,FALSE
  ),
"")</f>
        <v>거실A</v>
      </c>
      <c r="BB130" s="51" t="str">
        <f>IFERROR(
  VLOOKUP(
    VLOOKUP(TEXT($B$3,"yyyymmdd")&amp;"_"&amp;TEXT($B130*60+BB$109,"0000"),RawData!$A$2:$G$30000,7,FALSE),
    Mapping!$A$4:$B$9,2,FALSE
  ),
"")</f>
        <v>주방</v>
      </c>
      <c r="BC130" s="51" t="str">
        <f>IFERROR(
  VLOOKUP(
    VLOOKUP(TEXT($B$3,"yyyymmdd")&amp;"_"&amp;TEXT($B130*60+BC$109,"0000"),RawData!$A$2:$G$30000,7,FALSE),
    Mapping!$A$4:$B$9,2,FALSE
  ),
"")</f>
        <v>거실A</v>
      </c>
      <c r="BD130" s="51" t="str">
        <f>IFERROR(
  VLOOKUP(
    VLOOKUP(TEXT($B$3,"yyyymmdd")&amp;"_"&amp;TEXT($B130*60+BD$109,"0000"),RawData!$A$2:$G$30000,7,FALSE),
    Mapping!$A$4:$B$9,2,FALSE
  ),
"")</f>
        <v>거실A</v>
      </c>
      <c r="BE130" s="51" t="str">
        <f>IFERROR(
  VLOOKUP(
    VLOOKUP(TEXT($B$3,"yyyymmdd")&amp;"_"&amp;TEXT($B130*60+BE$109,"0000"),RawData!$A$2:$G$30000,7,FALSE),
    Mapping!$A$4:$B$9,2,FALSE
  ),
"")</f>
        <v>주방</v>
      </c>
      <c r="BF130" s="51" t="str">
        <f>IFERROR(
  VLOOKUP(
    VLOOKUP(TEXT($B$3,"yyyymmdd")&amp;"_"&amp;TEXT($B130*60+BF$109,"0000"),RawData!$A$2:$G$30000,7,FALSE),
    Mapping!$A$4:$B$9,2,FALSE
  ),
"")</f>
        <v>주방</v>
      </c>
      <c r="BG130" s="51" t="str">
        <f>IFERROR(
  VLOOKUP(
    VLOOKUP(TEXT($B$3,"yyyymmdd")&amp;"_"&amp;TEXT($B130*60+BG$109,"0000"),RawData!$A$2:$G$30000,7,FALSE),
    Mapping!$A$4:$B$9,2,FALSE
  ),
"")</f>
        <v>거실A</v>
      </c>
      <c r="BH130" s="51" t="str">
        <f>IFERROR(
  VLOOKUP(
    VLOOKUP(TEXT($B$3,"yyyymmdd")&amp;"_"&amp;TEXT($B130*60+BH$109,"0000"),RawData!$A$2:$G$30000,7,FALSE),
    Mapping!$A$4:$B$9,2,FALSE
  ),
"")</f>
        <v>거실A</v>
      </c>
      <c r="BI130" s="51" t="str">
        <f>IFERROR(
  VLOOKUP(
    VLOOKUP(TEXT($B$3,"yyyymmdd")&amp;"_"&amp;TEXT($B130*60+BI$109,"0000"),RawData!$A$2:$G$30000,7,FALSE),
    Mapping!$A$4:$B$9,2,FALSE
  ),
"")</f>
        <v>주방</v>
      </c>
      <c r="BJ130" s="51" t="str">
        <f>IFERROR(
  VLOOKUP(
    VLOOKUP(TEXT($B$3,"yyyymmdd")&amp;"_"&amp;TEXT($B130*60+BJ$109,"0000"),RawData!$A$2:$G$30000,7,FALSE),
    Mapping!$A$4:$B$9,2,FALSE
  ),
"")</f>
        <v>거실A</v>
      </c>
      <c r="BK130" s="4" t="str">
        <f>IFERROR(VLOOKUP(TEXT($B$3,"yyyymmdd")&amp;"_"&amp;TEXT(119,"0000"),RawData!$A$2:$F$1441,4,FALSE),"")</f>
        <v>00</v>
      </c>
      <c r="BL130" s="19">
        <f>TIME(0,0,0)+119/1440</f>
        <v>8.2638888888888887E-2</v>
      </c>
      <c r="BM130" s="4">
        <f>IFERROR(VLOOKUP(TEXT($B$3,"yyyymmdd")&amp;"_"&amp;TEXT(119,"0000"),RawData!$A$2:$F$1441,5,FALSE),"")</f>
        <v>0</v>
      </c>
      <c r="BN130" s="4">
        <f t="shared" si="2"/>
        <v>1</v>
      </c>
    </row>
    <row r="131" spans="2:66" x14ac:dyDescent="0.6">
      <c r="B131" s="18">
        <v>21</v>
      </c>
      <c r="C131" s="51" t="str">
        <f>IFERROR(
  VLOOKUP(
    VLOOKUP(TEXT($B$3,"yyyymmdd")&amp;"_"&amp;TEXT($B131*60+C$109,"0000"),RawData!$A$2:$G$30000,7,FALSE),
    Mapping!$A$4:$B$9,2,FALSE
  ),
"")</f>
        <v>주방</v>
      </c>
      <c r="D131" s="51" t="str">
        <f>IFERROR(
  VLOOKUP(
    VLOOKUP(TEXT($B$3,"yyyymmdd")&amp;"_"&amp;TEXT($B131*60+D$109,"0000"),RawData!$A$2:$G$30000,7,FALSE),
    Mapping!$A$4:$B$9,2,FALSE
  ),
"")</f>
        <v>주방</v>
      </c>
      <c r="E131" s="51" t="str">
        <f>IFERROR(
  VLOOKUP(
    VLOOKUP(TEXT($B$3,"yyyymmdd")&amp;"_"&amp;TEXT($B131*60+E$109,"0000"),RawData!$A$2:$G$30000,7,FALSE),
    Mapping!$A$4:$B$9,2,FALSE
  ),
"")</f>
        <v>주방</v>
      </c>
      <c r="F131" s="51" t="str">
        <f>IFERROR(
  VLOOKUP(
    VLOOKUP(TEXT($B$3,"yyyymmdd")&amp;"_"&amp;TEXT($B131*60+F$109,"0000"),RawData!$A$2:$G$30000,7,FALSE),
    Mapping!$A$4:$B$9,2,FALSE
  ),
"")</f>
        <v>주방</v>
      </c>
      <c r="G131" s="51" t="str">
        <f>IFERROR(
  VLOOKUP(
    VLOOKUP(TEXT($B$3,"yyyymmdd")&amp;"_"&amp;TEXT($B131*60+G$109,"0000"),RawData!$A$2:$G$30000,7,FALSE),
    Mapping!$A$4:$B$9,2,FALSE
  ),
"")</f>
        <v>주방</v>
      </c>
      <c r="H131" s="51" t="str">
        <f>IFERROR(
  VLOOKUP(
    VLOOKUP(TEXT($B$3,"yyyymmdd")&amp;"_"&amp;TEXT($B131*60+H$109,"0000"),RawData!$A$2:$G$30000,7,FALSE),
    Mapping!$A$4:$B$9,2,FALSE
  ),
"")</f>
        <v>주방</v>
      </c>
      <c r="I131" s="51" t="str">
        <f>IFERROR(
  VLOOKUP(
    VLOOKUP(TEXT($B$3,"yyyymmdd")&amp;"_"&amp;TEXT($B131*60+I$109,"0000"),RawData!$A$2:$G$30000,7,FALSE),
    Mapping!$A$4:$B$9,2,FALSE
  ),
"")</f>
        <v>주방</v>
      </c>
      <c r="J131" s="51" t="str">
        <f>IFERROR(
  VLOOKUP(
    VLOOKUP(TEXT($B$3,"yyyymmdd")&amp;"_"&amp;TEXT($B131*60+J$109,"0000"),RawData!$A$2:$G$30000,7,FALSE),
    Mapping!$A$4:$B$9,2,FALSE
  ),
"")</f>
        <v>주방</v>
      </c>
      <c r="K131" s="51" t="str">
        <f>IFERROR(
  VLOOKUP(
    VLOOKUP(TEXT($B$3,"yyyymmdd")&amp;"_"&amp;TEXT($B131*60+K$109,"0000"),RawData!$A$2:$G$30000,7,FALSE),
    Mapping!$A$4:$B$9,2,FALSE
  ),
"")</f>
        <v>주방</v>
      </c>
      <c r="L131" s="51" t="str">
        <f>IFERROR(
  VLOOKUP(
    VLOOKUP(TEXT($B$3,"yyyymmdd")&amp;"_"&amp;TEXT($B131*60+L$109,"0000"),RawData!$A$2:$G$30000,7,FALSE),
    Mapping!$A$4:$B$9,2,FALSE
  ),
"")</f>
        <v>주방</v>
      </c>
      <c r="M131" s="51" t="str">
        <f>IFERROR(
  VLOOKUP(
    VLOOKUP(TEXT($B$3,"yyyymmdd")&amp;"_"&amp;TEXT($B131*60+M$109,"0000"),RawData!$A$2:$G$30000,7,FALSE),
    Mapping!$A$4:$B$9,2,FALSE
  ),
"")</f>
        <v>주방</v>
      </c>
      <c r="N131" s="51" t="str">
        <f>IFERROR(
  VLOOKUP(
    VLOOKUP(TEXT($B$3,"yyyymmdd")&amp;"_"&amp;TEXT($B131*60+N$109,"0000"),RawData!$A$2:$G$30000,7,FALSE),
    Mapping!$A$4:$B$9,2,FALSE
  ),
"")</f>
        <v>주방</v>
      </c>
      <c r="O131" s="51" t="str">
        <f>IFERROR(
  VLOOKUP(
    VLOOKUP(TEXT($B$3,"yyyymmdd")&amp;"_"&amp;TEXT($B131*60+O$109,"0000"),RawData!$A$2:$G$30000,7,FALSE),
    Mapping!$A$4:$B$9,2,FALSE
  ),
"")</f>
        <v>주방</v>
      </c>
      <c r="P131" s="51" t="str">
        <f>IFERROR(
  VLOOKUP(
    VLOOKUP(TEXT($B$3,"yyyymmdd")&amp;"_"&amp;TEXT($B131*60+P$109,"0000"),RawData!$A$2:$G$30000,7,FALSE),
    Mapping!$A$4:$B$9,2,FALSE
  ),
"")</f>
        <v>주방</v>
      </c>
      <c r="Q131" s="51" t="str">
        <f>IFERROR(
  VLOOKUP(
    VLOOKUP(TEXT($B$3,"yyyymmdd")&amp;"_"&amp;TEXT($B131*60+Q$109,"0000"),RawData!$A$2:$G$30000,7,FALSE),
    Mapping!$A$4:$B$9,2,FALSE
  ),
"")</f>
        <v>침실B</v>
      </c>
      <c r="R131" s="51" t="str">
        <f>IFERROR(
  VLOOKUP(
    VLOOKUP(TEXT($B$3,"yyyymmdd")&amp;"_"&amp;TEXT($B131*60+R$109,"0000"),RawData!$A$2:$G$30000,7,FALSE),
    Mapping!$A$4:$B$9,2,FALSE
  ),
"")</f>
        <v>침실B</v>
      </c>
      <c r="S131" s="51" t="str">
        <f>IFERROR(
  VLOOKUP(
    VLOOKUP(TEXT($B$3,"yyyymmdd")&amp;"_"&amp;TEXT($B131*60+S$109,"0000"),RawData!$A$2:$G$30000,7,FALSE),
    Mapping!$A$4:$B$9,2,FALSE
  ),
"")</f>
        <v>침실B</v>
      </c>
      <c r="T131" s="51" t="str">
        <f>IFERROR(
  VLOOKUP(
    VLOOKUP(TEXT($B$3,"yyyymmdd")&amp;"_"&amp;TEXT($B131*60+T$109,"0000"),RawData!$A$2:$G$30000,7,FALSE),
    Mapping!$A$4:$B$9,2,FALSE
  ),
"")</f>
        <v/>
      </c>
      <c r="U131" s="51" t="str">
        <f>IFERROR(
  VLOOKUP(
    VLOOKUP(TEXT($B$3,"yyyymmdd")&amp;"_"&amp;TEXT($B131*60+U$109,"0000"),RawData!$A$2:$G$30000,7,FALSE),
    Mapping!$A$4:$B$9,2,FALSE
  ),
"")</f>
        <v/>
      </c>
      <c r="V131" s="51" t="str">
        <f>IFERROR(
  VLOOKUP(
    VLOOKUP(TEXT($B$3,"yyyymmdd")&amp;"_"&amp;TEXT($B131*60+V$109,"0000"),RawData!$A$2:$G$30000,7,FALSE),
    Mapping!$A$4:$B$9,2,FALSE
  ),
"")</f>
        <v>침실B</v>
      </c>
      <c r="W131" s="51" t="str">
        <f>IFERROR(
  VLOOKUP(
    VLOOKUP(TEXT($B$3,"yyyymmdd")&amp;"_"&amp;TEXT($B131*60+W$109,"0000"),RawData!$A$2:$G$30000,7,FALSE),
    Mapping!$A$4:$B$9,2,FALSE
  ),
"")</f>
        <v>침실B</v>
      </c>
      <c r="X131" s="51" t="str">
        <f>IFERROR(
  VLOOKUP(
    VLOOKUP(TEXT($B$3,"yyyymmdd")&amp;"_"&amp;TEXT($B131*60+X$109,"0000"),RawData!$A$2:$G$30000,7,FALSE),
    Mapping!$A$4:$B$9,2,FALSE
  ),
"")</f>
        <v>침실B</v>
      </c>
      <c r="Y131" s="51" t="str">
        <f>IFERROR(
  VLOOKUP(
    VLOOKUP(TEXT($B$3,"yyyymmdd")&amp;"_"&amp;TEXT($B131*60+Y$109,"0000"),RawData!$A$2:$G$30000,7,FALSE),
    Mapping!$A$4:$B$9,2,FALSE
  ),
"")</f>
        <v>침실B</v>
      </c>
      <c r="Z131" s="51" t="str">
        <f>IFERROR(
  VLOOKUP(
    VLOOKUP(TEXT($B$3,"yyyymmdd")&amp;"_"&amp;TEXT($B131*60+Z$109,"0000"),RawData!$A$2:$G$30000,7,FALSE),
    Mapping!$A$4:$B$9,2,FALSE
  ),
"")</f>
        <v>침실B</v>
      </c>
      <c r="AA131" s="51" t="str">
        <f>IFERROR(
  VLOOKUP(
    VLOOKUP(TEXT($B$3,"yyyymmdd")&amp;"_"&amp;TEXT($B131*60+AA$109,"0000"),RawData!$A$2:$G$30000,7,FALSE),
    Mapping!$A$4:$B$9,2,FALSE
  ),
"")</f>
        <v>침실B</v>
      </c>
      <c r="AB131" s="51" t="str">
        <f>IFERROR(
  VLOOKUP(
    VLOOKUP(TEXT($B$3,"yyyymmdd")&amp;"_"&amp;TEXT($B131*60+AB$109,"0000"),RawData!$A$2:$G$30000,7,FALSE),
    Mapping!$A$4:$B$9,2,FALSE
  ),
"")</f>
        <v>침실B</v>
      </c>
      <c r="AC131" s="51" t="str">
        <f>IFERROR(
  VLOOKUP(
    VLOOKUP(TEXT($B$3,"yyyymmdd")&amp;"_"&amp;TEXT($B131*60+AC$109,"0000"),RawData!$A$2:$G$30000,7,FALSE),
    Mapping!$A$4:$B$9,2,FALSE
  ),
"")</f>
        <v>침실B</v>
      </c>
      <c r="AD131" s="51" t="str">
        <f>IFERROR(
  VLOOKUP(
    VLOOKUP(TEXT($B$3,"yyyymmdd")&amp;"_"&amp;TEXT($B131*60+AD$109,"0000"),RawData!$A$2:$G$30000,7,FALSE),
    Mapping!$A$4:$B$9,2,FALSE
  ),
"")</f>
        <v>침실B</v>
      </c>
      <c r="AE131" s="51" t="str">
        <f>IFERROR(
  VLOOKUP(
    VLOOKUP(TEXT($B$3,"yyyymmdd")&amp;"_"&amp;TEXT($B131*60+AE$109,"0000"),RawData!$A$2:$G$30000,7,FALSE),
    Mapping!$A$4:$B$9,2,FALSE
  ),
"")</f>
        <v>침실B</v>
      </c>
      <c r="AF131" s="51" t="str">
        <f>IFERROR(
  VLOOKUP(
    VLOOKUP(TEXT($B$3,"yyyymmdd")&amp;"_"&amp;TEXT($B131*60+AF$109,"0000"),RawData!$A$2:$G$30000,7,FALSE),
    Mapping!$A$4:$B$9,2,FALSE
  ),
"")</f>
        <v>침실B</v>
      </c>
      <c r="AG131" s="51" t="str">
        <f>IFERROR(
  VLOOKUP(
    VLOOKUP(TEXT($B$3,"yyyymmdd")&amp;"_"&amp;TEXT($B131*60+AG$109,"0000"),RawData!$A$2:$G$30000,7,FALSE),
    Mapping!$A$4:$B$9,2,FALSE
  ),
"")</f>
        <v>침실B</v>
      </c>
      <c r="AH131" s="51" t="str">
        <f>IFERROR(
  VLOOKUP(
    VLOOKUP(TEXT($B$3,"yyyymmdd")&amp;"_"&amp;TEXT($B131*60+AH$109,"0000"),RawData!$A$2:$G$30000,7,FALSE),
    Mapping!$A$4:$B$9,2,FALSE
  ),
"")</f>
        <v>침실B</v>
      </c>
      <c r="AI131" s="51" t="str">
        <f>IFERROR(
  VLOOKUP(
    VLOOKUP(TEXT($B$3,"yyyymmdd")&amp;"_"&amp;TEXT($B131*60+AI$109,"0000"),RawData!$A$2:$G$30000,7,FALSE),
    Mapping!$A$4:$B$9,2,FALSE
  ),
"")</f>
        <v>침실B</v>
      </c>
      <c r="AJ131" s="51" t="str">
        <f>IFERROR(
  VLOOKUP(
    VLOOKUP(TEXT($B$3,"yyyymmdd")&amp;"_"&amp;TEXT($B131*60+AJ$109,"0000"),RawData!$A$2:$G$30000,7,FALSE),
    Mapping!$A$4:$B$9,2,FALSE
  ),
"")</f>
        <v>침실B</v>
      </c>
      <c r="AK131" s="51" t="str">
        <f>IFERROR(
  VLOOKUP(
    VLOOKUP(TEXT($B$3,"yyyymmdd")&amp;"_"&amp;TEXT($B131*60+AK$109,"0000"),RawData!$A$2:$G$30000,7,FALSE),
    Mapping!$A$4:$B$9,2,FALSE
  ),
"")</f>
        <v>침실B</v>
      </c>
      <c r="AL131" s="51" t="str">
        <f>IFERROR(
  VLOOKUP(
    VLOOKUP(TEXT($B$3,"yyyymmdd")&amp;"_"&amp;TEXT($B131*60+AL$109,"0000"),RawData!$A$2:$G$30000,7,FALSE),
    Mapping!$A$4:$B$9,2,FALSE
  ),
"")</f>
        <v>침실B</v>
      </c>
      <c r="AM131" s="51" t="str">
        <f>IFERROR(
  VLOOKUP(
    VLOOKUP(TEXT($B$3,"yyyymmdd")&amp;"_"&amp;TEXT($B131*60+AM$109,"0000"),RawData!$A$2:$G$30000,7,FALSE),
    Mapping!$A$4:$B$9,2,FALSE
  ),
"")</f>
        <v>침실B</v>
      </c>
      <c r="AN131" s="51" t="str">
        <f>IFERROR(
  VLOOKUP(
    VLOOKUP(TEXT($B$3,"yyyymmdd")&amp;"_"&amp;TEXT($B131*60+AN$109,"0000"),RawData!$A$2:$G$30000,7,FALSE),
    Mapping!$A$4:$B$9,2,FALSE
  ),
"")</f>
        <v>침실B</v>
      </c>
      <c r="AO131" s="51" t="str">
        <f>IFERROR(
  VLOOKUP(
    VLOOKUP(TEXT($B$3,"yyyymmdd")&amp;"_"&amp;TEXT($B131*60+AO$109,"0000"),RawData!$A$2:$G$30000,7,FALSE),
    Mapping!$A$4:$B$9,2,FALSE
  ),
"")</f>
        <v>침실B</v>
      </c>
      <c r="AP131" s="51" t="str">
        <f>IFERROR(
  VLOOKUP(
    VLOOKUP(TEXT($B$3,"yyyymmdd")&amp;"_"&amp;TEXT($B131*60+AP$109,"0000"),RawData!$A$2:$G$30000,7,FALSE),
    Mapping!$A$4:$B$9,2,FALSE
  ),
"")</f>
        <v>침실B</v>
      </c>
      <c r="AQ131" s="51" t="str">
        <f>IFERROR(
  VLOOKUP(
    VLOOKUP(TEXT($B$3,"yyyymmdd")&amp;"_"&amp;TEXT($B131*60+AQ$109,"0000"),RawData!$A$2:$G$30000,7,FALSE),
    Mapping!$A$4:$B$9,2,FALSE
  ),
"")</f>
        <v>침실B</v>
      </c>
      <c r="AR131" s="51" t="str">
        <f>IFERROR(
  VLOOKUP(
    VLOOKUP(TEXT($B$3,"yyyymmdd")&amp;"_"&amp;TEXT($B131*60+AR$109,"0000"),RawData!$A$2:$G$30000,7,FALSE),
    Mapping!$A$4:$B$9,2,FALSE
  ),
"")</f>
        <v>침실B</v>
      </c>
      <c r="AS131" s="51" t="str">
        <f>IFERROR(
  VLOOKUP(
    VLOOKUP(TEXT($B$3,"yyyymmdd")&amp;"_"&amp;TEXT($B131*60+AS$109,"0000"),RawData!$A$2:$G$30000,7,FALSE),
    Mapping!$A$4:$B$9,2,FALSE
  ),
"")</f>
        <v>침실B</v>
      </c>
      <c r="AT131" s="51" t="str">
        <f>IFERROR(
  VLOOKUP(
    VLOOKUP(TEXT($B$3,"yyyymmdd")&amp;"_"&amp;TEXT($B131*60+AT$109,"0000"),RawData!$A$2:$G$30000,7,FALSE),
    Mapping!$A$4:$B$9,2,FALSE
  ),
"")</f>
        <v>침실B</v>
      </c>
      <c r="AU131" s="51" t="str">
        <f>IFERROR(
  VLOOKUP(
    VLOOKUP(TEXT($B$3,"yyyymmdd")&amp;"_"&amp;TEXT($B131*60+AU$109,"0000"),RawData!$A$2:$G$30000,7,FALSE),
    Mapping!$A$4:$B$9,2,FALSE
  ),
"")</f>
        <v>침실B</v>
      </c>
      <c r="AV131" s="51" t="str">
        <f>IFERROR(
  VLOOKUP(
    VLOOKUP(TEXT($B$3,"yyyymmdd")&amp;"_"&amp;TEXT($B131*60+AV$109,"0000"),RawData!$A$2:$G$30000,7,FALSE),
    Mapping!$A$4:$B$9,2,FALSE
  ),
"")</f>
        <v>침실B</v>
      </c>
      <c r="AW131" s="51" t="str">
        <f>IFERROR(
  VLOOKUP(
    VLOOKUP(TEXT($B$3,"yyyymmdd")&amp;"_"&amp;TEXT($B131*60+AW$109,"0000"),RawData!$A$2:$G$30000,7,FALSE),
    Mapping!$A$4:$B$9,2,FALSE
  ),
"")</f>
        <v>침실B</v>
      </c>
      <c r="AX131" s="51" t="str">
        <f>IFERROR(
  VLOOKUP(
    VLOOKUP(TEXT($B$3,"yyyymmdd")&amp;"_"&amp;TEXT($B131*60+AX$109,"0000"),RawData!$A$2:$G$30000,7,FALSE),
    Mapping!$A$4:$B$9,2,FALSE
  ),
"")</f>
        <v>침실B</v>
      </c>
      <c r="AY131" s="51" t="str">
        <f>IFERROR(
  VLOOKUP(
    VLOOKUP(TEXT($B$3,"yyyymmdd")&amp;"_"&amp;TEXT($B131*60+AY$109,"0000"),RawData!$A$2:$G$30000,7,FALSE),
    Mapping!$A$4:$B$9,2,FALSE
  ),
"")</f>
        <v>침실B</v>
      </c>
      <c r="AZ131" s="51" t="str">
        <f>IFERROR(
  VLOOKUP(
    VLOOKUP(TEXT($B$3,"yyyymmdd")&amp;"_"&amp;TEXT($B131*60+AZ$109,"0000"),RawData!$A$2:$G$30000,7,FALSE),
    Mapping!$A$4:$B$9,2,FALSE
  ),
"")</f>
        <v>침실B</v>
      </c>
      <c r="BA131" s="51" t="str">
        <f>IFERROR(
  VLOOKUP(
    VLOOKUP(TEXT($B$3,"yyyymmdd")&amp;"_"&amp;TEXT($B131*60+BA$109,"0000"),RawData!$A$2:$G$30000,7,FALSE),
    Mapping!$A$4:$B$9,2,FALSE
  ),
"")</f>
        <v>침실B</v>
      </c>
      <c r="BB131" s="51" t="str">
        <f>IFERROR(
  VLOOKUP(
    VLOOKUP(TEXT($B$3,"yyyymmdd")&amp;"_"&amp;TEXT($B131*60+BB$109,"0000"),RawData!$A$2:$G$30000,7,FALSE),
    Mapping!$A$4:$B$9,2,FALSE
  ),
"")</f>
        <v>침실B</v>
      </c>
      <c r="BC131" s="51" t="str">
        <f>IFERROR(
  VLOOKUP(
    VLOOKUP(TEXT($B$3,"yyyymmdd")&amp;"_"&amp;TEXT($B131*60+BC$109,"0000"),RawData!$A$2:$G$30000,7,FALSE),
    Mapping!$A$4:$B$9,2,FALSE
  ),
"")</f>
        <v>침실B</v>
      </c>
      <c r="BD131" s="51" t="str">
        <f>IFERROR(
  VLOOKUP(
    VLOOKUP(TEXT($B$3,"yyyymmdd")&amp;"_"&amp;TEXT($B131*60+BD$109,"0000"),RawData!$A$2:$G$30000,7,FALSE),
    Mapping!$A$4:$B$9,2,FALSE
  ),
"")</f>
        <v>침실B</v>
      </c>
      <c r="BE131" s="51" t="str">
        <f>IFERROR(
  VLOOKUP(
    VLOOKUP(TEXT($B$3,"yyyymmdd")&amp;"_"&amp;TEXT($B131*60+BE$109,"0000"),RawData!$A$2:$G$30000,7,FALSE),
    Mapping!$A$4:$B$9,2,FALSE
  ),
"")</f>
        <v>침실B</v>
      </c>
      <c r="BF131" s="51" t="str">
        <f>IFERROR(
  VLOOKUP(
    VLOOKUP(TEXT($B$3,"yyyymmdd")&amp;"_"&amp;TEXT($B131*60+BF$109,"0000"),RawData!$A$2:$G$30000,7,FALSE),
    Mapping!$A$4:$B$9,2,FALSE
  ),
"")</f>
        <v>침실B</v>
      </c>
      <c r="BG131" s="51" t="str">
        <f>IFERROR(
  VLOOKUP(
    VLOOKUP(TEXT($B$3,"yyyymmdd")&amp;"_"&amp;TEXT($B131*60+BG$109,"0000"),RawData!$A$2:$G$30000,7,FALSE),
    Mapping!$A$4:$B$9,2,FALSE
  ),
"")</f>
        <v>침실B</v>
      </c>
      <c r="BH131" s="51" t="str">
        <f>IFERROR(
  VLOOKUP(
    VLOOKUP(TEXT($B$3,"yyyymmdd")&amp;"_"&amp;TEXT($B131*60+BH$109,"0000"),RawData!$A$2:$G$30000,7,FALSE),
    Mapping!$A$4:$B$9,2,FALSE
  ),
"")</f>
        <v>침실B</v>
      </c>
      <c r="BI131" s="51" t="str">
        <f>IFERROR(
  VLOOKUP(
    VLOOKUP(TEXT($B$3,"yyyymmdd")&amp;"_"&amp;TEXT($B131*60+BI$109,"0000"),RawData!$A$2:$G$30000,7,FALSE),
    Mapping!$A$4:$B$9,2,FALSE
  ),
"")</f>
        <v>침실B</v>
      </c>
      <c r="BJ131" s="51" t="str">
        <f>IFERROR(
  VLOOKUP(
    VLOOKUP(TEXT($B$3,"yyyymmdd")&amp;"_"&amp;TEXT($B131*60+BJ$109,"0000"),RawData!$A$2:$G$30000,7,FALSE),
    Mapping!$A$4:$B$9,2,FALSE
  ),
"")</f>
        <v>침실B</v>
      </c>
      <c r="BK131" s="4" t="str">
        <f>IFERROR(VLOOKUP(TEXT($B$3,"yyyymmdd")&amp;"_"&amp;TEXT(120,"0000"),RawData!$A$2:$F$1441,4,FALSE),"")</f>
        <v>01</v>
      </c>
      <c r="BL131" s="19">
        <f>TIME(0,0,0)+120/1440</f>
        <v>8.3333333333333329E-2</v>
      </c>
      <c r="BM131" s="4">
        <f>IFERROR(VLOOKUP(TEXT($B$3,"yyyymmdd")&amp;"_"&amp;TEXT(120,"0000"),RawData!$A$2:$F$1441,5,FALSE),"")</f>
        <v>0</v>
      </c>
      <c r="BN131" s="4">
        <f t="shared" si="2"/>
        <v>0</v>
      </c>
    </row>
    <row r="132" spans="2:66" x14ac:dyDescent="0.6">
      <c r="B132" s="18">
        <v>22</v>
      </c>
      <c r="C132" s="51" t="str">
        <f>IFERROR(
  VLOOKUP(
    VLOOKUP(TEXT($B$3,"yyyymmdd")&amp;"_"&amp;TEXT($B132*60+C$109,"0000"),RawData!$A$2:$G$30000,7,FALSE),
    Mapping!$A$4:$B$9,2,FALSE
  ),
"")</f>
        <v>침실B</v>
      </c>
      <c r="D132" s="51" t="str">
        <f>IFERROR(
  VLOOKUP(
    VLOOKUP(TEXT($B$3,"yyyymmdd")&amp;"_"&amp;TEXT($B132*60+D$109,"0000"),RawData!$A$2:$G$30000,7,FALSE),
    Mapping!$A$4:$B$9,2,FALSE
  ),
"")</f>
        <v>침실B</v>
      </c>
      <c r="E132" s="51" t="str">
        <f>IFERROR(
  VLOOKUP(
    VLOOKUP(TEXT($B$3,"yyyymmdd")&amp;"_"&amp;TEXT($B132*60+E$109,"0000"),RawData!$A$2:$G$30000,7,FALSE),
    Mapping!$A$4:$B$9,2,FALSE
  ),
"")</f>
        <v>침실B</v>
      </c>
      <c r="F132" s="51" t="str">
        <f>IFERROR(
  VLOOKUP(
    VLOOKUP(TEXT($B$3,"yyyymmdd")&amp;"_"&amp;TEXT($B132*60+F$109,"0000"),RawData!$A$2:$G$30000,7,FALSE),
    Mapping!$A$4:$B$9,2,FALSE
  ),
"")</f>
        <v>침실B</v>
      </c>
      <c r="G132" s="51" t="str">
        <f>IFERROR(
  VLOOKUP(
    VLOOKUP(TEXT($B$3,"yyyymmdd")&amp;"_"&amp;TEXT($B132*60+G$109,"0000"),RawData!$A$2:$G$30000,7,FALSE),
    Mapping!$A$4:$B$9,2,FALSE
  ),
"")</f>
        <v>침실B</v>
      </c>
      <c r="H132" s="51" t="str">
        <f>IFERROR(
  VLOOKUP(
    VLOOKUP(TEXT($B$3,"yyyymmdd")&amp;"_"&amp;TEXT($B132*60+H$109,"0000"),RawData!$A$2:$G$30000,7,FALSE),
    Mapping!$A$4:$B$9,2,FALSE
  ),
"")</f>
        <v>침실B</v>
      </c>
      <c r="I132" s="51" t="str">
        <f>IFERROR(
  VLOOKUP(
    VLOOKUP(TEXT($B$3,"yyyymmdd")&amp;"_"&amp;TEXT($B132*60+I$109,"0000"),RawData!$A$2:$G$30000,7,FALSE),
    Mapping!$A$4:$B$9,2,FALSE
  ),
"")</f>
        <v>침실B</v>
      </c>
      <c r="J132" s="51" t="str">
        <f>IFERROR(
  VLOOKUP(
    VLOOKUP(TEXT($B$3,"yyyymmdd")&amp;"_"&amp;TEXT($B132*60+J$109,"0000"),RawData!$A$2:$G$30000,7,FALSE),
    Mapping!$A$4:$B$9,2,FALSE
  ),
"")</f>
        <v>침실B</v>
      </c>
      <c r="K132" s="51" t="str">
        <f>IFERROR(
  VLOOKUP(
    VLOOKUP(TEXT($B$3,"yyyymmdd")&amp;"_"&amp;TEXT($B132*60+K$109,"0000"),RawData!$A$2:$G$30000,7,FALSE),
    Mapping!$A$4:$B$9,2,FALSE
  ),
"")</f>
        <v>침실B</v>
      </c>
      <c r="L132" s="51" t="str">
        <f>IFERROR(
  VLOOKUP(
    VLOOKUP(TEXT($B$3,"yyyymmdd")&amp;"_"&amp;TEXT($B132*60+L$109,"0000"),RawData!$A$2:$G$30000,7,FALSE),
    Mapping!$A$4:$B$9,2,FALSE
  ),
"")</f>
        <v>침실B</v>
      </c>
      <c r="M132" s="51" t="str">
        <f>IFERROR(
  VLOOKUP(
    VLOOKUP(TEXT($B$3,"yyyymmdd")&amp;"_"&amp;TEXT($B132*60+M$109,"0000"),RawData!$A$2:$G$30000,7,FALSE),
    Mapping!$A$4:$B$9,2,FALSE
  ),
"")</f>
        <v>침실B</v>
      </c>
      <c r="N132" s="51" t="str">
        <f>IFERROR(
  VLOOKUP(
    VLOOKUP(TEXT($B$3,"yyyymmdd")&amp;"_"&amp;TEXT($B132*60+N$109,"0000"),RawData!$A$2:$G$30000,7,FALSE),
    Mapping!$A$4:$B$9,2,FALSE
  ),
"")</f>
        <v>침실B</v>
      </c>
      <c r="O132" s="51" t="str">
        <f>IFERROR(
  VLOOKUP(
    VLOOKUP(TEXT($B$3,"yyyymmdd")&amp;"_"&amp;TEXT($B132*60+O$109,"0000"),RawData!$A$2:$G$30000,7,FALSE),
    Mapping!$A$4:$B$9,2,FALSE
  ),
"")</f>
        <v>침실B</v>
      </c>
      <c r="P132" s="51" t="str">
        <f>IFERROR(
  VLOOKUP(
    VLOOKUP(TEXT($B$3,"yyyymmdd")&amp;"_"&amp;TEXT($B132*60+P$109,"0000"),RawData!$A$2:$G$30000,7,FALSE),
    Mapping!$A$4:$B$9,2,FALSE
  ),
"")</f>
        <v>침실B</v>
      </c>
      <c r="Q132" s="51" t="str">
        <f>IFERROR(
  VLOOKUP(
    VLOOKUP(TEXT($B$3,"yyyymmdd")&amp;"_"&amp;TEXT($B132*60+Q$109,"0000"),RawData!$A$2:$G$30000,7,FALSE),
    Mapping!$A$4:$B$9,2,FALSE
  ),
"")</f>
        <v>침실B</v>
      </c>
      <c r="R132" s="51" t="str">
        <f>IFERROR(
  VLOOKUP(
    VLOOKUP(TEXT($B$3,"yyyymmdd")&amp;"_"&amp;TEXT($B132*60+R$109,"0000"),RawData!$A$2:$G$30000,7,FALSE),
    Mapping!$A$4:$B$9,2,FALSE
  ),
"")</f>
        <v>침실B</v>
      </c>
      <c r="S132" s="51" t="str">
        <f>IFERROR(
  VLOOKUP(
    VLOOKUP(TEXT($B$3,"yyyymmdd")&amp;"_"&amp;TEXT($B132*60+S$109,"0000"),RawData!$A$2:$G$30000,7,FALSE),
    Mapping!$A$4:$B$9,2,FALSE
  ),
"")</f>
        <v>침실B</v>
      </c>
      <c r="T132" s="51" t="str">
        <f>IFERROR(
  VLOOKUP(
    VLOOKUP(TEXT($B$3,"yyyymmdd")&amp;"_"&amp;TEXT($B132*60+T$109,"0000"),RawData!$A$2:$G$30000,7,FALSE),
    Mapping!$A$4:$B$9,2,FALSE
  ),
"")</f>
        <v>침실B</v>
      </c>
      <c r="U132" s="51" t="str">
        <f>IFERROR(
  VLOOKUP(
    VLOOKUP(TEXT($B$3,"yyyymmdd")&amp;"_"&amp;TEXT($B132*60+U$109,"0000"),RawData!$A$2:$G$30000,7,FALSE),
    Mapping!$A$4:$B$9,2,FALSE
  ),
"")</f>
        <v>침실B</v>
      </c>
      <c r="V132" s="51" t="str">
        <f>IFERROR(
  VLOOKUP(
    VLOOKUP(TEXT($B$3,"yyyymmdd")&amp;"_"&amp;TEXT($B132*60+V$109,"0000"),RawData!$A$2:$G$30000,7,FALSE),
    Mapping!$A$4:$B$9,2,FALSE
  ),
"")</f>
        <v>침실B</v>
      </c>
      <c r="W132" s="51" t="str">
        <f>IFERROR(
  VLOOKUP(
    VLOOKUP(TEXT($B$3,"yyyymmdd")&amp;"_"&amp;TEXT($B132*60+W$109,"0000"),RawData!$A$2:$G$30000,7,FALSE),
    Mapping!$A$4:$B$9,2,FALSE
  ),
"")</f>
        <v>침실B</v>
      </c>
      <c r="X132" s="51" t="str">
        <f>IFERROR(
  VLOOKUP(
    VLOOKUP(TEXT($B$3,"yyyymmdd")&amp;"_"&amp;TEXT($B132*60+X$109,"0000"),RawData!$A$2:$G$30000,7,FALSE),
    Mapping!$A$4:$B$9,2,FALSE
  ),
"")</f>
        <v>침실B</v>
      </c>
      <c r="Y132" s="51" t="str">
        <f>IFERROR(
  VLOOKUP(
    VLOOKUP(TEXT($B$3,"yyyymmdd")&amp;"_"&amp;TEXT($B132*60+Y$109,"0000"),RawData!$A$2:$G$30000,7,FALSE),
    Mapping!$A$4:$B$9,2,FALSE
  ),
"")</f>
        <v>침실B</v>
      </c>
      <c r="Z132" s="51" t="str">
        <f>IFERROR(
  VLOOKUP(
    VLOOKUP(TEXT($B$3,"yyyymmdd")&amp;"_"&amp;TEXT($B132*60+Z$109,"0000"),RawData!$A$2:$G$30000,7,FALSE),
    Mapping!$A$4:$B$9,2,FALSE
  ),
"")</f>
        <v>침실B</v>
      </c>
      <c r="AA132" s="51" t="str">
        <f>IFERROR(
  VLOOKUP(
    VLOOKUP(TEXT($B$3,"yyyymmdd")&amp;"_"&amp;TEXT($B132*60+AA$109,"0000"),RawData!$A$2:$G$30000,7,FALSE),
    Mapping!$A$4:$B$9,2,FALSE
  ),
"")</f>
        <v>침실B</v>
      </c>
      <c r="AB132" s="51" t="str">
        <f>IFERROR(
  VLOOKUP(
    VLOOKUP(TEXT($B$3,"yyyymmdd")&amp;"_"&amp;TEXT($B132*60+AB$109,"0000"),RawData!$A$2:$G$30000,7,FALSE),
    Mapping!$A$4:$B$9,2,FALSE
  ),
"")</f>
        <v>침실B</v>
      </c>
      <c r="AC132" s="51" t="str">
        <f>IFERROR(
  VLOOKUP(
    VLOOKUP(TEXT($B$3,"yyyymmdd")&amp;"_"&amp;TEXT($B132*60+AC$109,"0000"),RawData!$A$2:$G$30000,7,FALSE),
    Mapping!$A$4:$B$9,2,FALSE
  ),
"")</f>
        <v>침실B</v>
      </c>
      <c r="AD132" s="51" t="str">
        <f>IFERROR(
  VLOOKUP(
    VLOOKUP(TEXT($B$3,"yyyymmdd")&amp;"_"&amp;TEXT($B132*60+AD$109,"0000"),RawData!$A$2:$G$30000,7,FALSE),
    Mapping!$A$4:$B$9,2,FALSE
  ),
"")</f>
        <v>침실B</v>
      </c>
      <c r="AE132" s="51" t="str">
        <f>IFERROR(
  VLOOKUP(
    VLOOKUP(TEXT($B$3,"yyyymmdd")&amp;"_"&amp;TEXT($B132*60+AE$109,"0000"),RawData!$A$2:$G$30000,7,FALSE),
    Mapping!$A$4:$B$9,2,FALSE
  ),
"")</f>
        <v>침실B</v>
      </c>
      <c r="AF132" s="51" t="str">
        <f>IFERROR(
  VLOOKUP(
    VLOOKUP(TEXT($B$3,"yyyymmdd")&amp;"_"&amp;TEXT($B132*60+AF$109,"0000"),RawData!$A$2:$G$30000,7,FALSE),
    Mapping!$A$4:$B$9,2,FALSE
  ),
"")</f>
        <v>침실B</v>
      </c>
      <c r="AG132" s="51" t="str">
        <f>IFERROR(
  VLOOKUP(
    VLOOKUP(TEXT($B$3,"yyyymmdd")&amp;"_"&amp;TEXT($B132*60+AG$109,"0000"),RawData!$A$2:$G$30000,7,FALSE),
    Mapping!$A$4:$B$9,2,FALSE
  ),
"")</f>
        <v>침실B</v>
      </c>
      <c r="AH132" s="51" t="str">
        <f>IFERROR(
  VLOOKUP(
    VLOOKUP(TEXT($B$3,"yyyymmdd")&amp;"_"&amp;TEXT($B132*60+AH$109,"0000"),RawData!$A$2:$G$30000,7,FALSE),
    Mapping!$A$4:$B$9,2,FALSE
  ),
"")</f>
        <v>침실B</v>
      </c>
      <c r="AI132" s="51" t="str">
        <f>IFERROR(
  VLOOKUP(
    VLOOKUP(TEXT($B$3,"yyyymmdd")&amp;"_"&amp;TEXT($B132*60+AI$109,"0000"),RawData!$A$2:$G$30000,7,FALSE),
    Mapping!$A$4:$B$9,2,FALSE
  ),
"")</f>
        <v>침실B</v>
      </c>
      <c r="AJ132" s="51" t="str">
        <f>IFERROR(
  VLOOKUP(
    VLOOKUP(TEXT($B$3,"yyyymmdd")&amp;"_"&amp;TEXT($B132*60+AJ$109,"0000"),RawData!$A$2:$G$30000,7,FALSE),
    Mapping!$A$4:$B$9,2,FALSE
  ),
"")</f>
        <v>침실B</v>
      </c>
      <c r="AK132" s="51" t="str">
        <f>IFERROR(
  VLOOKUP(
    VLOOKUP(TEXT($B$3,"yyyymmdd")&amp;"_"&amp;TEXT($B132*60+AK$109,"0000"),RawData!$A$2:$G$30000,7,FALSE),
    Mapping!$A$4:$B$9,2,FALSE
  ),
"")</f>
        <v>침실B</v>
      </c>
      <c r="AL132" s="51" t="str">
        <f>IFERROR(
  VLOOKUP(
    VLOOKUP(TEXT($B$3,"yyyymmdd")&amp;"_"&amp;TEXT($B132*60+AL$109,"0000"),RawData!$A$2:$G$30000,7,FALSE),
    Mapping!$A$4:$B$9,2,FALSE
  ),
"")</f>
        <v>침실B</v>
      </c>
      <c r="AM132" s="51" t="str">
        <f>IFERROR(
  VLOOKUP(
    VLOOKUP(TEXT($B$3,"yyyymmdd")&amp;"_"&amp;TEXT($B132*60+AM$109,"0000"),RawData!$A$2:$G$30000,7,FALSE),
    Mapping!$A$4:$B$9,2,FALSE
  ),
"")</f>
        <v>침실B</v>
      </c>
      <c r="AN132" s="51" t="str">
        <f>IFERROR(
  VLOOKUP(
    VLOOKUP(TEXT($B$3,"yyyymmdd")&amp;"_"&amp;TEXT($B132*60+AN$109,"0000"),RawData!$A$2:$G$30000,7,FALSE),
    Mapping!$A$4:$B$9,2,FALSE
  ),
"")</f>
        <v>침실B</v>
      </c>
      <c r="AO132" s="51" t="str">
        <f>IFERROR(
  VLOOKUP(
    VLOOKUP(TEXT($B$3,"yyyymmdd")&amp;"_"&amp;TEXT($B132*60+AO$109,"0000"),RawData!$A$2:$G$30000,7,FALSE),
    Mapping!$A$4:$B$9,2,FALSE
  ),
"")</f>
        <v>침실B</v>
      </c>
      <c r="AP132" s="51" t="str">
        <f>IFERROR(
  VLOOKUP(
    VLOOKUP(TEXT($B$3,"yyyymmdd")&amp;"_"&amp;TEXT($B132*60+AP$109,"0000"),RawData!$A$2:$G$30000,7,FALSE),
    Mapping!$A$4:$B$9,2,FALSE
  ),
"")</f>
        <v>침실B</v>
      </c>
      <c r="AQ132" s="51" t="str">
        <f>IFERROR(
  VLOOKUP(
    VLOOKUP(TEXT($B$3,"yyyymmdd")&amp;"_"&amp;TEXT($B132*60+AQ$109,"0000"),RawData!$A$2:$G$30000,7,FALSE),
    Mapping!$A$4:$B$9,2,FALSE
  ),
"")</f>
        <v>침실B</v>
      </c>
      <c r="AR132" s="51" t="str">
        <f>IFERROR(
  VLOOKUP(
    VLOOKUP(TEXT($B$3,"yyyymmdd")&amp;"_"&amp;TEXT($B132*60+AR$109,"0000"),RawData!$A$2:$G$30000,7,FALSE),
    Mapping!$A$4:$B$9,2,FALSE
  ),
"")</f>
        <v>침실B</v>
      </c>
      <c r="AS132" s="51" t="str">
        <f>IFERROR(
  VLOOKUP(
    VLOOKUP(TEXT($B$3,"yyyymmdd")&amp;"_"&amp;TEXT($B132*60+AS$109,"0000"),RawData!$A$2:$G$30000,7,FALSE),
    Mapping!$A$4:$B$9,2,FALSE
  ),
"")</f>
        <v>침실B</v>
      </c>
      <c r="AT132" s="51" t="str">
        <f>IFERROR(
  VLOOKUP(
    VLOOKUP(TEXT($B$3,"yyyymmdd")&amp;"_"&amp;TEXT($B132*60+AT$109,"0000"),RawData!$A$2:$G$30000,7,FALSE),
    Mapping!$A$4:$B$9,2,FALSE
  ),
"")</f>
        <v>침실B</v>
      </c>
      <c r="AU132" s="51" t="str">
        <f>IFERROR(
  VLOOKUP(
    VLOOKUP(TEXT($B$3,"yyyymmdd")&amp;"_"&amp;TEXT($B132*60+AU$109,"0000"),RawData!$A$2:$G$30000,7,FALSE),
    Mapping!$A$4:$B$9,2,FALSE
  ),
"")</f>
        <v>침실B</v>
      </c>
      <c r="AV132" s="51" t="str">
        <f>IFERROR(
  VLOOKUP(
    VLOOKUP(TEXT($B$3,"yyyymmdd")&amp;"_"&amp;TEXT($B132*60+AV$109,"0000"),RawData!$A$2:$G$30000,7,FALSE),
    Mapping!$A$4:$B$9,2,FALSE
  ),
"")</f>
        <v>침실B</v>
      </c>
      <c r="AW132" s="51" t="str">
        <f>IFERROR(
  VLOOKUP(
    VLOOKUP(TEXT($B$3,"yyyymmdd")&amp;"_"&amp;TEXT($B132*60+AW$109,"0000"),RawData!$A$2:$G$30000,7,FALSE),
    Mapping!$A$4:$B$9,2,FALSE
  ),
"")</f>
        <v>침실B</v>
      </c>
      <c r="AX132" s="51" t="str">
        <f>IFERROR(
  VLOOKUP(
    VLOOKUP(TEXT($B$3,"yyyymmdd")&amp;"_"&amp;TEXT($B132*60+AX$109,"0000"),RawData!$A$2:$G$30000,7,FALSE),
    Mapping!$A$4:$B$9,2,FALSE
  ),
"")</f>
        <v>침실B</v>
      </c>
      <c r="AY132" s="51" t="str">
        <f>IFERROR(
  VLOOKUP(
    VLOOKUP(TEXT($B$3,"yyyymmdd")&amp;"_"&amp;TEXT($B132*60+AY$109,"0000"),RawData!$A$2:$G$30000,7,FALSE),
    Mapping!$A$4:$B$9,2,FALSE
  ),
"")</f>
        <v>침실B</v>
      </c>
      <c r="AZ132" s="51" t="str">
        <f>IFERROR(
  VLOOKUP(
    VLOOKUP(TEXT($B$3,"yyyymmdd")&amp;"_"&amp;TEXT($B132*60+AZ$109,"0000"),RawData!$A$2:$G$30000,7,FALSE),
    Mapping!$A$4:$B$9,2,FALSE
  ),
"")</f>
        <v>침실B</v>
      </c>
      <c r="BA132" s="51" t="str">
        <f>IFERROR(
  VLOOKUP(
    VLOOKUP(TEXT($B$3,"yyyymmdd")&amp;"_"&amp;TEXT($B132*60+BA$109,"0000"),RawData!$A$2:$G$30000,7,FALSE),
    Mapping!$A$4:$B$9,2,FALSE
  ),
"")</f>
        <v>침실B</v>
      </c>
      <c r="BB132" s="51" t="str">
        <f>IFERROR(
  VLOOKUP(
    VLOOKUP(TEXT($B$3,"yyyymmdd")&amp;"_"&amp;TEXT($B132*60+BB$109,"0000"),RawData!$A$2:$G$30000,7,FALSE),
    Mapping!$A$4:$B$9,2,FALSE
  ),
"")</f>
        <v>침실B</v>
      </c>
      <c r="BC132" s="51" t="str">
        <f>IFERROR(
  VLOOKUP(
    VLOOKUP(TEXT($B$3,"yyyymmdd")&amp;"_"&amp;TEXT($B132*60+BC$109,"0000"),RawData!$A$2:$G$30000,7,FALSE),
    Mapping!$A$4:$B$9,2,FALSE
  ),
"")</f>
        <v>침실B</v>
      </c>
      <c r="BD132" s="51" t="str">
        <f>IFERROR(
  VLOOKUP(
    VLOOKUP(TEXT($B$3,"yyyymmdd")&amp;"_"&amp;TEXT($B132*60+BD$109,"0000"),RawData!$A$2:$G$30000,7,FALSE),
    Mapping!$A$4:$B$9,2,FALSE
  ),
"")</f>
        <v>침실B</v>
      </c>
      <c r="BE132" s="51" t="str">
        <f>IFERROR(
  VLOOKUP(
    VLOOKUP(TEXT($B$3,"yyyymmdd")&amp;"_"&amp;TEXT($B132*60+BE$109,"0000"),RawData!$A$2:$G$30000,7,FALSE),
    Mapping!$A$4:$B$9,2,FALSE
  ),
"")</f>
        <v>침실B</v>
      </c>
      <c r="BF132" s="51" t="str">
        <f>IFERROR(
  VLOOKUP(
    VLOOKUP(TEXT($B$3,"yyyymmdd")&amp;"_"&amp;TEXT($B132*60+BF$109,"0000"),RawData!$A$2:$G$30000,7,FALSE),
    Mapping!$A$4:$B$9,2,FALSE
  ),
"")</f>
        <v>침실B</v>
      </c>
      <c r="BG132" s="51" t="str">
        <f>IFERROR(
  VLOOKUP(
    VLOOKUP(TEXT($B$3,"yyyymmdd")&amp;"_"&amp;TEXT($B132*60+BG$109,"0000"),RawData!$A$2:$G$30000,7,FALSE),
    Mapping!$A$4:$B$9,2,FALSE
  ),
"")</f>
        <v>침실B</v>
      </c>
      <c r="BH132" s="51" t="str">
        <f>IFERROR(
  VLOOKUP(
    VLOOKUP(TEXT($B$3,"yyyymmdd")&amp;"_"&amp;TEXT($B132*60+BH$109,"0000"),RawData!$A$2:$G$30000,7,FALSE),
    Mapping!$A$4:$B$9,2,FALSE
  ),
"")</f>
        <v>침실B</v>
      </c>
      <c r="BI132" s="51" t="str">
        <f>IFERROR(
  VLOOKUP(
    VLOOKUP(TEXT($B$3,"yyyymmdd")&amp;"_"&amp;TEXT($B132*60+BI$109,"0000"),RawData!$A$2:$G$30000,7,FALSE),
    Mapping!$A$4:$B$9,2,FALSE
  ),
"")</f>
        <v>침실B</v>
      </c>
      <c r="BJ132" s="51" t="str">
        <f>IFERROR(
  VLOOKUP(
    VLOOKUP(TEXT($B$3,"yyyymmdd")&amp;"_"&amp;TEXT($B132*60+BJ$109,"0000"),RawData!$A$2:$G$30000,7,FALSE),
    Mapping!$A$4:$B$9,2,FALSE
  ),
"")</f>
        <v>침실B</v>
      </c>
      <c r="BK132" s="4" t="str">
        <f>IFERROR(VLOOKUP(TEXT($B$3,"yyyymmdd")&amp;"_"&amp;TEXT(121,"0000"),RawData!$A$2:$F$1441,4,FALSE),"")</f>
        <v>01</v>
      </c>
      <c r="BL132" s="19">
        <f>TIME(0,0,0)+121/1440</f>
        <v>8.4027777777777785E-2</v>
      </c>
      <c r="BM132" s="4">
        <f>IFERROR(VLOOKUP(TEXT($B$3,"yyyymmdd")&amp;"_"&amp;TEXT(121,"0000"),RawData!$A$2:$F$1441,5,FALSE),"")</f>
        <v>0</v>
      </c>
      <c r="BN132" s="4">
        <f t="shared" si="2"/>
        <v>0</v>
      </c>
    </row>
    <row r="133" spans="2:66" x14ac:dyDescent="0.6">
      <c r="B133" s="18">
        <v>23</v>
      </c>
      <c r="C133" s="51" t="str">
        <f>IFERROR(
  VLOOKUP(
    VLOOKUP(TEXT($B$3,"yyyymmdd")&amp;"_"&amp;TEXT($B133*60+C$109,"0000"),RawData!$A$2:$G$30000,7,FALSE),
    Mapping!$A$4:$B$9,2,FALSE
  ),
"")</f>
        <v>침실B</v>
      </c>
      <c r="D133" s="51" t="str">
        <f>IFERROR(
  VLOOKUP(
    VLOOKUP(TEXT($B$3,"yyyymmdd")&amp;"_"&amp;TEXT($B133*60+D$109,"0000"),RawData!$A$2:$G$30000,7,FALSE),
    Mapping!$A$4:$B$9,2,FALSE
  ),
"")</f>
        <v>침실B</v>
      </c>
      <c r="E133" s="51" t="str">
        <f>IFERROR(
  VLOOKUP(
    VLOOKUP(TEXT($B$3,"yyyymmdd")&amp;"_"&amp;TEXT($B133*60+E$109,"0000"),RawData!$A$2:$G$30000,7,FALSE),
    Mapping!$A$4:$B$9,2,FALSE
  ),
"")</f>
        <v>침실B</v>
      </c>
      <c r="F133" s="51" t="str">
        <f>IFERROR(
  VLOOKUP(
    VLOOKUP(TEXT($B$3,"yyyymmdd")&amp;"_"&amp;TEXT($B133*60+F$109,"0000"),RawData!$A$2:$G$30000,7,FALSE),
    Mapping!$A$4:$B$9,2,FALSE
  ),
"")</f>
        <v>침실B</v>
      </c>
      <c r="G133" s="51" t="str">
        <f>IFERROR(
  VLOOKUP(
    VLOOKUP(TEXT($B$3,"yyyymmdd")&amp;"_"&amp;TEXT($B133*60+G$109,"0000"),RawData!$A$2:$G$30000,7,FALSE),
    Mapping!$A$4:$B$9,2,FALSE
  ),
"")</f>
        <v>침실B</v>
      </c>
      <c r="H133" s="51" t="str">
        <f>IFERROR(
  VLOOKUP(
    VLOOKUP(TEXT($B$3,"yyyymmdd")&amp;"_"&amp;TEXT($B133*60+H$109,"0000"),RawData!$A$2:$G$30000,7,FALSE),
    Mapping!$A$4:$B$9,2,FALSE
  ),
"")</f>
        <v>침실B</v>
      </c>
      <c r="I133" s="51" t="str">
        <f>IFERROR(
  VLOOKUP(
    VLOOKUP(TEXT($B$3,"yyyymmdd")&amp;"_"&amp;TEXT($B133*60+I$109,"0000"),RawData!$A$2:$G$30000,7,FALSE),
    Mapping!$A$4:$B$9,2,FALSE
  ),
"")</f>
        <v>침실B</v>
      </c>
      <c r="J133" s="51" t="str">
        <f>IFERROR(
  VLOOKUP(
    VLOOKUP(TEXT($B$3,"yyyymmdd")&amp;"_"&amp;TEXT($B133*60+J$109,"0000"),RawData!$A$2:$G$30000,7,FALSE),
    Mapping!$A$4:$B$9,2,FALSE
  ),
"")</f>
        <v>침실B</v>
      </c>
      <c r="K133" s="51" t="str">
        <f>IFERROR(
  VLOOKUP(
    VLOOKUP(TEXT($B$3,"yyyymmdd")&amp;"_"&amp;TEXT($B133*60+K$109,"0000"),RawData!$A$2:$G$30000,7,FALSE),
    Mapping!$A$4:$B$9,2,FALSE
  ),
"")</f>
        <v>침실B</v>
      </c>
      <c r="L133" s="51" t="str">
        <f>IFERROR(
  VLOOKUP(
    VLOOKUP(TEXT($B$3,"yyyymmdd")&amp;"_"&amp;TEXT($B133*60+L$109,"0000"),RawData!$A$2:$G$30000,7,FALSE),
    Mapping!$A$4:$B$9,2,FALSE
  ),
"")</f>
        <v>침실B</v>
      </c>
      <c r="M133" s="51" t="str">
        <f>IFERROR(
  VLOOKUP(
    VLOOKUP(TEXT($B$3,"yyyymmdd")&amp;"_"&amp;TEXT($B133*60+M$109,"0000"),RawData!$A$2:$G$30000,7,FALSE),
    Mapping!$A$4:$B$9,2,FALSE
  ),
"")</f>
        <v>침실B</v>
      </c>
      <c r="N133" s="51" t="str">
        <f>IFERROR(
  VLOOKUP(
    VLOOKUP(TEXT($B$3,"yyyymmdd")&amp;"_"&amp;TEXT($B133*60+N$109,"0000"),RawData!$A$2:$G$30000,7,FALSE),
    Mapping!$A$4:$B$9,2,FALSE
  ),
"")</f>
        <v>침실B</v>
      </c>
      <c r="O133" s="51" t="str">
        <f>IFERROR(
  VLOOKUP(
    VLOOKUP(TEXT($B$3,"yyyymmdd")&amp;"_"&amp;TEXT($B133*60+O$109,"0000"),RawData!$A$2:$G$30000,7,FALSE),
    Mapping!$A$4:$B$9,2,FALSE
  ),
"")</f>
        <v>주방</v>
      </c>
      <c r="P133" s="51" t="str">
        <f>IFERROR(
  VLOOKUP(
    VLOOKUP(TEXT($B$3,"yyyymmdd")&amp;"_"&amp;TEXT($B133*60+P$109,"0000"),RawData!$A$2:$G$30000,7,FALSE),
    Mapping!$A$4:$B$9,2,FALSE
  ),
"")</f>
        <v>주방</v>
      </c>
      <c r="Q133" s="51" t="str">
        <f>IFERROR(
  VLOOKUP(
    VLOOKUP(TEXT($B$3,"yyyymmdd")&amp;"_"&amp;TEXT($B133*60+Q$109,"0000"),RawData!$A$2:$G$30000,7,FALSE),
    Mapping!$A$4:$B$9,2,FALSE
  ),
"")</f>
        <v>침실B</v>
      </c>
      <c r="R133" s="51" t="str">
        <f>IFERROR(
  VLOOKUP(
    VLOOKUP(TEXT($B$3,"yyyymmdd")&amp;"_"&amp;TEXT($B133*60+R$109,"0000"),RawData!$A$2:$G$30000,7,FALSE),
    Mapping!$A$4:$B$9,2,FALSE
  ),
"")</f>
        <v>침실B</v>
      </c>
      <c r="S133" s="51" t="str">
        <f>IFERROR(
  VLOOKUP(
    VLOOKUP(TEXT($B$3,"yyyymmdd")&amp;"_"&amp;TEXT($B133*60+S$109,"0000"),RawData!$A$2:$G$30000,7,FALSE),
    Mapping!$A$4:$B$9,2,FALSE
  ),
"")</f>
        <v>침실B</v>
      </c>
      <c r="T133" s="51" t="str">
        <f>IFERROR(
  VLOOKUP(
    VLOOKUP(TEXT($B$3,"yyyymmdd")&amp;"_"&amp;TEXT($B133*60+T$109,"0000"),RawData!$A$2:$G$30000,7,FALSE),
    Mapping!$A$4:$B$9,2,FALSE
  ),
"")</f>
        <v>침실B</v>
      </c>
      <c r="U133" s="51" t="str">
        <f>IFERROR(
  VLOOKUP(
    VLOOKUP(TEXT($B$3,"yyyymmdd")&amp;"_"&amp;TEXT($B133*60+U$109,"0000"),RawData!$A$2:$G$30000,7,FALSE),
    Mapping!$A$4:$B$9,2,FALSE
  ),
"")</f>
        <v>침실B</v>
      </c>
      <c r="V133" s="51" t="str">
        <f>IFERROR(
  VLOOKUP(
    VLOOKUP(TEXT($B$3,"yyyymmdd")&amp;"_"&amp;TEXT($B133*60+V$109,"0000"),RawData!$A$2:$G$30000,7,FALSE),
    Mapping!$A$4:$B$9,2,FALSE
  ),
"")</f>
        <v>침실B</v>
      </c>
      <c r="W133" s="51" t="str">
        <f>IFERROR(
  VLOOKUP(
    VLOOKUP(TEXT($B$3,"yyyymmdd")&amp;"_"&amp;TEXT($B133*60+W$109,"0000"),RawData!$A$2:$G$30000,7,FALSE),
    Mapping!$A$4:$B$9,2,FALSE
  ),
"")</f>
        <v>침실B</v>
      </c>
      <c r="X133" s="51" t="str">
        <f>IFERROR(
  VLOOKUP(
    VLOOKUP(TEXT($B$3,"yyyymmdd")&amp;"_"&amp;TEXT($B133*60+X$109,"0000"),RawData!$A$2:$G$30000,7,FALSE),
    Mapping!$A$4:$B$9,2,FALSE
  ),
"")</f>
        <v>침실B</v>
      </c>
      <c r="Y133" s="51" t="str">
        <f>IFERROR(
  VLOOKUP(
    VLOOKUP(TEXT($B$3,"yyyymmdd")&amp;"_"&amp;TEXT($B133*60+Y$109,"0000"),RawData!$A$2:$G$30000,7,FALSE),
    Mapping!$A$4:$B$9,2,FALSE
  ),
"")</f>
        <v>침실B</v>
      </c>
      <c r="Z133" s="51" t="str">
        <f>IFERROR(
  VLOOKUP(
    VLOOKUP(TEXT($B$3,"yyyymmdd")&amp;"_"&amp;TEXT($B133*60+Z$109,"0000"),RawData!$A$2:$G$30000,7,FALSE),
    Mapping!$A$4:$B$9,2,FALSE
  ),
"")</f>
        <v>침실B</v>
      </c>
      <c r="AA133" s="51" t="str">
        <f>IFERROR(
  VLOOKUP(
    VLOOKUP(TEXT($B$3,"yyyymmdd")&amp;"_"&amp;TEXT($B133*60+AA$109,"0000"),RawData!$A$2:$G$30000,7,FALSE),
    Mapping!$A$4:$B$9,2,FALSE
  ),
"")</f>
        <v>침실B</v>
      </c>
      <c r="AB133" s="51" t="str">
        <f>IFERROR(
  VLOOKUP(
    VLOOKUP(TEXT($B$3,"yyyymmdd")&amp;"_"&amp;TEXT($B133*60+AB$109,"0000"),RawData!$A$2:$G$30000,7,FALSE),
    Mapping!$A$4:$B$9,2,FALSE
  ),
"")</f>
        <v>침실B</v>
      </c>
      <c r="AC133" s="51" t="str">
        <f>IFERROR(
  VLOOKUP(
    VLOOKUP(TEXT($B$3,"yyyymmdd")&amp;"_"&amp;TEXT($B133*60+AC$109,"0000"),RawData!$A$2:$G$30000,7,FALSE),
    Mapping!$A$4:$B$9,2,FALSE
  ),
"")</f>
        <v>침실B</v>
      </c>
      <c r="AD133" s="51" t="str">
        <f>IFERROR(
  VLOOKUP(
    VLOOKUP(TEXT($B$3,"yyyymmdd")&amp;"_"&amp;TEXT($B133*60+AD$109,"0000"),RawData!$A$2:$G$30000,7,FALSE),
    Mapping!$A$4:$B$9,2,FALSE
  ),
"")</f>
        <v>침실B</v>
      </c>
      <c r="AE133" s="51" t="str">
        <f>IFERROR(
  VLOOKUP(
    VLOOKUP(TEXT($B$3,"yyyymmdd")&amp;"_"&amp;TEXT($B133*60+AE$109,"0000"),RawData!$A$2:$G$30000,7,FALSE),
    Mapping!$A$4:$B$9,2,FALSE
  ),
"")</f>
        <v>침실B</v>
      </c>
      <c r="AF133" s="51" t="str">
        <f>IFERROR(
  VLOOKUP(
    VLOOKUP(TEXT($B$3,"yyyymmdd")&amp;"_"&amp;TEXT($B133*60+AF$109,"0000"),RawData!$A$2:$G$30000,7,FALSE),
    Mapping!$A$4:$B$9,2,FALSE
  ),
"")</f>
        <v>침실B</v>
      </c>
      <c r="AG133" s="51" t="str">
        <f>IFERROR(
  VLOOKUP(
    VLOOKUP(TEXT($B$3,"yyyymmdd")&amp;"_"&amp;TEXT($B133*60+AG$109,"0000"),RawData!$A$2:$G$30000,7,FALSE),
    Mapping!$A$4:$B$9,2,FALSE
  ),
"")</f>
        <v>침실B</v>
      </c>
      <c r="AH133" s="51" t="str">
        <f>IFERROR(
  VLOOKUP(
    VLOOKUP(TEXT($B$3,"yyyymmdd")&amp;"_"&amp;TEXT($B133*60+AH$109,"0000"),RawData!$A$2:$G$30000,7,FALSE),
    Mapping!$A$4:$B$9,2,FALSE
  ),
"")</f>
        <v>화장실</v>
      </c>
      <c r="AI133" s="51" t="str">
        <f>IFERROR(
  VLOOKUP(
    VLOOKUP(TEXT($B$3,"yyyymmdd")&amp;"_"&amp;TEXT($B133*60+AI$109,"0000"),RawData!$A$2:$G$30000,7,FALSE),
    Mapping!$A$4:$B$9,2,FALSE
  ),
"")</f>
        <v>거실A</v>
      </c>
      <c r="AJ133" s="51" t="str">
        <f>IFERROR(
  VLOOKUP(
    VLOOKUP(TEXT($B$3,"yyyymmdd")&amp;"_"&amp;TEXT($B133*60+AJ$109,"0000"),RawData!$A$2:$G$30000,7,FALSE),
    Mapping!$A$4:$B$9,2,FALSE
  ),
"")</f>
        <v>거실A</v>
      </c>
      <c r="AK133" s="51" t="str">
        <f>IFERROR(
  VLOOKUP(
    VLOOKUP(TEXT($B$3,"yyyymmdd")&amp;"_"&amp;TEXT($B133*60+AK$109,"0000"),RawData!$A$2:$G$30000,7,FALSE),
    Mapping!$A$4:$B$9,2,FALSE
  ),
"")</f>
        <v>주방</v>
      </c>
      <c r="AL133" s="51" t="str">
        <f>IFERROR(
  VLOOKUP(
    VLOOKUP(TEXT($B$3,"yyyymmdd")&amp;"_"&amp;TEXT($B133*60+AL$109,"0000"),RawData!$A$2:$G$30000,7,FALSE),
    Mapping!$A$4:$B$9,2,FALSE
  ),
"")</f>
        <v>거실A</v>
      </c>
      <c r="AM133" s="51" t="str">
        <f>IFERROR(
  VLOOKUP(
    VLOOKUP(TEXT($B$3,"yyyymmdd")&amp;"_"&amp;TEXT($B133*60+AM$109,"0000"),RawData!$A$2:$G$30000,7,FALSE),
    Mapping!$A$4:$B$9,2,FALSE
  ),
"")</f>
        <v>거실A</v>
      </c>
      <c r="AN133" s="51" t="str">
        <f>IFERROR(
  VLOOKUP(
    VLOOKUP(TEXT($B$3,"yyyymmdd")&amp;"_"&amp;TEXT($B133*60+AN$109,"0000"),RawData!$A$2:$G$30000,7,FALSE),
    Mapping!$A$4:$B$9,2,FALSE
  ),
"")</f>
        <v>거실A</v>
      </c>
      <c r="AO133" s="51" t="str">
        <f>IFERROR(
  VLOOKUP(
    VLOOKUP(TEXT($B$3,"yyyymmdd")&amp;"_"&amp;TEXT($B133*60+AO$109,"0000"),RawData!$A$2:$G$30000,7,FALSE),
    Mapping!$A$4:$B$9,2,FALSE
  ),
"")</f>
        <v>거실A</v>
      </c>
      <c r="AP133" s="51" t="str">
        <f>IFERROR(
  VLOOKUP(
    VLOOKUP(TEXT($B$3,"yyyymmdd")&amp;"_"&amp;TEXT($B133*60+AP$109,"0000"),RawData!$A$2:$G$30000,7,FALSE),
    Mapping!$A$4:$B$9,2,FALSE
  ),
"")</f>
        <v>거실A</v>
      </c>
      <c r="AQ133" s="51" t="str">
        <f>IFERROR(
  VLOOKUP(
    VLOOKUP(TEXT($B$3,"yyyymmdd")&amp;"_"&amp;TEXT($B133*60+AQ$109,"0000"),RawData!$A$2:$G$30000,7,FALSE),
    Mapping!$A$4:$B$9,2,FALSE
  ),
"")</f>
        <v>거실A</v>
      </c>
      <c r="AR133" s="51" t="str">
        <f>IFERROR(
  VLOOKUP(
    VLOOKUP(TEXT($B$3,"yyyymmdd")&amp;"_"&amp;TEXT($B133*60+AR$109,"0000"),RawData!$A$2:$G$30000,7,FALSE),
    Mapping!$A$4:$B$9,2,FALSE
  ),
"")</f>
        <v>침실B</v>
      </c>
      <c r="AS133" s="51" t="str">
        <f>IFERROR(
  VLOOKUP(
    VLOOKUP(TEXT($B$3,"yyyymmdd")&amp;"_"&amp;TEXT($B133*60+AS$109,"0000"),RawData!$A$2:$G$30000,7,FALSE),
    Mapping!$A$4:$B$9,2,FALSE
  ),
"")</f>
        <v>침실B</v>
      </c>
      <c r="AT133" s="51" t="str">
        <f>IFERROR(
  VLOOKUP(
    VLOOKUP(TEXT($B$3,"yyyymmdd")&amp;"_"&amp;TEXT($B133*60+AT$109,"0000"),RawData!$A$2:$G$30000,7,FALSE),
    Mapping!$A$4:$B$9,2,FALSE
  ),
"")</f>
        <v>침실B</v>
      </c>
      <c r="AU133" s="51" t="str">
        <f>IFERROR(
  VLOOKUP(
    VLOOKUP(TEXT($B$3,"yyyymmdd")&amp;"_"&amp;TEXT($B133*60+AU$109,"0000"),RawData!$A$2:$G$30000,7,FALSE),
    Mapping!$A$4:$B$9,2,FALSE
  ),
"")</f>
        <v>침실B</v>
      </c>
      <c r="AV133" s="51" t="str">
        <f>IFERROR(
  VLOOKUP(
    VLOOKUP(TEXT($B$3,"yyyymmdd")&amp;"_"&amp;TEXT($B133*60+AV$109,"0000"),RawData!$A$2:$G$30000,7,FALSE),
    Mapping!$A$4:$B$9,2,FALSE
  ),
"")</f>
        <v>거실A</v>
      </c>
      <c r="AW133" s="51" t="str">
        <f>IFERROR(
  VLOOKUP(
    VLOOKUP(TEXT($B$3,"yyyymmdd")&amp;"_"&amp;TEXT($B133*60+AW$109,"0000"),RawData!$A$2:$G$30000,7,FALSE),
    Mapping!$A$4:$B$9,2,FALSE
  ),
"")</f>
        <v>거실A</v>
      </c>
      <c r="AX133" s="51" t="str">
        <f>IFERROR(
  VLOOKUP(
    VLOOKUP(TEXT($B$3,"yyyymmdd")&amp;"_"&amp;TEXT($B133*60+AX$109,"0000"),RawData!$A$2:$G$30000,7,FALSE),
    Mapping!$A$4:$B$9,2,FALSE
  ),
"")</f>
        <v>거실A</v>
      </c>
      <c r="AY133" s="51" t="str">
        <f>IFERROR(
  VLOOKUP(
    VLOOKUP(TEXT($B$3,"yyyymmdd")&amp;"_"&amp;TEXT($B133*60+AY$109,"0000"),RawData!$A$2:$G$30000,7,FALSE),
    Mapping!$A$4:$B$9,2,FALSE
  ),
"")</f>
        <v>침실B</v>
      </c>
      <c r="AZ133" s="51" t="str">
        <f>IFERROR(
  VLOOKUP(
    VLOOKUP(TEXT($B$3,"yyyymmdd")&amp;"_"&amp;TEXT($B133*60+AZ$109,"0000"),RawData!$A$2:$G$30000,7,FALSE),
    Mapping!$A$4:$B$9,2,FALSE
  ),
"")</f>
        <v>침실B</v>
      </c>
      <c r="BA133" s="51" t="str">
        <f>IFERROR(
  VLOOKUP(
    VLOOKUP(TEXT($B$3,"yyyymmdd")&amp;"_"&amp;TEXT($B133*60+BA$109,"0000"),RawData!$A$2:$G$30000,7,FALSE),
    Mapping!$A$4:$B$9,2,FALSE
  ),
"")</f>
        <v>침실B</v>
      </c>
      <c r="BB133" s="51" t="str">
        <f>IFERROR(
  VLOOKUP(
    VLOOKUP(TEXT($B$3,"yyyymmdd")&amp;"_"&amp;TEXT($B133*60+BB$109,"0000"),RawData!$A$2:$G$30000,7,FALSE),
    Mapping!$A$4:$B$9,2,FALSE
  ),
"")</f>
        <v>침실B</v>
      </c>
      <c r="BC133" s="51" t="str">
        <f>IFERROR(
  VLOOKUP(
    VLOOKUP(TEXT($B$3,"yyyymmdd")&amp;"_"&amp;TEXT($B133*60+BC$109,"0000"),RawData!$A$2:$G$30000,7,FALSE),
    Mapping!$A$4:$B$9,2,FALSE
  ),
"")</f>
        <v>침실B</v>
      </c>
      <c r="BD133" s="51" t="str">
        <f>IFERROR(
  VLOOKUP(
    VLOOKUP(TEXT($B$3,"yyyymmdd")&amp;"_"&amp;TEXT($B133*60+BD$109,"0000"),RawData!$A$2:$G$30000,7,FALSE),
    Mapping!$A$4:$B$9,2,FALSE
  ),
"")</f>
        <v>침실B</v>
      </c>
      <c r="BE133" s="51" t="str">
        <f>IFERROR(
  VLOOKUP(
    VLOOKUP(TEXT($B$3,"yyyymmdd")&amp;"_"&amp;TEXT($B133*60+BE$109,"0000"),RawData!$A$2:$G$30000,7,FALSE),
    Mapping!$A$4:$B$9,2,FALSE
  ),
"")</f>
        <v>침실B</v>
      </c>
      <c r="BF133" s="51" t="str">
        <f>IFERROR(
  VLOOKUP(
    VLOOKUP(TEXT($B$3,"yyyymmdd")&amp;"_"&amp;TEXT($B133*60+BF$109,"0000"),RawData!$A$2:$G$30000,7,FALSE),
    Mapping!$A$4:$B$9,2,FALSE
  ),
"")</f>
        <v>침실B</v>
      </c>
      <c r="BG133" s="51" t="str">
        <f>IFERROR(
  VLOOKUP(
    VLOOKUP(TEXT($B$3,"yyyymmdd")&amp;"_"&amp;TEXT($B133*60+BG$109,"0000"),RawData!$A$2:$G$30000,7,FALSE),
    Mapping!$A$4:$B$9,2,FALSE
  ),
"")</f>
        <v>거실A</v>
      </c>
      <c r="BH133" s="51" t="str">
        <f>IFERROR(
  VLOOKUP(
    VLOOKUP(TEXT($B$3,"yyyymmdd")&amp;"_"&amp;TEXT($B133*60+BH$109,"0000"),RawData!$A$2:$G$30000,7,FALSE),
    Mapping!$A$4:$B$9,2,FALSE
  ),
"")</f>
        <v>침실B</v>
      </c>
      <c r="BI133" s="51" t="str">
        <f>IFERROR(
  VLOOKUP(
    VLOOKUP(TEXT($B$3,"yyyymmdd")&amp;"_"&amp;TEXT($B133*60+BI$109,"0000"),RawData!$A$2:$G$30000,7,FALSE),
    Mapping!$A$4:$B$9,2,FALSE
  ),
"")</f>
        <v>침실B</v>
      </c>
      <c r="BJ133" s="51" t="str">
        <f>IFERROR(
  VLOOKUP(
    VLOOKUP(TEXT($B$3,"yyyymmdd")&amp;"_"&amp;TEXT($B133*60+BJ$109,"0000"),RawData!$A$2:$G$30000,7,FALSE),
    Mapping!$A$4:$B$9,2,FALSE
  ),
"")</f>
        <v>침실B</v>
      </c>
      <c r="BK133" s="4" t="str">
        <f>IFERROR(VLOOKUP(TEXT($B$3,"yyyymmdd")&amp;"_"&amp;TEXT(122,"0000"),RawData!$A$2:$F$1441,4,FALSE),"")</f>
        <v>01</v>
      </c>
      <c r="BL133" s="19">
        <f>TIME(0,0,0)+122/1440</f>
        <v>8.4722222222222227E-2</v>
      </c>
      <c r="BM133" s="4">
        <f>IFERROR(VLOOKUP(TEXT($B$3,"yyyymmdd")&amp;"_"&amp;TEXT(122,"0000"),RawData!$A$2:$F$1441,5,FALSE),"")</f>
        <v>0</v>
      </c>
      <c r="BN133" s="4">
        <f t="shared" si="2"/>
        <v>0</v>
      </c>
    </row>
    <row r="134" spans="2:66" x14ac:dyDescent="0.6">
      <c r="BK134" s="4" t="str">
        <f>IFERROR(VLOOKUP(TEXT($B$3,"yyyymmdd")&amp;"_"&amp;TEXT(123,"0000"),RawData!$A$2:$F$1441,4,FALSE),"")</f>
        <v>01</v>
      </c>
      <c r="BL134" s="19">
        <f>TIME(0,0,0)+123/1440</f>
        <v>8.5416666666666669E-2</v>
      </c>
      <c r="BM134" s="4">
        <f>IFERROR(VLOOKUP(TEXT($B$3,"yyyymmdd")&amp;"_"&amp;TEXT(123,"0000"),RawData!$A$2:$F$1441,5,FALSE),"")</f>
        <v>0</v>
      </c>
      <c r="BN134" s="4">
        <f t="shared" si="2"/>
        <v>0</v>
      </c>
    </row>
    <row r="135" spans="2:66" x14ac:dyDescent="0.6">
      <c r="BK135" s="4" t="str">
        <f>IFERROR(VLOOKUP(TEXT($B$3,"yyyymmdd")&amp;"_"&amp;TEXT(124,"0000"),RawData!$A$2:$F$1441,4,FALSE),"")</f>
        <v>01</v>
      </c>
      <c r="BL135" s="19">
        <f>TIME(0,0,0)+124/1440</f>
        <v>8.611111111111111E-2</v>
      </c>
      <c r="BM135" s="4">
        <f>IFERROR(VLOOKUP(TEXT($B$3,"yyyymmdd")&amp;"_"&amp;TEXT(124,"0000"),RawData!$A$2:$F$1441,5,FALSE),"")</f>
        <v>0</v>
      </c>
      <c r="BN135" s="4">
        <f t="shared" si="2"/>
        <v>1</v>
      </c>
    </row>
    <row r="136" spans="2:66" x14ac:dyDescent="0.6">
      <c r="BK136" s="4" t="str">
        <f>IFERROR(VLOOKUP(TEXT($B$3,"yyyymmdd")&amp;"_"&amp;TEXT(125,"0000"),RawData!$A$2:$F$1441,4,FALSE),"")</f>
        <v>01</v>
      </c>
      <c r="BL136" s="19">
        <f>TIME(0,0,0)+125/1440</f>
        <v>8.6805555555555552E-2</v>
      </c>
      <c r="BM136" s="4">
        <f>IFERROR(VLOOKUP(TEXT($B$3,"yyyymmdd")&amp;"_"&amp;TEXT(125,"0000"),RawData!$A$2:$F$1441,5,FALSE),"")</f>
        <v>0</v>
      </c>
      <c r="BN136" s="4">
        <f t="shared" si="2"/>
        <v>0</v>
      </c>
    </row>
    <row r="137" spans="2:66" x14ac:dyDescent="0.6">
      <c r="BK137" s="4" t="str">
        <f>IFERROR(VLOOKUP(TEXT($B$3,"yyyymmdd")&amp;"_"&amp;TEXT(126,"0000"),RawData!$A$2:$F$1441,4,FALSE),"")</f>
        <v>01</v>
      </c>
      <c r="BL137" s="19">
        <f>TIME(0,0,0)+126/1440</f>
        <v>8.7499999999999994E-2</v>
      </c>
      <c r="BM137" s="4">
        <f>IFERROR(VLOOKUP(TEXT($B$3,"yyyymmdd")&amp;"_"&amp;TEXT(126,"0000"),RawData!$A$2:$F$1441,5,FALSE),"")</f>
        <v>0</v>
      </c>
      <c r="BN137" s="4">
        <f t="shared" si="2"/>
        <v>0</v>
      </c>
    </row>
    <row r="138" spans="2:66" x14ac:dyDescent="0.6">
      <c r="BK138" s="4" t="str">
        <f>IFERROR(VLOOKUP(TEXT($B$3,"yyyymmdd")&amp;"_"&amp;TEXT(127,"0000"),RawData!$A$2:$F$1441,4,FALSE),"")</f>
        <v>01</v>
      </c>
      <c r="BL138" s="19">
        <f>TIME(0,0,0)+127/1440</f>
        <v>8.819444444444445E-2</v>
      </c>
      <c r="BM138" s="4">
        <f>IFERROR(VLOOKUP(TEXT($B$3,"yyyymmdd")&amp;"_"&amp;TEXT(127,"0000"),RawData!$A$2:$F$1441,5,FALSE),"")</f>
        <v>0</v>
      </c>
      <c r="BN138" s="4">
        <f t="shared" si="2"/>
        <v>0</v>
      </c>
    </row>
    <row r="139" spans="2:66" x14ac:dyDescent="0.6">
      <c r="BK139" s="4" t="str">
        <f>IFERROR(VLOOKUP(TEXT($B$3,"yyyymmdd")&amp;"_"&amp;TEXT(128,"0000"),RawData!$A$2:$F$1441,4,FALSE),"")</f>
        <v>01</v>
      </c>
      <c r="BL139" s="19">
        <f>TIME(0,0,0)+128/1440</f>
        <v>8.8888888888888892E-2</v>
      </c>
      <c r="BM139" s="4">
        <f>IFERROR(VLOOKUP(TEXT($B$3,"yyyymmdd")&amp;"_"&amp;TEXT(128,"0000"),RawData!$A$2:$F$1441,5,FALSE),"")</f>
        <v>0</v>
      </c>
      <c r="BN139" s="4">
        <f t="shared" si="2"/>
        <v>0</v>
      </c>
    </row>
    <row r="140" spans="2:66" x14ac:dyDescent="0.6">
      <c r="BK140" s="4" t="str">
        <f>IFERROR(VLOOKUP(TEXT($B$3,"yyyymmdd")&amp;"_"&amp;TEXT(129,"0000"),RawData!$A$2:$F$1441,4,FALSE),"")</f>
        <v>01</v>
      </c>
      <c r="BL140" s="19">
        <f>TIME(0,0,0)+129/1440</f>
        <v>8.9583333333333334E-2</v>
      </c>
      <c r="BM140" s="4">
        <f>IFERROR(VLOOKUP(TEXT($B$3,"yyyymmdd")&amp;"_"&amp;TEXT(129,"0000"),RawData!$A$2:$F$1441,5,FALSE),"")</f>
        <v>0</v>
      </c>
      <c r="BN140" s="4">
        <f t="shared" si="2"/>
        <v>0</v>
      </c>
    </row>
    <row r="141" spans="2:66" x14ac:dyDescent="0.6">
      <c r="BK141" s="4" t="str">
        <f>IFERROR(VLOOKUP(TEXT($B$3,"yyyymmdd")&amp;"_"&amp;TEXT(130,"0000"),RawData!$A$2:$F$1441,4,FALSE),"")</f>
        <v>01</v>
      </c>
      <c r="BL141" s="19">
        <f>TIME(0,0,0)+130/1440</f>
        <v>9.0277777777777776E-2</v>
      </c>
      <c r="BM141" s="4">
        <f>IFERROR(VLOOKUP(TEXT($B$3,"yyyymmdd")&amp;"_"&amp;TEXT(130,"0000"),RawData!$A$2:$F$1441,5,FALSE),"")</f>
        <v>0</v>
      </c>
      <c r="BN141" s="4">
        <f t="shared" si="2"/>
        <v>0</v>
      </c>
    </row>
    <row r="142" spans="2:66" x14ac:dyDescent="0.6">
      <c r="BK142" s="4" t="str">
        <f>IFERROR(VLOOKUP(TEXT($B$3,"yyyymmdd")&amp;"_"&amp;TEXT(131,"0000"),RawData!$A$2:$F$1441,4,FALSE),"")</f>
        <v>01</v>
      </c>
      <c r="BL142" s="19">
        <f>TIME(0,0,0)+131/1440</f>
        <v>9.0972222222222218E-2</v>
      </c>
      <c r="BM142" s="4">
        <f>IFERROR(VLOOKUP(TEXT($B$3,"yyyymmdd")&amp;"_"&amp;TEXT(131,"0000"),RawData!$A$2:$F$1441,5,FALSE),"")</f>
        <v>0</v>
      </c>
      <c r="BN142" s="4">
        <f t="shared" si="2"/>
        <v>0</v>
      </c>
    </row>
    <row r="143" spans="2:66" x14ac:dyDescent="0.6">
      <c r="BK143" s="4" t="str">
        <f>IFERROR(VLOOKUP(TEXT($B$3,"yyyymmdd")&amp;"_"&amp;TEXT(132,"0000"),RawData!$A$2:$F$1441,4,FALSE),"")</f>
        <v>01</v>
      </c>
      <c r="BL143" s="19">
        <f>TIME(0,0,0)+132/1440</f>
        <v>9.166666666666666E-2</v>
      </c>
      <c r="BM143" s="4">
        <f>IFERROR(VLOOKUP(TEXT($B$3,"yyyymmdd")&amp;"_"&amp;TEXT(132,"0000"),RawData!$A$2:$F$1441,5,FALSE),"")</f>
        <v>0</v>
      </c>
      <c r="BN143" s="4">
        <f t="shared" si="2"/>
        <v>0</v>
      </c>
    </row>
    <row r="144" spans="2:66" x14ac:dyDescent="0.6">
      <c r="BK144" s="4" t="str">
        <f>IFERROR(VLOOKUP(TEXT($B$3,"yyyymmdd")&amp;"_"&amp;TEXT(133,"0000"),RawData!$A$2:$F$1441,4,FALSE),"")</f>
        <v>00</v>
      </c>
      <c r="BL144" s="19">
        <f>TIME(0,0,0)+133/1440</f>
        <v>9.2361111111111116E-2</v>
      </c>
      <c r="BM144" s="4">
        <f>IFERROR(VLOOKUP(TEXT($B$3,"yyyymmdd")&amp;"_"&amp;TEXT(133,"0000"),RawData!$A$2:$F$1441,5,FALSE),"")</f>
        <v>0</v>
      </c>
      <c r="BN144" s="4">
        <f t="shared" si="2"/>
        <v>1</v>
      </c>
    </row>
    <row r="145" spans="63:66" x14ac:dyDescent="0.6">
      <c r="BK145" s="4" t="str">
        <f>IFERROR(VLOOKUP(TEXT($B$3,"yyyymmdd")&amp;"_"&amp;TEXT(134,"0000"),RawData!$A$2:$F$1441,4,FALSE),"")</f>
        <v>01</v>
      </c>
      <c r="BL145" s="19">
        <f>TIME(0,0,0)+134/1440</f>
        <v>9.3055555555555558E-2</v>
      </c>
      <c r="BM145" s="4">
        <f>IFERROR(VLOOKUP(TEXT($B$3,"yyyymmdd")&amp;"_"&amp;TEXT(134,"0000"),RawData!$A$2:$F$1441,5,FALSE),"")</f>
        <v>0</v>
      </c>
      <c r="BN145" s="4">
        <f t="shared" si="2"/>
        <v>0</v>
      </c>
    </row>
    <row r="146" spans="63:66" x14ac:dyDescent="0.6">
      <c r="BK146" s="4" t="str">
        <f>IFERROR(VLOOKUP(TEXT($B$3,"yyyymmdd")&amp;"_"&amp;TEXT(135,"0000"),RawData!$A$2:$F$1441,4,FALSE),"")</f>
        <v>01</v>
      </c>
      <c r="BL146" s="19">
        <f>TIME(0,0,0)+135/1440</f>
        <v>9.375E-2</v>
      </c>
      <c r="BM146" s="4">
        <f>IFERROR(VLOOKUP(TEXT($B$3,"yyyymmdd")&amp;"_"&amp;TEXT(135,"0000"),RawData!$A$2:$F$1441,5,FALSE),"")</f>
        <v>0</v>
      </c>
      <c r="BN146" s="4">
        <f t="shared" si="2"/>
        <v>0</v>
      </c>
    </row>
    <row r="147" spans="63:66" x14ac:dyDescent="0.6">
      <c r="BK147" s="4" t="str">
        <f>IFERROR(VLOOKUP(TEXT($B$3,"yyyymmdd")&amp;"_"&amp;TEXT(136,"0000"),RawData!$A$2:$F$1441,4,FALSE),"")</f>
        <v>01</v>
      </c>
      <c r="BL147" s="19">
        <f>TIME(0,0,0)+136/1440</f>
        <v>9.4444444444444442E-2</v>
      </c>
      <c r="BM147" s="4">
        <f>IFERROR(VLOOKUP(TEXT($B$3,"yyyymmdd")&amp;"_"&amp;TEXT(136,"0000"),RawData!$A$2:$F$1441,5,FALSE),"")</f>
        <v>0</v>
      </c>
      <c r="BN147" s="4">
        <f t="shared" si="2"/>
        <v>0</v>
      </c>
    </row>
    <row r="148" spans="63:66" x14ac:dyDescent="0.6">
      <c r="BK148" s="4" t="str">
        <f>IFERROR(VLOOKUP(TEXT($B$3,"yyyymmdd")&amp;"_"&amp;TEXT(137,"0000"),RawData!$A$2:$F$1441,4,FALSE),"")</f>
        <v>01</v>
      </c>
      <c r="BL148" s="19">
        <f>TIME(0,0,0)+137/1440</f>
        <v>9.5138888888888884E-2</v>
      </c>
      <c r="BM148" s="4">
        <f>IFERROR(VLOOKUP(TEXT($B$3,"yyyymmdd")&amp;"_"&amp;TEXT(137,"0000"),RawData!$A$2:$F$1441,5,FALSE),"")</f>
        <v>0</v>
      </c>
      <c r="BN148" s="4">
        <f t="shared" si="2"/>
        <v>0</v>
      </c>
    </row>
    <row r="149" spans="63:66" x14ac:dyDescent="0.6">
      <c r="BK149" s="4" t="str">
        <f>IFERROR(VLOOKUP(TEXT($B$3,"yyyymmdd")&amp;"_"&amp;TEXT(138,"0000"),RawData!$A$2:$F$1441,4,FALSE),"")</f>
        <v>01</v>
      </c>
      <c r="BL149" s="19">
        <f>TIME(0,0,0)+138/1440</f>
        <v>9.583333333333334E-2</v>
      </c>
      <c r="BM149" s="4">
        <f>IFERROR(VLOOKUP(TEXT($B$3,"yyyymmdd")&amp;"_"&amp;TEXT(138,"0000"),RawData!$A$2:$F$1441,5,FALSE),"")</f>
        <v>0</v>
      </c>
      <c r="BN149" s="4">
        <f t="shared" si="2"/>
        <v>1</v>
      </c>
    </row>
    <row r="150" spans="63:66" x14ac:dyDescent="0.6">
      <c r="BK150" s="4" t="str">
        <f>IFERROR(VLOOKUP(TEXT($B$3,"yyyymmdd")&amp;"_"&amp;TEXT(139,"0000"),RawData!$A$2:$F$1441,4,FALSE),"")</f>
        <v>01</v>
      </c>
      <c r="BL150" s="19">
        <f>TIME(0,0,0)+139/1440</f>
        <v>9.6527777777777782E-2</v>
      </c>
      <c r="BM150" s="4">
        <f>IFERROR(VLOOKUP(TEXT($B$3,"yyyymmdd")&amp;"_"&amp;TEXT(139,"0000"),RawData!$A$2:$F$1441,5,FALSE),"")</f>
        <v>0</v>
      </c>
      <c r="BN150" s="4">
        <f t="shared" si="2"/>
        <v>0</v>
      </c>
    </row>
    <row r="151" spans="63:66" x14ac:dyDescent="0.6">
      <c r="BK151" s="4" t="str">
        <f>IFERROR(VLOOKUP(TEXT($B$3,"yyyymmdd")&amp;"_"&amp;TEXT(140,"0000"),RawData!$A$2:$F$1441,4,FALSE),"")</f>
        <v>01</v>
      </c>
      <c r="BL151" s="19">
        <f>TIME(0,0,0)+140/1440</f>
        <v>9.7222222222222224E-2</v>
      </c>
      <c r="BM151" s="4">
        <f>IFERROR(VLOOKUP(TEXT($B$3,"yyyymmdd")&amp;"_"&amp;TEXT(140,"0000"),RawData!$A$2:$F$1441,5,FALSE),"")</f>
        <v>0</v>
      </c>
      <c r="BN151" s="4">
        <f t="shared" si="2"/>
        <v>0</v>
      </c>
    </row>
    <row r="152" spans="63:66" x14ac:dyDescent="0.6">
      <c r="BK152" s="4" t="str">
        <f>IFERROR(VLOOKUP(TEXT($B$3,"yyyymmdd")&amp;"_"&amp;TEXT(141,"0000"),RawData!$A$2:$F$1441,4,FALSE),"")</f>
        <v>01</v>
      </c>
      <c r="BL152" s="19">
        <f>TIME(0,0,0)+141/1440</f>
        <v>9.7916666666666666E-2</v>
      </c>
      <c r="BM152" s="4">
        <f>IFERROR(VLOOKUP(TEXT($B$3,"yyyymmdd")&amp;"_"&amp;TEXT(141,"0000"),RawData!$A$2:$F$1441,5,FALSE),"")</f>
        <v>0</v>
      </c>
      <c r="BN152" s="4">
        <f t="shared" si="2"/>
        <v>0</v>
      </c>
    </row>
    <row r="153" spans="63:66" x14ac:dyDescent="0.6">
      <c r="BK153" s="4" t="str">
        <f>IFERROR(VLOOKUP(TEXT($B$3,"yyyymmdd")&amp;"_"&amp;TEXT(142,"0000"),RawData!$A$2:$F$1441,4,FALSE),"")</f>
        <v>01</v>
      </c>
      <c r="BL153" s="19">
        <f>TIME(0,0,0)+142/1440</f>
        <v>9.8611111111111108E-2</v>
      </c>
      <c r="BM153" s="4">
        <f>IFERROR(VLOOKUP(TEXT($B$3,"yyyymmdd")&amp;"_"&amp;TEXT(142,"0000"),RawData!$A$2:$F$1441,5,FALSE),"")</f>
        <v>0</v>
      </c>
      <c r="BN153" s="4">
        <f t="shared" si="2"/>
        <v>0</v>
      </c>
    </row>
    <row r="154" spans="63:66" x14ac:dyDescent="0.6">
      <c r="BK154" s="4" t="str">
        <f>IFERROR(VLOOKUP(TEXT($B$3,"yyyymmdd")&amp;"_"&amp;TEXT(143,"0000"),RawData!$A$2:$F$1441,4,FALSE),"")</f>
        <v>01</v>
      </c>
      <c r="BL154" s="19">
        <f>TIME(0,0,0)+143/1440</f>
        <v>9.930555555555555E-2</v>
      </c>
      <c r="BM154" s="4">
        <f>IFERROR(VLOOKUP(TEXT($B$3,"yyyymmdd")&amp;"_"&amp;TEXT(143,"0000"),RawData!$A$2:$F$1441,5,FALSE),"")</f>
        <v>0</v>
      </c>
      <c r="BN154" s="4">
        <f t="shared" si="2"/>
        <v>0</v>
      </c>
    </row>
    <row r="155" spans="63:66" x14ac:dyDescent="0.6">
      <c r="BK155" s="4" t="str">
        <f>IFERROR(VLOOKUP(TEXT($B$3,"yyyymmdd")&amp;"_"&amp;TEXT(144,"0000"),RawData!$A$2:$F$1441,4,FALSE),"")</f>
        <v>00</v>
      </c>
      <c r="BL155" s="19">
        <f>TIME(0,0,0)+144/1440</f>
        <v>0.1</v>
      </c>
      <c r="BM155" s="4">
        <f>IFERROR(VLOOKUP(TEXT($B$3,"yyyymmdd")&amp;"_"&amp;TEXT(144,"0000"),RawData!$A$2:$F$1441,5,FALSE),"")</f>
        <v>0</v>
      </c>
      <c r="BN155" s="4">
        <f t="shared" si="2"/>
        <v>1</v>
      </c>
    </row>
    <row r="156" spans="63:66" x14ac:dyDescent="0.6">
      <c r="BK156" s="4" t="str">
        <f>IFERROR(VLOOKUP(TEXT($B$3,"yyyymmdd")&amp;"_"&amp;TEXT(145,"0000"),RawData!$A$2:$F$1441,4,FALSE),"")</f>
        <v>0A</v>
      </c>
      <c r="BL156" s="19">
        <f>TIME(0,0,0)+145/1440</f>
        <v>0.10069444444444445</v>
      </c>
      <c r="BM156" s="4">
        <f>IFERROR(VLOOKUP(TEXT($B$3,"yyyymmdd")&amp;"_"&amp;TEXT(145,"0000"),RawData!$A$2:$F$1441,5,FALSE),"")</f>
        <v>0</v>
      </c>
      <c r="BN156" s="4">
        <f t="shared" si="2"/>
        <v>1</v>
      </c>
    </row>
    <row r="157" spans="63:66" x14ac:dyDescent="0.6">
      <c r="BK157" s="4" t="str">
        <f>IFERROR(VLOOKUP(TEXT($B$3,"yyyymmdd")&amp;"_"&amp;TEXT(146,"0000"),RawData!$A$2:$F$1441,4,FALSE),"")</f>
        <v>00</v>
      </c>
      <c r="BL157" s="19">
        <f>TIME(0,0,0)+146/1440</f>
        <v>0.10138888888888889</v>
      </c>
      <c r="BM157" s="4">
        <f>IFERROR(VLOOKUP(TEXT($B$3,"yyyymmdd")&amp;"_"&amp;TEXT(146,"0000"),RawData!$A$2:$F$1441,5,FALSE),"")</f>
        <v>0</v>
      </c>
      <c r="BN157" s="4">
        <f t="shared" si="2"/>
        <v>1</v>
      </c>
    </row>
    <row r="158" spans="63:66" x14ac:dyDescent="0.6">
      <c r="BK158" s="4" t="str">
        <f>IFERROR(VLOOKUP(TEXT($B$3,"yyyymmdd")&amp;"_"&amp;TEXT(147,"0000"),RawData!$A$2:$F$1441,4,FALSE),"")</f>
        <v>00</v>
      </c>
      <c r="BL158" s="19">
        <f>TIME(0,0,0)+147/1440</f>
        <v>0.10208333333333333</v>
      </c>
      <c r="BM158" s="4">
        <f>IFERROR(VLOOKUP(TEXT($B$3,"yyyymmdd")&amp;"_"&amp;TEXT(147,"0000"),RawData!$A$2:$F$1441,5,FALSE),"")</f>
        <v>0</v>
      </c>
      <c r="BN158" s="4">
        <f t="shared" si="2"/>
        <v>1</v>
      </c>
    </row>
    <row r="159" spans="63:66" x14ac:dyDescent="0.6">
      <c r="BK159" s="4" t="str">
        <f>IFERROR(VLOOKUP(TEXT($B$3,"yyyymmdd")&amp;"_"&amp;TEXT(148,"0000"),RawData!$A$2:$F$1441,4,FALSE),"")</f>
        <v>00</v>
      </c>
      <c r="BL159" s="19">
        <f>TIME(0,0,0)+148/1440</f>
        <v>0.10277777777777777</v>
      </c>
      <c r="BM159" s="4">
        <f>IFERROR(VLOOKUP(TEXT($B$3,"yyyymmdd")&amp;"_"&amp;TEXT(148,"0000"),RawData!$A$2:$F$1441,5,FALSE),"")</f>
        <v>0</v>
      </c>
      <c r="BN159" s="4">
        <f t="shared" ref="BN159:BN175" si="3">IF(BK159="","",IF(BK159&lt;&gt;BK154,1,0))</f>
        <v>1</v>
      </c>
    </row>
    <row r="160" spans="63:66" x14ac:dyDescent="0.6">
      <c r="BK160" s="4" t="str">
        <f>IFERROR(VLOOKUP(TEXT($B$3,"yyyymmdd")&amp;"_"&amp;TEXT(149,"0000"),RawData!$A$2:$F$1441,4,FALSE),"")</f>
        <v>00</v>
      </c>
      <c r="BL160" s="19">
        <f>TIME(0,0,0)+149/1440</f>
        <v>0.10347222222222222</v>
      </c>
      <c r="BM160" s="4">
        <f>IFERROR(VLOOKUP(TEXT($B$3,"yyyymmdd")&amp;"_"&amp;TEXT(149,"0000"),RawData!$A$2:$F$1441,5,FALSE),"")</f>
        <v>0</v>
      </c>
      <c r="BN160" s="4">
        <f t="shared" si="3"/>
        <v>0</v>
      </c>
    </row>
    <row r="161" spans="63:66" x14ac:dyDescent="0.6">
      <c r="BK161" s="4" t="str">
        <f>IFERROR(VLOOKUP(TEXT($B$3,"yyyymmdd")&amp;"_"&amp;TEXT(150,"0000"),RawData!$A$2:$F$1441,4,FALSE),"")</f>
        <v>00</v>
      </c>
      <c r="BL161" s="19">
        <f>TIME(0,0,0)+150/1440</f>
        <v>0.10416666666666667</v>
      </c>
      <c r="BM161" s="4">
        <f>IFERROR(VLOOKUP(TEXT($B$3,"yyyymmdd")&amp;"_"&amp;TEXT(150,"0000"),RawData!$A$2:$F$1441,5,FALSE),"")</f>
        <v>0</v>
      </c>
      <c r="BN161" s="4">
        <f t="shared" si="3"/>
        <v>1</v>
      </c>
    </row>
    <row r="162" spans="63:66" x14ac:dyDescent="0.6">
      <c r="BK162" s="4" t="str">
        <f>IFERROR(VLOOKUP(TEXT($B$3,"yyyymmdd")&amp;"_"&amp;TEXT(151,"0000"),RawData!$A$2:$F$1441,4,FALSE),"")</f>
        <v>00</v>
      </c>
      <c r="BL162" s="19">
        <f>TIME(0,0,0)+151/1440</f>
        <v>0.10486111111111111</v>
      </c>
      <c r="BM162" s="4">
        <f>IFERROR(VLOOKUP(TEXT($B$3,"yyyymmdd")&amp;"_"&amp;TEXT(151,"0000"),RawData!$A$2:$F$1441,5,FALSE),"")</f>
        <v>0</v>
      </c>
      <c r="BN162" s="4">
        <f t="shared" si="3"/>
        <v>0</v>
      </c>
    </row>
    <row r="163" spans="63:66" x14ac:dyDescent="0.6">
      <c r="BK163" s="4" t="str">
        <f>IFERROR(VLOOKUP(TEXT($B$3,"yyyymmdd")&amp;"_"&amp;TEXT(152,"0000"),RawData!$A$2:$F$1441,4,FALSE),"")</f>
        <v>00</v>
      </c>
      <c r="BL163" s="19">
        <f>TIME(0,0,0)+152/1440</f>
        <v>0.10555555555555556</v>
      </c>
      <c r="BM163" s="4">
        <f>IFERROR(VLOOKUP(TEXT($B$3,"yyyymmdd")&amp;"_"&amp;TEXT(152,"0000"),RawData!$A$2:$F$1441,5,FALSE),"")</f>
        <v>0</v>
      </c>
      <c r="BN163" s="4">
        <f t="shared" si="3"/>
        <v>0</v>
      </c>
    </row>
    <row r="164" spans="63:66" x14ac:dyDescent="0.6">
      <c r="BK164" s="4" t="str">
        <f>IFERROR(VLOOKUP(TEXT($B$3,"yyyymmdd")&amp;"_"&amp;TEXT(153,"0000"),RawData!$A$2:$F$1441,4,FALSE),"")</f>
        <v>00</v>
      </c>
      <c r="BL164" s="19">
        <f>TIME(0,0,0)+153/1440</f>
        <v>0.10625</v>
      </c>
      <c r="BM164" s="4">
        <f>IFERROR(VLOOKUP(TEXT($B$3,"yyyymmdd")&amp;"_"&amp;TEXT(153,"0000"),RawData!$A$2:$F$1441,5,FALSE),"")</f>
        <v>0</v>
      </c>
      <c r="BN164" s="4">
        <f t="shared" si="3"/>
        <v>0</v>
      </c>
    </row>
    <row r="165" spans="63:66" x14ac:dyDescent="0.6">
      <c r="BK165" s="4" t="str">
        <f>IFERROR(VLOOKUP(TEXT($B$3,"yyyymmdd")&amp;"_"&amp;TEXT(154,"0000"),RawData!$A$2:$F$1441,4,FALSE),"")</f>
        <v>00</v>
      </c>
      <c r="BL165" s="19">
        <f>TIME(0,0,0)+154/1440</f>
        <v>0.10694444444444444</v>
      </c>
      <c r="BM165" s="4">
        <f>IFERROR(VLOOKUP(TEXT($B$3,"yyyymmdd")&amp;"_"&amp;TEXT(154,"0000"),RawData!$A$2:$F$1441,5,FALSE),"")</f>
        <v>0</v>
      </c>
      <c r="BN165" s="4">
        <f t="shared" si="3"/>
        <v>0</v>
      </c>
    </row>
    <row r="166" spans="63:66" x14ac:dyDescent="0.6">
      <c r="BK166" s="4" t="str">
        <f>IFERROR(VLOOKUP(TEXT($B$3,"yyyymmdd")&amp;"_"&amp;TEXT(155,"0000"),RawData!$A$2:$F$1441,4,FALSE),"")</f>
        <v>00</v>
      </c>
      <c r="BL166" s="19">
        <f>TIME(0,0,0)+155/1440</f>
        <v>0.1076388888888889</v>
      </c>
      <c r="BM166" s="4">
        <f>IFERROR(VLOOKUP(TEXT($B$3,"yyyymmdd")&amp;"_"&amp;TEXT(155,"0000"),RawData!$A$2:$F$1441,5,FALSE),"")</f>
        <v>0</v>
      </c>
      <c r="BN166" s="4">
        <f t="shared" si="3"/>
        <v>0</v>
      </c>
    </row>
    <row r="167" spans="63:66" x14ac:dyDescent="0.6">
      <c r="BK167" s="4" t="str">
        <f>IFERROR(VLOOKUP(TEXT($B$3,"yyyymmdd")&amp;"_"&amp;TEXT(156,"0000"),RawData!$A$2:$F$1441,4,FALSE),"")</f>
        <v>00</v>
      </c>
      <c r="BL167" s="19">
        <f>TIME(0,0,0)+156/1440</f>
        <v>0.10833333333333334</v>
      </c>
      <c r="BM167" s="4">
        <f>IFERROR(VLOOKUP(TEXT($B$3,"yyyymmdd")&amp;"_"&amp;TEXT(156,"0000"),RawData!$A$2:$F$1441,5,FALSE),"")</f>
        <v>0</v>
      </c>
      <c r="BN167" s="4">
        <f t="shared" si="3"/>
        <v>0</v>
      </c>
    </row>
    <row r="168" spans="63:66" x14ac:dyDescent="0.6">
      <c r="BK168" s="4" t="str">
        <f>IFERROR(VLOOKUP(TEXT($B$3,"yyyymmdd")&amp;"_"&amp;TEXT(157,"0000"),RawData!$A$2:$F$1441,4,FALSE),"")</f>
        <v>00</v>
      </c>
      <c r="BL168" s="19">
        <f>TIME(0,0,0)+157/1440</f>
        <v>0.10902777777777778</v>
      </c>
      <c r="BM168" s="4">
        <f>IFERROR(VLOOKUP(TEXT($B$3,"yyyymmdd")&amp;"_"&amp;TEXT(157,"0000"),RawData!$A$2:$F$1441,5,FALSE),"")</f>
        <v>0</v>
      </c>
      <c r="BN168" s="4">
        <f t="shared" si="3"/>
        <v>0</v>
      </c>
    </row>
    <row r="169" spans="63:66" x14ac:dyDescent="0.6">
      <c r="BK169" s="4" t="str">
        <f>IFERROR(VLOOKUP(TEXT($B$3,"yyyymmdd")&amp;"_"&amp;TEXT(158,"0000"),RawData!$A$2:$F$1441,4,FALSE),"")</f>
        <v>00</v>
      </c>
      <c r="BL169" s="19">
        <f>TIME(0,0,0)+158/1440</f>
        <v>0.10972222222222222</v>
      </c>
      <c r="BM169" s="4">
        <f>IFERROR(VLOOKUP(TEXT($B$3,"yyyymmdd")&amp;"_"&amp;TEXT(158,"0000"),RawData!$A$2:$F$1441,5,FALSE),"")</f>
        <v>0</v>
      </c>
      <c r="BN169" s="4">
        <f t="shared" si="3"/>
        <v>0</v>
      </c>
    </row>
    <row r="170" spans="63:66" x14ac:dyDescent="0.6">
      <c r="BK170" s="4" t="str">
        <f>IFERROR(VLOOKUP(TEXT($B$3,"yyyymmdd")&amp;"_"&amp;TEXT(159,"0000"),RawData!$A$2:$F$1441,4,FALSE),"")</f>
        <v>00</v>
      </c>
      <c r="BL170" s="19">
        <f>TIME(0,0,0)+159/1440</f>
        <v>0.11041666666666666</v>
      </c>
      <c r="BM170" s="4">
        <f>IFERROR(VLOOKUP(TEXT($B$3,"yyyymmdd")&amp;"_"&amp;TEXT(159,"0000"),RawData!$A$2:$F$1441,5,FALSE),"")</f>
        <v>0</v>
      </c>
      <c r="BN170" s="4">
        <f t="shared" si="3"/>
        <v>0</v>
      </c>
    </row>
    <row r="171" spans="63:66" x14ac:dyDescent="0.6">
      <c r="BK171" s="4" t="str">
        <f>IFERROR(VLOOKUP(TEXT($B$3,"yyyymmdd")&amp;"_"&amp;TEXT(160,"0000"),RawData!$A$2:$F$1441,4,FALSE),"")</f>
        <v>00</v>
      </c>
      <c r="BL171" s="19">
        <f>TIME(0,0,0)+160/1440</f>
        <v>0.1111111111111111</v>
      </c>
      <c r="BM171" s="4">
        <f>IFERROR(VLOOKUP(TEXT($B$3,"yyyymmdd")&amp;"_"&amp;TEXT(160,"0000"),RawData!$A$2:$F$1441,5,FALSE),"")</f>
        <v>0</v>
      </c>
      <c r="BN171" s="4">
        <f t="shared" si="3"/>
        <v>0</v>
      </c>
    </row>
    <row r="172" spans="63:66" x14ac:dyDescent="0.6">
      <c r="BK172" s="4" t="str">
        <f>IFERROR(VLOOKUP(TEXT($B$3,"yyyymmdd")&amp;"_"&amp;TEXT(161,"0000"),RawData!$A$2:$F$1441,4,FALSE),"")</f>
        <v>00</v>
      </c>
      <c r="BL172" s="19">
        <f>TIME(0,0,0)+161/1440</f>
        <v>0.11180555555555556</v>
      </c>
      <c r="BM172" s="4">
        <f>IFERROR(VLOOKUP(TEXT($B$3,"yyyymmdd")&amp;"_"&amp;TEXT(161,"0000"),RawData!$A$2:$F$1441,5,FALSE),"")</f>
        <v>0</v>
      </c>
      <c r="BN172" s="4">
        <f t="shared" si="3"/>
        <v>0</v>
      </c>
    </row>
    <row r="173" spans="63:66" x14ac:dyDescent="0.6">
      <c r="BK173" s="4" t="str">
        <f>IFERROR(VLOOKUP(TEXT($B$3,"yyyymmdd")&amp;"_"&amp;TEXT(162,"0000"),RawData!$A$2:$F$1441,4,FALSE),"")</f>
        <v>00</v>
      </c>
      <c r="BL173" s="19">
        <f>TIME(0,0,0)+162/1440</f>
        <v>0.1125</v>
      </c>
      <c r="BM173" s="4">
        <f>IFERROR(VLOOKUP(TEXT($B$3,"yyyymmdd")&amp;"_"&amp;TEXT(162,"0000"),RawData!$A$2:$F$1441,5,FALSE),"")</f>
        <v>0</v>
      </c>
      <c r="BN173" s="4">
        <f t="shared" si="3"/>
        <v>0</v>
      </c>
    </row>
    <row r="174" spans="63:66" x14ac:dyDescent="0.6">
      <c r="BK174" s="4" t="str">
        <f>IFERROR(VLOOKUP(TEXT($B$3,"yyyymmdd")&amp;"_"&amp;TEXT(163,"0000"),RawData!$A$2:$F$1441,4,FALSE),"")</f>
        <v>00</v>
      </c>
      <c r="BL174" s="19">
        <f>TIME(0,0,0)+163/1440</f>
        <v>0.11319444444444444</v>
      </c>
      <c r="BM174" s="4">
        <f>IFERROR(VLOOKUP(TEXT($B$3,"yyyymmdd")&amp;"_"&amp;TEXT(163,"0000"),RawData!$A$2:$F$1441,5,FALSE),"")</f>
        <v>0</v>
      </c>
      <c r="BN174" s="4">
        <f t="shared" si="3"/>
        <v>0</v>
      </c>
    </row>
    <row r="175" spans="63:66" x14ac:dyDescent="0.6">
      <c r="BK175" s="4" t="str">
        <f>IFERROR(VLOOKUP(TEXT($B$3,"yyyymmdd")&amp;"_"&amp;TEXT(164,"0000"),RawData!$A$2:$F$1441,4,FALSE),"")</f>
        <v>00</v>
      </c>
      <c r="BL175" s="19">
        <f>TIME(0,0,0)+164/1440</f>
        <v>0.11388888888888889</v>
      </c>
      <c r="BM175" s="4">
        <f>IFERROR(VLOOKUP(TEXT($B$3,"yyyymmdd")&amp;"_"&amp;TEXT(164,"0000"),RawData!$A$2:$F$1441,5,FALSE),"")</f>
        <v>0</v>
      </c>
      <c r="BN175" s="4">
        <f t="shared" si="3"/>
        <v>0</v>
      </c>
    </row>
    <row r="176" spans="63:66" x14ac:dyDescent="0.6">
      <c r="BK176" s="4" t="str">
        <f>IFERROR(VLOOKUP(TEXT($B$3,"yyyymmdd")&amp;"_"&amp;TEXT(165,"0000"),RawData!$A$2:$F$1441,4,FALSE),"")</f>
        <v>00</v>
      </c>
      <c r="BL176" s="19">
        <f>TIME(0,0,0)+165/1440</f>
        <v>0.11458333333333333</v>
      </c>
      <c r="BM176" s="4">
        <f>IFERROR(VLOOKUP(TEXT($B$3,"yyyymmdd")&amp;"_"&amp;TEXT(165,"0000"),RawData!$A$2:$F$1441,5,FALSE),"")</f>
        <v>0</v>
      </c>
      <c r="BN176" s="4">
        <f t="shared" ref="BN176:BN239" si="4">IF(BK170="","",IF(BK170&lt;&gt;BK169,1,0))</f>
        <v>0</v>
      </c>
    </row>
    <row r="177" spans="63:66" x14ac:dyDescent="0.6">
      <c r="BK177" s="4" t="str">
        <f>IFERROR(VLOOKUP(TEXT($B$3,"yyyymmdd")&amp;"_"&amp;TEXT(166,"0000"),RawData!$A$2:$F$1441,4,FALSE),"")</f>
        <v>00</v>
      </c>
      <c r="BL177" s="19">
        <f>TIME(0,0,0)+166/1440</f>
        <v>0.11527777777777778</v>
      </c>
      <c r="BM177" s="4">
        <f>IFERROR(VLOOKUP(TEXT($B$3,"yyyymmdd")&amp;"_"&amp;TEXT(166,"0000"),RawData!$A$2:$F$1441,5,FALSE),"")</f>
        <v>0</v>
      </c>
      <c r="BN177" s="4">
        <f t="shared" si="4"/>
        <v>0</v>
      </c>
    </row>
    <row r="178" spans="63:66" x14ac:dyDescent="0.6">
      <c r="BK178" s="4" t="str">
        <f>IFERROR(VLOOKUP(TEXT($B$3,"yyyymmdd")&amp;"_"&amp;TEXT(167,"0000"),RawData!$A$2:$F$1441,4,FALSE),"")</f>
        <v>00</v>
      </c>
      <c r="BL178" s="19">
        <f>TIME(0,0,0)+167/1440</f>
        <v>0.11597222222222223</v>
      </c>
      <c r="BM178" s="4">
        <f>IFERROR(VLOOKUP(TEXT($B$3,"yyyymmdd")&amp;"_"&amp;TEXT(167,"0000"),RawData!$A$2:$F$1441,5,FALSE),"")</f>
        <v>0</v>
      </c>
      <c r="BN178" s="4">
        <f t="shared" si="4"/>
        <v>0</v>
      </c>
    </row>
    <row r="179" spans="63:66" x14ac:dyDescent="0.6">
      <c r="BK179" s="4" t="str">
        <f>IFERROR(VLOOKUP(TEXT($B$3,"yyyymmdd")&amp;"_"&amp;TEXT(168,"0000"),RawData!$A$2:$F$1441,4,FALSE),"")</f>
        <v>00</v>
      </c>
      <c r="BL179" s="19">
        <f>TIME(0,0,0)+168/1440</f>
        <v>0.11666666666666667</v>
      </c>
      <c r="BM179" s="4">
        <f>IFERROR(VLOOKUP(TEXT($B$3,"yyyymmdd")&amp;"_"&amp;TEXT(168,"0000"),RawData!$A$2:$F$1441,5,FALSE),"")</f>
        <v>0</v>
      </c>
      <c r="BN179" s="4">
        <f t="shared" si="4"/>
        <v>0</v>
      </c>
    </row>
    <row r="180" spans="63:66" x14ac:dyDescent="0.6">
      <c r="BK180" s="4" t="str">
        <f>IFERROR(VLOOKUP(TEXT($B$3,"yyyymmdd")&amp;"_"&amp;TEXT(169,"0000"),RawData!$A$2:$F$1441,4,FALSE),"")</f>
        <v>00</v>
      </c>
      <c r="BL180" s="19">
        <f>TIME(0,0,0)+169/1440</f>
        <v>0.11736111111111111</v>
      </c>
      <c r="BM180" s="4">
        <f>IFERROR(VLOOKUP(TEXT($B$3,"yyyymmdd")&amp;"_"&amp;TEXT(169,"0000"),RawData!$A$2:$F$1441,5,FALSE),"")</f>
        <v>0</v>
      </c>
      <c r="BN180" s="4">
        <f t="shared" si="4"/>
        <v>0</v>
      </c>
    </row>
    <row r="181" spans="63:66" x14ac:dyDescent="0.6">
      <c r="BK181" s="4" t="str">
        <f>IFERROR(VLOOKUP(TEXT($B$3,"yyyymmdd")&amp;"_"&amp;TEXT(170,"0000"),RawData!$A$2:$F$1441,4,FALSE),"")</f>
        <v>00</v>
      </c>
      <c r="BL181" s="19">
        <f>TIME(0,0,0)+170/1440</f>
        <v>0.11805555555555555</v>
      </c>
      <c r="BM181" s="4">
        <f>IFERROR(VLOOKUP(TEXT($B$3,"yyyymmdd")&amp;"_"&amp;TEXT(170,"0000"),RawData!$A$2:$F$1441,5,FALSE),"")</f>
        <v>0</v>
      </c>
      <c r="BN181" s="4">
        <f t="shared" si="4"/>
        <v>0</v>
      </c>
    </row>
    <row r="182" spans="63:66" x14ac:dyDescent="0.6">
      <c r="BK182" s="4" t="str">
        <f>IFERROR(VLOOKUP(TEXT($B$3,"yyyymmdd")&amp;"_"&amp;TEXT(171,"0000"),RawData!$A$2:$F$1441,4,FALSE),"")</f>
        <v>00</v>
      </c>
      <c r="BL182" s="19">
        <f>TIME(0,0,0)+171/1440</f>
        <v>0.11874999999999999</v>
      </c>
      <c r="BM182" s="4">
        <f>IFERROR(VLOOKUP(TEXT($B$3,"yyyymmdd")&amp;"_"&amp;TEXT(171,"0000"),RawData!$A$2:$F$1441,5,FALSE),"")</f>
        <v>0</v>
      </c>
      <c r="BN182" s="4">
        <f t="shared" si="4"/>
        <v>0</v>
      </c>
    </row>
    <row r="183" spans="63:66" x14ac:dyDescent="0.6">
      <c r="BK183" s="4" t="str">
        <f>IFERROR(VLOOKUP(TEXT($B$3,"yyyymmdd")&amp;"_"&amp;TEXT(172,"0000"),RawData!$A$2:$F$1441,4,FALSE),"")</f>
        <v>00</v>
      </c>
      <c r="BL183" s="19">
        <f>TIME(0,0,0)+172/1440</f>
        <v>0.11944444444444445</v>
      </c>
      <c r="BM183" s="4">
        <f>IFERROR(VLOOKUP(TEXT($B$3,"yyyymmdd")&amp;"_"&amp;TEXT(172,"0000"),RawData!$A$2:$F$1441,5,FALSE),"")</f>
        <v>0</v>
      </c>
      <c r="BN183" s="4">
        <f t="shared" si="4"/>
        <v>0</v>
      </c>
    </row>
    <row r="184" spans="63:66" x14ac:dyDescent="0.6">
      <c r="BK184" s="4" t="str">
        <f>IFERROR(VLOOKUP(TEXT($B$3,"yyyymmdd")&amp;"_"&amp;TEXT(173,"0000"),RawData!$A$2:$F$1441,4,FALSE),"")</f>
        <v>00</v>
      </c>
      <c r="BL184" s="19">
        <f>TIME(0,0,0)+173/1440</f>
        <v>0.12013888888888889</v>
      </c>
      <c r="BM184" s="4">
        <f>IFERROR(VLOOKUP(TEXT($B$3,"yyyymmdd")&amp;"_"&amp;TEXT(173,"0000"),RawData!$A$2:$F$1441,5,FALSE),"")</f>
        <v>0</v>
      </c>
      <c r="BN184" s="4">
        <f t="shared" si="4"/>
        <v>0</v>
      </c>
    </row>
    <row r="185" spans="63:66" x14ac:dyDescent="0.6">
      <c r="BK185" s="4" t="str">
        <f>IFERROR(VLOOKUP(TEXT($B$3,"yyyymmdd")&amp;"_"&amp;TEXT(174,"0000"),RawData!$A$2:$F$1441,4,FALSE),"")</f>
        <v>00</v>
      </c>
      <c r="BL185" s="19">
        <f>TIME(0,0,0)+174/1440</f>
        <v>0.12083333333333333</v>
      </c>
      <c r="BM185" s="4">
        <f>IFERROR(VLOOKUP(TEXT($B$3,"yyyymmdd")&amp;"_"&amp;TEXT(174,"0000"),RawData!$A$2:$F$1441,5,FALSE),"")</f>
        <v>0</v>
      </c>
      <c r="BN185" s="4">
        <f t="shared" si="4"/>
        <v>0</v>
      </c>
    </row>
    <row r="186" spans="63:66" x14ac:dyDescent="0.6">
      <c r="BK186" s="4" t="str">
        <f>IFERROR(VLOOKUP(TEXT($B$3,"yyyymmdd")&amp;"_"&amp;TEXT(175,"0000"),RawData!$A$2:$F$1441,4,FALSE),"")</f>
        <v>00</v>
      </c>
      <c r="BL186" s="19">
        <f>TIME(0,0,0)+175/1440</f>
        <v>0.12152777777777778</v>
      </c>
      <c r="BM186" s="4">
        <f>IFERROR(VLOOKUP(TEXT($B$3,"yyyymmdd")&amp;"_"&amp;TEXT(175,"0000"),RawData!$A$2:$F$1441,5,FALSE),"")</f>
        <v>0</v>
      </c>
      <c r="BN186" s="4">
        <f t="shared" si="4"/>
        <v>0</v>
      </c>
    </row>
    <row r="187" spans="63:66" x14ac:dyDescent="0.6">
      <c r="BK187" s="4" t="str">
        <f>IFERROR(VLOOKUP(TEXT($B$3,"yyyymmdd")&amp;"_"&amp;TEXT(176,"0000"),RawData!$A$2:$F$1441,4,FALSE),"")</f>
        <v>00</v>
      </c>
      <c r="BL187" s="19">
        <f>TIME(0,0,0)+176/1440</f>
        <v>0.12222222222222222</v>
      </c>
      <c r="BM187" s="4">
        <f>IFERROR(VLOOKUP(TEXT($B$3,"yyyymmdd")&amp;"_"&amp;TEXT(176,"0000"),RawData!$A$2:$F$1441,5,FALSE),"")</f>
        <v>0</v>
      </c>
      <c r="BN187" s="4">
        <f t="shared" si="4"/>
        <v>0</v>
      </c>
    </row>
    <row r="188" spans="63:66" x14ac:dyDescent="0.6">
      <c r="BK188" s="4" t="str">
        <f>IFERROR(VLOOKUP(TEXT($B$3,"yyyymmdd")&amp;"_"&amp;TEXT(177,"0000"),RawData!$A$2:$F$1441,4,FALSE),"")</f>
        <v>00</v>
      </c>
      <c r="BL188" s="19">
        <f>TIME(0,0,0)+177/1440</f>
        <v>0.12291666666666666</v>
      </c>
      <c r="BM188" s="4">
        <f>IFERROR(VLOOKUP(TEXT($B$3,"yyyymmdd")&amp;"_"&amp;TEXT(177,"0000"),RawData!$A$2:$F$1441,5,FALSE),"")</f>
        <v>0</v>
      </c>
      <c r="BN188" s="4">
        <f t="shared" si="4"/>
        <v>0</v>
      </c>
    </row>
    <row r="189" spans="63:66" x14ac:dyDescent="0.6">
      <c r="BK189" s="4" t="str">
        <f>IFERROR(VLOOKUP(TEXT($B$3,"yyyymmdd")&amp;"_"&amp;TEXT(178,"0000"),RawData!$A$2:$F$1441,4,FALSE),"")</f>
        <v>00</v>
      </c>
      <c r="BL189" s="19">
        <f>TIME(0,0,0)+178/1440</f>
        <v>0.12361111111111112</v>
      </c>
      <c r="BM189" s="4">
        <f>IFERROR(VLOOKUP(TEXT($B$3,"yyyymmdd")&amp;"_"&amp;TEXT(178,"0000"),RawData!$A$2:$F$1441,5,FALSE),"")</f>
        <v>0</v>
      </c>
      <c r="BN189" s="4">
        <f t="shared" si="4"/>
        <v>0</v>
      </c>
    </row>
    <row r="190" spans="63:66" x14ac:dyDescent="0.6">
      <c r="BK190" s="4" t="str">
        <f>IFERROR(VLOOKUP(TEXT($B$3,"yyyymmdd")&amp;"_"&amp;TEXT(179,"0000"),RawData!$A$2:$F$1441,4,FALSE),"")</f>
        <v>00</v>
      </c>
      <c r="BL190" s="19">
        <f>TIME(0,0,0)+179/1440</f>
        <v>0.12430555555555556</v>
      </c>
      <c r="BM190" s="4">
        <f>IFERROR(VLOOKUP(TEXT($B$3,"yyyymmdd")&amp;"_"&amp;TEXT(179,"0000"),RawData!$A$2:$F$1441,5,FALSE),"")</f>
        <v>0</v>
      </c>
      <c r="BN190" s="4">
        <f t="shared" si="4"/>
        <v>0</v>
      </c>
    </row>
    <row r="191" spans="63:66" x14ac:dyDescent="0.6">
      <c r="BK191" s="4" t="str">
        <f>IFERROR(VLOOKUP(TEXT($B$3,"yyyymmdd")&amp;"_"&amp;TEXT(180,"0000"),RawData!$A$2:$F$1441,4,FALSE),"")</f>
        <v>00</v>
      </c>
      <c r="BL191" s="19">
        <f>TIME(0,0,0)+180/1440</f>
        <v>0.125</v>
      </c>
      <c r="BM191" s="4">
        <f>IFERROR(VLOOKUP(TEXT($B$3,"yyyymmdd")&amp;"_"&amp;TEXT(180,"0000"),RawData!$A$2:$F$1441,5,FALSE),"")</f>
        <v>0</v>
      </c>
      <c r="BN191" s="4">
        <f t="shared" si="4"/>
        <v>0</v>
      </c>
    </row>
    <row r="192" spans="63:66" x14ac:dyDescent="0.6">
      <c r="BK192" s="4" t="str">
        <f>IFERROR(VLOOKUP(TEXT($B$3,"yyyymmdd")&amp;"_"&amp;TEXT(181,"0000"),RawData!$A$2:$F$1441,4,FALSE),"")</f>
        <v>00</v>
      </c>
      <c r="BL192" s="19">
        <f>TIME(0,0,0)+181/1440</f>
        <v>0.12569444444444444</v>
      </c>
      <c r="BM192" s="4">
        <f>IFERROR(VLOOKUP(TEXT($B$3,"yyyymmdd")&amp;"_"&amp;TEXT(181,"0000"),RawData!$A$2:$F$1441,5,FALSE),"")</f>
        <v>0</v>
      </c>
      <c r="BN192" s="4">
        <f t="shared" si="4"/>
        <v>0</v>
      </c>
    </row>
    <row r="193" spans="63:66" x14ac:dyDescent="0.6">
      <c r="BK193" s="4" t="str">
        <f>IFERROR(VLOOKUP(TEXT($B$3,"yyyymmdd")&amp;"_"&amp;TEXT(182,"0000"),RawData!$A$2:$F$1441,4,FALSE),"")</f>
        <v>00</v>
      </c>
      <c r="BL193" s="19">
        <f>TIME(0,0,0)+182/1440</f>
        <v>0.12638888888888888</v>
      </c>
      <c r="BM193" s="4">
        <f>IFERROR(VLOOKUP(TEXT($B$3,"yyyymmdd")&amp;"_"&amp;TEXT(182,"0000"),RawData!$A$2:$F$1441,5,FALSE),"")</f>
        <v>0</v>
      </c>
      <c r="BN193" s="4">
        <f t="shared" si="4"/>
        <v>0</v>
      </c>
    </row>
    <row r="194" spans="63:66" x14ac:dyDescent="0.6">
      <c r="BK194" s="4" t="str">
        <f>IFERROR(VLOOKUP(TEXT($B$3,"yyyymmdd")&amp;"_"&amp;TEXT(183,"0000"),RawData!$A$2:$F$1441,4,FALSE),"")</f>
        <v>00</v>
      </c>
      <c r="BL194" s="19">
        <f>TIME(0,0,0)+183/1440</f>
        <v>0.12708333333333333</v>
      </c>
      <c r="BM194" s="4">
        <f>IFERROR(VLOOKUP(TEXT($B$3,"yyyymmdd")&amp;"_"&amp;TEXT(183,"0000"),RawData!$A$2:$F$1441,5,FALSE),"")</f>
        <v>0</v>
      </c>
      <c r="BN194" s="4">
        <f t="shared" si="4"/>
        <v>0</v>
      </c>
    </row>
    <row r="195" spans="63:66" x14ac:dyDescent="0.6">
      <c r="BK195" s="4" t="str">
        <f>IFERROR(VLOOKUP(TEXT($B$3,"yyyymmdd")&amp;"_"&amp;TEXT(184,"0000"),RawData!$A$2:$F$1441,4,FALSE),"")</f>
        <v>00</v>
      </c>
      <c r="BL195" s="19">
        <f>TIME(0,0,0)+184/1440</f>
        <v>0.12777777777777777</v>
      </c>
      <c r="BM195" s="4">
        <f>IFERROR(VLOOKUP(TEXT($B$3,"yyyymmdd")&amp;"_"&amp;TEXT(184,"0000"),RawData!$A$2:$F$1441,5,FALSE),"")</f>
        <v>0</v>
      </c>
      <c r="BN195" s="4">
        <f t="shared" si="4"/>
        <v>0</v>
      </c>
    </row>
    <row r="196" spans="63:66" x14ac:dyDescent="0.6">
      <c r="BK196" s="4" t="str">
        <f>IFERROR(VLOOKUP(TEXT($B$3,"yyyymmdd")&amp;"_"&amp;TEXT(185,"0000"),RawData!$A$2:$F$1441,4,FALSE),"")</f>
        <v>00</v>
      </c>
      <c r="BL196" s="19">
        <f>TIME(0,0,0)+185/1440</f>
        <v>0.12847222222222221</v>
      </c>
      <c r="BM196" s="4">
        <f>IFERROR(VLOOKUP(TEXT($B$3,"yyyymmdd")&amp;"_"&amp;TEXT(185,"0000"),RawData!$A$2:$F$1441,5,FALSE),"")</f>
        <v>0</v>
      </c>
      <c r="BN196" s="4">
        <f t="shared" si="4"/>
        <v>0</v>
      </c>
    </row>
    <row r="197" spans="63:66" x14ac:dyDescent="0.6">
      <c r="BK197" s="4" t="str">
        <f>IFERROR(VLOOKUP(TEXT($B$3,"yyyymmdd")&amp;"_"&amp;TEXT(186,"0000"),RawData!$A$2:$F$1441,4,FALSE),"")</f>
        <v>00</v>
      </c>
      <c r="BL197" s="19">
        <f>TIME(0,0,0)+186/1440</f>
        <v>0.12916666666666668</v>
      </c>
      <c r="BM197" s="4">
        <f>IFERROR(VLOOKUP(TEXT($B$3,"yyyymmdd")&amp;"_"&amp;TEXT(186,"0000"),RawData!$A$2:$F$1441,5,FALSE),"")</f>
        <v>0</v>
      </c>
      <c r="BN197" s="4">
        <f t="shared" si="4"/>
        <v>0</v>
      </c>
    </row>
    <row r="198" spans="63:66" x14ac:dyDescent="0.6">
      <c r="BK198" s="4" t="str">
        <f>IFERROR(VLOOKUP(TEXT($B$3,"yyyymmdd")&amp;"_"&amp;TEXT(187,"0000"),RawData!$A$2:$F$1441,4,FALSE),"")</f>
        <v>00</v>
      </c>
      <c r="BL198" s="19">
        <f>TIME(0,0,0)+187/1440</f>
        <v>0.12986111111111112</v>
      </c>
      <c r="BM198" s="4">
        <f>IFERROR(VLOOKUP(TEXT($B$3,"yyyymmdd")&amp;"_"&amp;TEXT(187,"0000"),RawData!$A$2:$F$1441,5,FALSE),"")</f>
        <v>0</v>
      </c>
      <c r="BN198" s="4">
        <f t="shared" si="4"/>
        <v>0</v>
      </c>
    </row>
    <row r="199" spans="63:66" x14ac:dyDescent="0.6">
      <c r="BK199" s="4" t="str">
        <f>IFERROR(VLOOKUP(TEXT($B$3,"yyyymmdd")&amp;"_"&amp;TEXT(188,"0000"),RawData!$A$2:$F$1441,4,FALSE),"")</f>
        <v>00</v>
      </c>
      <c r="BL199" s="19">
        <f>TIME(0,0,0)+188/1440</f>
        <v>0.13055555555555556</v>
      </c>
      <c r="BM199" s="4">
        <f>IFERROR(VLOOKUP(TEXT($B$3,"yyyymmdd")&amp;"_"&amp;TEXT(188,"0000"),RawData!$A$2:$F$1441,5,FALSE),"")</f>
        <v>0</v>
      </c>
      <c r="BN199" s="4">
        <f t="shared" si="4"/>
        <v>0</v>
      </c>
    </row>
    <row r="200" spans="63:66" x14ac:dyDescent="0.6">
      <c r="BK200" s="4" t="str">
        <f>IFERROR(VLOOKUP(TEXT($B$3,"yyyymmdd")&amp;"_"&amp;TEXT(189,"0000"),RawData!$A$2:$F$1441,4,FALSE),"")</f>
        <v>00</v>
      </c>
      <c r="BL200" s="19">
        <f>TIME(0,0,0)+189/1440</f>
        <v>0.13125000000000001</v>
      </c>
      <c r="BM200" s="4">
        <f>IFERROR(VLOOKUP(TEXT($B$3,"yyyymmdd")&amp;"_"&amp;TEXT(189,"0000"),RawData!$A$2:$F$1441,5,FALSE),"")</f>
        <v>0</v>
      </c>
      <c r="BN200" s="4">
        <f t="shared" si="4"/>
        <v>0</v>
      </c>
    </row>
    <row r="201" spans="63:66" x14ac:dyDescent="0.6">
      <c r="BK201" s="4" t="str">
        <f>IFERROR(VLOOKUP(TEXT($B$3,"yyyymmdd")&amp;"_"&amp;TEXT(190,"0000"),RawData!$A$2:$F$1441,4,FALSE),"")</f>
        <v>00</v>
      </c>
      <c r="BL201" s="19">
        <f>TIME(0,0,0)+190/1440</f>
        <v>0.13194444444444445</v>
      </c>
      <c r="BM201" s="4">
        <f>IFERROR(VLOOKUP(TEXT($B$3,"yyyymmdd")&amp;"_"&amp;TEXT(190,"0000"),RawData!$A$2:$F$1441,5,FALSE),"")</f>
        <v>0</v>
      </c>
      <c r="BN201" s="4">
        <f t="shared" si="4"/>
        <v>0</v>
      </c>
    </row>
    <row r="202" spans="63:66" x14ac:dyDescent="0.6">
      <c r="BK202" s="4" t="str">
        <f>IFERROR(VLOOKUP(TEXT($B$3,"yyyymmdd")&amp;"_"&amp;TEXT(191,"0000"),RawData!$A$2:$F$1441,4,FALSE),"")</f>
        <v>00</v>
      </c>
      <c r="BL202" s="19">
        <f>TIME(0,0,0)+191/1440</f>
        <v>0.13263888888888889</v>
      </c>
      <c r="BM202" s="4">
        <f>IFERROR(VLOOKUP(TEXT($B$3,"yyyymmdd")&amp;"_"&amp;TEXT(191,"0000"),RawData!$A$2:$F$1441,5,FALSE),"")</f>
        <v>0</v>
      </c>
      <c r="BN202" s="4">
        <f t="shared" si="4"/>
        <v>0</v>
      </c>
    </row>
    <row r="203" spans="63:66" x14ac:dyDescent="0.6">
      <c r="BK203" s="4" t="str">
        <f>IFERROR(VLOOKUP(TEXT($B$3,"yyyymmdd")&amp;"_"&amp;TEXT(192,"0000"),RawData!$A$2:$F$1441,4,FALSE),"")</f>
        <v>00</v>
      </c>
      <c r="BL203" s="19">
        <f>TIME(0,0,0)+192/1440</f>
        <v>0.13333333333333333</v>
      </c>
      <c r="BM203" s="4">
        <f>IFERROR(VLOOKUP(TEXT($B$3,"yyyymmdd")&amp;"_"&amp;TEXT(192,"0000"),RawData!$A$2:$F$1441,5,FALSE),"")</f>
        <v>0</v>
      </c>
      <c r="BN203" s="4">
        <f t="shared" si="4"/>
        <v>0</v>
      </c>
    </row>
    <row r="204" spans="63:66" x14ac:dyDescent="0.6">
      <c r="BK204" s="4" t="str">
        <f>IFERROR(VLOOKUP(TEXT($B$3,"yyyymmdd")&amp;"_"&amp;TEXT(193,"0000"),RawData!$A$2:$F$1441,4,FALSE),"")</f>
        <v>00</v>
      </c>
      <c r="BL204" s="19">
        <f>TIME(0,0,0)+193/1440</f>
        <v>0.13402777777777777</v>
      </c>
      <c r="BM204" s="4">
        <f>IFERROR(VLOOKUP(TEXT($B$3,"yyyymmdd")&amp;"_"&amp;TEXT(193,"0000"),RawData!$A$2:$F$1441,5,FALSE),"")</f>
        <v>0</v>
      </c>
      <c r="BN204" s="4">
        <f t="shared" si="4"/>
        <v>0</v>
      </c>
    </row>
    <row r="205" spans="63:66" x14ac:dyDescent="0.6">
      <c r="BK205" s="4" t="str">
        <f>IFERROR(VLOOKUP(TEXT($B$3,"yyyymmdd")&amp;"_"&amp;TEXT(194,"0000"),RawData!$A$2:$F$1441,4,FALSE),"")</f>
        <v>00</v>
      </c>
      <c r="BL205" s="19">
        <f>TIME(0,0,0)+194/1440</f>
        <v>0.13472222222222222</v>
      </c>
      <c r="BM205" s="4">
        <f>IFERROR(VLOOKUP(TEXT($B$3,"yyyymmdd")&amp;"_"&amp;TEXT(194,"0000"),RawData!$A$2:$F$1441,5,FALSE),"")</f>
        <v>0</v>
      </c>
      <c r="BN205" s="4">
        <f t="shared" si="4"/>
        <v>0</v>
      </c>
    </row>
    <row r="206" spans="63:66" x14ac:dyDescent="0.6">
      <c r="BK206" s="4" t="str">
        <f>IFERROR(VLOOKUP(TEXT($B$3,"yyyymmdd")&amp;"_"&amp;TEXT(195,"0000"),RawData!$A$2:$F$1441,4,FALSE),"")</f>
        <v>00</v>
      </c>
      <c r="BL206" s="19">
        <f>TIME(0,0,0)+195/1440</f>
        <v>0.13541666666666666</v>
      </c>
      <c r="BM206" s="4">
        <f>IFERROR(VLOOKUP(TEXT($B$3,"yyyymmdd")&amp;"_"&amp;TEXT(195,"0000"),RawData!$A$2:$F$1441,5,FALSE),"")</f>
        <v>0</v>
      </c>
      <c r="BN206" s="4">
        <f t="shared" si="4"/>
        <v>0</v>
      </c>
    </row>
    <row r="207" spans="63:66" x14ac:dyDescent="0.6">
      <c r="BK207" s="4" t="str">
        <f>IFERROR(VLOOKUP(TEXT($B$3,"yyyymmdd")&amp;"_"&amp;TEXT(196,"0000"),RawData!$A$2:$F$1441,4,FALSE),"")</f>
        <v>00</v>
      </c>
      <c r="BL207" s="19">
        <f>TIME(0,0,0)+196/1440</f>
        <v>0.1361111111111111</v>
      </c>
      <c r="BM207" s="4">
        <f>IFERROR(VLOOKUP(TEXT($B$3,"yyyymmdd")&amp;"_"&amp;TEXT(196,"0000"),RawData!$A$2:$F$1441,5,FALSE),"")</f>
        <v>0</v>
      </c>
      <c r="BN207" s="4">
        <f t="shared" si="4"/>
        <v>0</v>
      </c>
    </row>
    <row r="208" spans="63:66" x14ac:dyDescent="0.6">
      <c r="BK208" s="4" t="str">
        <f>IFERROR(VLOOKUP(TEXT($B$3,"yyyymmdd")&amp;"_"&amp;TEXT(197,"0000"),RawData!$A$2:$F$1441,4,FALSE),"")</f>
        <v>00</v>
      </c>
      <c r="BL208" s="19">
        <f>TIME(0,0,0)+197/1440</f>
        <v>0.13680555555555557</v>
      </c>
      <c r="BM208" s="4">
        <f>IFERROR(VLOOKUP(TEXT($B$3,"yyyymmdd")&amp;"_"&amp;TEXT(197,"0000"),RawData!$A$2:$F$1441,5,FALSE),"")</f>
        <v>0</v>
      </c>
      <c r="BN208" s="4">
        <f t="shared" si="4"/>
        <v>0</v>
      </c>
    </row>
    <row r="209" spans="63:66" x14ac:dyDescent="0.6">
      <c r="BK209" s="4" t="str">
        <f>IFERROR(VLOOKUP(TEXT($B$3,"yyyymmdd")&amp;"_"&amp;TEXT(198,"0000"),RawData!$A$2:$F$1441,4,FALSE),"")</f>
        <v>00</v>
      </c>
      <c r="BL209" s="19">
        <f>TIME(0,0,0)+198/1440</f>
        <v>0.13750000000000001</v>
      </c>
      <c r="BM209" s="4">
        <f>IFERROR(VLOOKUP(TEXT($B$3,"yyyymmdd")&amp;"_"&amp;TEXT(198,"0000"),RawData!$A$2:$F$1441,5,FALSE),"")</f>
        <v>0</v>
      </c>
      <c r="BN209" s="4">
        <f t="shared" si="4"/>
        <v>0</v>
      </c>
    </row>
    <row r="210" spans="63:66" x14ac:dyDescent="0.6">
      <c r="BK210" s="4" t="str">
        <f>IFERROR(VLOOKUP(TEXT($B$3,"yyyymmdd")&amp;"_"&amp;TEXT(199,"0000"),RawData!$A$2:$F$1441,4,FALSE),"")</f>
        <v>00</v>
      </c>
      <c r="BL210" s="19">
        <f>TIME(0,0,0)+199/1440</f>
        <v>0.13819444444444445</v>
      </c>
      <c r="BM210" s="4">
        <f>IFERROR(VLOOKUP(TEXT($B$3,"yyyymmdd")&amp;"_"&amp;TEXT(199,"0000"),RawData!$A$2:$F$1441,5,FALSE),"")</f>
        <v>0</v>
      </c>
      <c r="BN210" s="4">
        <f t="shared" si="4"/>
        <v>0</v>
      </c>
    </row>
    <row r="211" spans="63:66" x14ac:dyDescent="0.6">
      <c r="BK211" s="4" t="str">
        <f>IFERROR(VLOOKUP(TEXT($B$3,"yyyymmdd")&amp;"_"&amp;TEXT(200,"0000"),RawData!$A$2:$F$1441,4,FALSE),"")</f>
        <v>00</v>
      </c>
      <c r="BL211" s="19">
        <f>TIME(0,0,0)+200/1440</f>
        <v>0.1388888888888889</v>
      </c>
      <c r="BM211" s="4">
        <f>IFERROR(VLOOKUP(TEXT($B$3,"yyyymmdd")&amp;"_"&amp;TEXT(200,"0000"),RawData!$A$2:$F$1441,5,FALSE),"")</f>
        <v>0</v>
      </c>
      <c r="BN211" s="4">
        <f t="shared" si="4"/>
        <v>0</v>
      </c>
    </row>
    <row r="212" spans="63:66" x14ac:dyDescent="0.6">
      <c r="BK212" s="4" t="str">
        <f>IFERROR(VLOOKUP(TEXT($B$3,"yyyymmdd")&amp;"_"&amp;TEXT(201,"0000"),RawData!$A$2:$F$1441,4,FALSE),"")</f>
        <v>00</v>
      </c>
      <c r="BL212" s="19">
        <f>TIME(0,0,0)+201/1440</f>
        <v>0.13958333333333334</v>
      </c>
      <c r="BM212" s="4">
        <f>IFERROR(VLOOKUP(TEXT($B$3,"yyyymmdd")&amp;"_"&amp;TEXT(201,"0000"),RawData!$A$2:$F$1441,5,FALSE),"")</f>
        <v>0</v>
      </c>
      <c r="BN212" s="4">
        <f t="shared" si="4"/>
        <v>0</v>
      </c>
    </row>
    <row r="213" spans="63:66" x14ac:dyDescent="0.6">
      <c r="BK213" s="4" t="str">
        <f>IFERROR(VLOOKUP(TEXT($B$3,"yyyymmdd")&amp;"_"&amp;TEXT(202,"0000"),RawData!$A$2:$F$1441,4,FALSE),"")</f>
        <v>00</v>
      </c>
      <c r="BL213" s="19">
        <f>TIME(0,0,0)+202/1440</f>
        <v>0.14027777777777778</v>
      </c>
      <c r="BM213" s="4">
        <f>IFERROR(VLOOKUP(TEXT($B$3,"yyyymmdd")&amp;"_"&amp;TEXT(202,"0000"),RawData!$A$2:$F$1441,5,FALSE),"")</f>
        <v>0</v>
      </c>
      <c r="BN213" s="4">
        <f t="shared" si="4"/>
        <v>0</v>
      </c>
    </row>
    <row r="214" spans="63:66" x14ac:dyDescent="0.6">
      <c r="BK214" s="4" t="str">
        <f>IFERROR(VLOOKUP(TEXT($B$3,"yyyymmdd")&amp;"_"&amp;TEXT(203,"0000"),RawData!$A$2:$F$1441,4,FALSE),"")</f>
        <v>00</v>
      </c>
      <c r="BL214" s="19">
        <f>TIME(0,0,0)+203/1440</f>
        <v>0.14097222222222222</v>
      </c>
      <c r="BM214" s="4">
        <f>IFERROR(VLOOKUP(TEXT($B$3,"yyyymmdd")&amp;"_"&amp;TEXT(203,"0000"),RawData!$A$2:$F$1441,5,FALSE),"")</f>
        <v>0</v>
      </c>
      <c r="BN214" s="4">
        <f t="shared" si="4"/>
        <v>0</v>
      </c>
    </row>
    <row r="215" spans="63:66" x14ac:dyDescent="0.6">
      <c r="BK215" s="4" t="str">
        <f>IFERROR(VLOOKUP(TEXT($B$3,"yyyymmdd")&amp;"_"&amp;TEXT(204,"0000"),RawData!$A$2:$F$1441,4,FALSE),"")</f>
        <v>00</v>
      </c>
      <c r="BL215" s="19">
        <f>TIME(0,0,0)+204/1440</f>
        <v>0.14166666666666666</v>
      </c>
      <c r="BM215" s="4">
        <f>IFERROR(VLOOKUP(TEXT($B$3,"yyyymmdd")&amp;"_"&amp;TEXT(204,"0000"),RawData!$A$2:$F$1441,5,FALSE),"")</f>
        <v>0</v>
      </c>
      <c r="BN215" s="4">
        <f t="shared" si="4"/>
        <v>0</v>
      </c>
    </row>
    <row r="216" spans="63:66" x14ac:dyDescent="0.6">
      <c r="BK216" s="4" t="str">
        <f>IFERROR(VLOOKUP(TEXT($B$3,"yyyymmdd")&amp;"_"&amp;TEXT(205,"0000"),RawData!$A$2:$F$1441,4,FALSE),"")</f>
        <v>00</v>
      </c>
      <c r="BL216" s="19">
        <f>TIME(0,0,0)+205/1440</f>
        <v>0.1423611111111111</v>
      </c>
      <c r="BM216" s="4">
        <f>IFERROR(VLOOKUP(TEXT($B$3,"yyyymmdd")&amp;"_"&amp;TEXT(205,"0000"),RawData!$A$2:$F$1441,5,FALSE),"")</f>
        <v>0</v>
      </c>
      <c r="BN216" s="4">
        <f t="shared" si="4"/>
        <v>0</v>
      </c>
    </row>
    <row r="217" spans="63:66" x14ac:dyDescent="0.6">
      <c r="BK217" s="4" t="str">
        <f>IFERROR(VLOOKUP(TEXT($B$3,"yyyymmdd")&amp;"_"&amp;TEXT(206,"0000"),RawData!$A$2:$F$1441,4,FALSE),"")</f>
        <v>00</v>
      </c>
      <c r="BL217" s="19">
        <f>TIME(0,0,0)+206/1440</f>
        <v>0.14305555555555555</v>
      </c>
      <c r="BM217" s="4">
        <f>IFERROR(VLOOKUP(TEXT($B$3,"yyyymmdd")&amp;"_"&amp;TEXT(206,"0000"),RawData!$A$2:$F$1441,5,FALSE),"")</f>
        <v>0</v>
      </c>
      <c r="BN217" s="4">
        <f t="shared" si="4"/>
        <v>0</v>
      </c>
    </row>
    <row r="218" spans="63:66" x14ac:dyDescent="0.6">
      <c r="BK218" s="4" t="str">
        <f>IFERROR(VLOOKUP(TEXT($B$3,"yyyymmdd")&amp;"_"&amp;TEXT(207,"0000"),RawData!$A$2:$F$1441,4,FALSE),"")</f>
        <v>00</v>
      </c>
      <c r="BL218" s="19">
        <f>TIME(0,0,0)+207/1440</f>
        <v>0.14374999999999999</v>
      </c>
      <c r="BM218" s="4">
        <f>IFERROR(VLOOKUP(TEXT($B$3,"yyyymmdd")&amp;"_"&amp;TEXT(207,"0000"),RawData!$A$2:$F$1441,5,FALSE),"")</f>
        <v>0</v>
      </c>
      <c r="BN218" s="4">
        <f t="shared" si="4"/>
        <v>0</v>
      </c>
    </row>
    <row r="219" spans="63:66" x14ac:dyDescent="0.6">
      <c r="BK219" s="4" t="str">
        <f>IFERROR(VLOOKUP(TEXT($B$3,"yyyymmdd")&amp;"_"&amp;TEXT(208,"0000"),RawData!$A$2:$F$1441,4,FALSE),"")</f>
        <v>00</v>
      </c>
      <c r="BL219" s="19">
        <f>TIME(0,0,0)+208/1440</f>
        <v>0.14444444444444443</v>
      </c>
      <c r="BM219" s="4">
        <f>IFERROR(VLOOKUP(TEXT($B$3,"yyyymmdd")&amp;"_"&amp;TEXT(208,"0000"),RawData!$A$2:$F$1441,5,FALSE),"")</f>
        <v>0</v>
      </c>
      <c r="BN219" s="4">
        <f t="shared" si="4"/>
        <v>0</v>
      </c>
    </row>
    <row r="220" spans="63:66" x14ac:dyDescent="0.6">
      <c r="BK220" s="4" t="str">
        <f>IFERROR(VLOOKUP(TEXT($B$3,"yyyymmdd")&amp;"_"&amp;TEXT(209,"0000"),RawData!$A$2:$F$1441,4,FALSE),"")</f>
        <v>00</v>
      </c>
      <c r="BL220" s="19">
        <f>TIME(0,0,0)+209/1440</f>
        <v>0.1451388888888889</v>
      </c>
      <c r="BM220" s="4">
        <f>IFERROR(VLOOKUP(TEXT($B$3,"yyyymmdd")&amp;"_"&amp;TEXT(209,"0000"),RawData!$A$2:$F$1441,5,FALSE),"")</f>
        <v>0</v>
      </c>
      <c r="BN220" s="4">
        <f t="shared" si="4"/>
        <v>0</v>
      </c>
    </row>
    <row r="221" spans="63:66" x14ac:dyDescent="0.6">
      <c r="BK221" s="4" t="str">
        <f>IFERROR(VLOOKUP(TEXT($B$3,"yyyymmdd")&amp;"_"&amp;TEXT(210,"0000"),RawData!$A$2:$F$1441,4,FALSE),"")</f>
        <v>00</v>
      </c>
      <c r="BL221" s="19">
        <f>TIME(0,0,0)+210/1440</f>
        <v>0.14583333333333334</v>
      </c>
      <c r="BM221" s="4">
        <f>IFERROR(VLOOKUP(TEXT($B$3,"yyyymmdd")&amp;"_"&amp;TEXT(210,"0000"),RawData!$A$2:$F$1441,5,FALSE),"")</f>
        <v>0</v>
      </c>
      <c r="BN221" s="4">
        <f t="shared" si="4"/>
        <v>0</v>
      </c>
    </row>
    <row r="222" spans="63:66" x14ac:dyDescent="0.6">
      <c r="BK222" s="4" t="str">
        <f>IFERROR(VLOOKUP(TEXT($B$3,"yyyymmdd")&amp;"_"&amp;TEXT(211,"0000"),RawData!$A$2:$F$1441,4,FALSE),"")</f>
        <v>00</v>
      </c>
      <c r="BL222" s="19">
        <f>TIME(0,0,0)+211/1440</f>
        <v>0.14652777777777778</v>
      </c>
      <c r="BM222" s="4">
        <f>IFERROR(VLOOKUP(TEXT($B$3,"yyyymmdd")&amp;"_"&amp;TEXT(211,"0000"),RawData!$A$2:$F$1441,5,FALSE),"")</f>
        <v>0</v>
      </c>
      <c r="BN222" s="4">
        <f t="shared" si="4"/>
        <v>0</v>
      </c>
    </row>
    <row r="223" spans="63:66" x14ac:dyDescent="0.6">
      <c r="BK223" s="4" t="str">
        <f>IFERROR(VLOOKUP(TEXT($B$3,"yyyymmdd")&amp;"_"&amp;TEXT(212,"0000"),RawData!$A$2:$F$1441,4,FALSE),"")</f>
        <v>00</v>
      </c>
      <c r="BL223" s="19">
        <f>TIME(0,0,0)+212/1440</f>
        <v>0.14722222222222223</v>
      </c>
      <c r="BM223" s="4">
        <f>IFERROR(VLOOKUP(TEXT($B$3,"yyyymmdd")&amp;"_"&amp;TEXT(212,"0000"),RawData!$A$2:$F$1441,5,FALSE),"")</f>
        <v>0</v>
      </c>
      <c r="BN223" s="4">
        <f t="shared" si="4"/>
        <v>0</v>
      </c>
    </row>
    <row r="224" spans="63:66" x14ac:dyDescent="0.6">
      <c r="BK224" s="4" t="str">
        <f>IFERROR(VLOOKUP(TEXT($B$3,"yyyymmdd")&amp;"_"&amp;TEXT(213,"0000"),RawData!$A$2:$F$1441,4,FALSE),"")</f>
        <v>00</v>
      </c>
      <c r="BL224" s="19">
        <f>TIME(0,0,0)+213/1440</f>
        <v>0.14791666666666667</v>
      </c>
      <c r="BM224" s="4">
        <f>IFERROR(VLOOKUP(TEXT($B$3,"yyyymmdd")&amp;"_"&amp;TEXT(213,"0000"),RawData!$A$2:$F$1441,5,FALSE),"")</f>
        <v>0</v>
      </c>
      <c r="BN224" s="4">
        <f t="shared" si="4"/>
        <v>0</v>
      </c>
    </row>
    <row r="225" spans="63:66" x14ac:dyDescent="0.6">
      <c r="BK225" s="4" t="str">
        <f>IFERROR(VLOOKUP(TEXT($B$3,"yyyymmdd")&amp;"_"&amp;TEXT(214,"0000"),RawData!$A$2:$F$1441,4,FALSE),"")</f>
        <v>00</v>
      </c>
      <c r="BL225" s="19">
        <f>TIME(0,0,0)+214/1440</f>
        <v>0.14861111111111111</v>
      </c>
      <c r="BM225" s="4">
        <f>IFERROR(VLOOKUP(TEXT($B$3,"yyyymmdd")&amp;"_"&amp;TEXT(214,"0000"),RawData!$A$2:$F$1441,5,FALSE),"")</f>
        <v>0</v>
      </c>
      <c r="BN225" s="4">
        <f t="shared" si="4"/>
        <v>0</v>
      </c>
    </row>
    <row r="226" spans="63:66" x14ac:dyDescent="0.6">
      <c r="BK226" s="4" t="str">
        <f>IFERROR(VLOOKUP(TEXT($B$3,"yyyymmdd")&amp;"_"&amp;TEXT(215,"0000"),RawData!$A$2:$F$1441,4,FALSE),"")</f>
        <v>00</v>
      </c>
      <c r="BL226" s="19">
        <f>TIME(0,0,0)+215/1440</f>
        <v>0.14930555555555555</v>
      </c>
      <c r="BM226" s="4">
        <f>IFERROR(VLOOKUP(TEXT($B$3,"yyyymmdd")&amp;"_"&amp;TEXT(215,"0000"),RawData!$A$2:$F$1441,5,FALSE),"")</f>
        <v>0</v>
      </c>
      <c r="BN226" s="4">
        <f t="shared" si="4"/>
        <v>0</v>
      </c>
    </row>
    <row r="227" spans="63:66" x14ac:dyDescent="0.6">
      <c r="BK227" s="4" t="str">
        <f>IFERROR(VLOOKUP(TEXT($B$3,"yyyymmdd")&amp;"_"&amp;TEXT(216,"0000"),RawData!$A$2:$F$1441,4,FALSE),"")</f>
        <v>00</v>
      </c>
      <c r="BL227" s="19">
        <f>TIME(0,0,0)+216/1440</f>
        <v>0.15</v>
      </c>
      <c r="BM227" s="4">
        <f>IFERROR(VLOOKUP(TEXT($B$3,"yyyymmdd")&amp;"_"&amp;TEXT(216,"0000"),RawData!$A$2:$F$1441,5,FALSE),"")</f>
        <v>0</v>
      </c>
      <c r="BN227" s="4">
        <f t="shared" si="4"/>
        <v>0</v>
      </c>
    </row>
    <row r="228" spans="63:66" x14ac:dyDescent="0.6">
      <c r="BK228" s="4" t="str">
        <f>IFERROR(VLOOKUP(TEXT($B$3,"yyyymmdd")&amp;"_"&amp;TEXT(217,"0000"),RawData!$A$2:$F$1441,4,FALSE),"")</f>
        <v>00</v>
      </c>
      <c r="BL228" s="19">
        <f>TIME(0,0,0)+217/1440</f>
        <v>0.15069444444444444</v>
      </c>
      <c r="BM228" s="4">
        <f>IFERROR(VLOOKUP(TEXT($B$3,"yyyymmdd")&amp;"_"&amp;TEXT(217,"0000"),RawData!$A$2:$F$1441,5,FALSE),"")</f>
        <v>0</v>
      </c>
      <c r="BN228" s="4">
        <f t="shared" si="4"/>
        <v>0</v>
      </c>
    </row>
    <row r="229" spans="63:66" x14ac:dyDescent="0.6">
      <c r="BK229" s="4" t="str">
        <f>IFERROR(VLOOKUP(TEXT($B$3,"yyyymmdd")&amp;"_"&amp;TEXT(218,"0000"),RawData!$A$2:$F$1441,4,FALSE),"")</f>
        <v>00</v>
      </c>
      <c r="BL229" s="19">
        <f>TIME(0,0,0)+218/1440</f>
        <v>0.15138888888888888</v>
      </c>
      <c r="BM229" s="4">
        <f>IFERROR(VLOOKUP(TEXT($B$3,"yyyymmdd")&amp;"_"&amp;TEXT(218,"0000"),RawData!$A$2:$F$1441,5,FALSE),"")</f>
        <v>0</v>
      </c>
      <c r="BN229" s="4">
        <f t="shared" si="4"/>
        <v>0</v>
      </c>
    </row>
    <row r="230" spans="63:66" x14ac:dyDescent="0.6">
      <c r="BK230" s="4" t="str">
        <f>IFERROR(VLOOKUP(TEXT($B$3,"yyyymmdd")&amp;"_"&amp;TEXT(219,"0000"),RawData!$A$2:$F$1441,4,FALSE),"")</f>
        <v>00</v>
      </c>
      <c r="BL230" s="19">
        <f>TIME(0,0,0)+219/1440</f>
        <v>0.15208333333333332</v>
      </c>
      <c r="BM230" s="4">
        <f>IFERROR(VLOOKUP(TEXT($B$3,"yyyymmdd")&amp;"_"&amp;TEXT(219,"0000"),RawData!$A$2:$F$1441,5,FALSE),"")</f>
        <v>0</v>
      </c>
      <c r="BN230" s="4">
        <f t="shared" si="4"/>
        <v>0</v>
      </c>
    </row>
    <row r="231" spans="63:66" x14ac:dyDescent="0.6">
      <c r="BK231" s="4" t="str">
        <f>IFERROR(VLOOKUP(TEXT($B$3,"yyyymmdd")&amp;"_"&amp;TEXT(220,"0000"),RawData!$A$2:$F$1441,4,FALSE),"")</f>
        <v>00</v>
      </c>
      <c r="BL231" s="19">
        <f>TIME(0,0,0)+220/1440</f>
        <v>0.15277777777777779</v>
      </c>
      <c r="BM231" s="4">
        <f>IFERROR(VLOOKUP(TEXT($B$3,"yyyymmdd")&amp;"_"&amp;TEXT(220,"0000"),RawData!$A$2:$F$1441,5,FALSE),"")</f>
        <v>0</v>
      </c>
      <c r="BN231" s="4">
        <f t="shared" si="4"/>
        <v>0</v>
      </c>
    </row>
    <row r="232" spans="63:66" x14ac:dyDescent="0.6">
      <c r="BK232" s="4" t="str">
        <f>IFERROR(VLOOKUP(TEXT($B$3,"yyyymmdd")&amp;"_"&amp;TEXT(221,"0000"),RawData!$A$2:$F$1441,4,FALSE),"")</f>
        <v>00</v>
      </c>
      <c r="BL232" s="19">
        <f>TIME(0,0,0)+221/1440</f>
        <v>0.15347222222222223</v>
      </c>
      <c r="BM232" s="4">
        <f>IFERROR(VLOOKUP(TEXT($B$3,"yyyymmdd")&amp;"_"&amp;TEXT(221,"0000"),RawData!$A$2:$F$1441,5,FALSE),"")</f>
        <v>0</v>
      </c>
      <c r="BN232" s="4">
        <f t="shared" si="4"/>
        <v>0</v>
      </c>
    </row>
    <row r="233" spans="63:66" x14ac:dyDescent="0.6">
      <c r="BK233" s="4" t="str">
        <f>IFERROR(VLOOKUP(TEXT($B$3,"yyyymmdd")&amp;"_"&amp;TEXT(222,"0000"),RawData!$A$2:$F$1441,4,FALSE),"")</f>
        <v>00</v>
      </c>
      <c r="BL233" s="19">
        <f>TIME(0,0,0)+222/1440</f>
        <v>0.15416666666666667</v>
      </c>
      <c r="BM233" s="4">
        <f>IFERROR(VLOOKUP(TEXT($B$3,"yyyymmdd")&amp;"_"&amp;TEXT(222,"0000"),RawData!$A$2:$F$1441,5,FALSE),"")</f>
        <v>0</v>
      </c>
      <c r="BN233" s="4">
        <f t="shared" si="4"/>
        <v>0</v>
      </c>
    </row>
    <row r="234" spans="63:66" x14ac:dyDescent="0.6">
      <c r="BK234" s="4" t="str">
        <f>IFERROR(VLOOKUP(TEXT($B$3,"yyyymmdd")&amp;"_"&amp;TEXT(223,"0000"),RawData!$A$2:$F$1441,4,FALSE),"")</f>
        <v>00</v>
      </c>
      <c r="BL234" s="19">
        <f>TIME(0,0,0)+223/1440</f>
        <v>0.15486111111111112</v>
      </c>
      <c r="BM234" s="4">
        <f>IFERROR(VLOOKUP(TEXT($B$3,"yyyymmdd")&amp;"_"&amp;TEXT(223,"0000"),RawData!$A$2:$F$1441,5,FALSE),"")</f>
        <v>0</v>
      </c>
      <c r="BN234" s="4">
        <f t="shared" si="4"/>
        <v>0</v>
      </c>
    </row>
    <row r="235" spans="63:66" x14ac:dyDescent="0.6">
      <c r="BK235" s="4" t="str">
        <f>IFERROR(VLOOKUP(TEXT($B$3,"yyyymmdd")&amp;"_"&amp;TEXT(224,"0000"),RawData!$A$2:$F$1441,4,FALSE),"")</f>
        <v>00</v>
      </c>
      <c r="BL235" s="19">
        <f>TIME(0,0,0)+224/1440</f>
        <v>0.15555555555555556</v>
      </c>
      <c r="BM235" s="4">
        <f>IFERROR(VLOOKUP(TEXT($B$3,"yyyymmdd")&amp;"_"&amp;TEXT(224,"0000"),RawData!$A$2:$F$1441,5,FALSE),"")</f>
        <v>0</v>
      </c>
      <c r="BN235" s="4">
        <f t="shared" si="4"/>
        <v>0</v>
      </c>
    </row>
    <row r="236" spans="63:66" x14ac:dyDescent="0.6">
      <c r="BK236" s="4" t="str">
        <f>IFERROR(VLOOKUP(TEXT($B$3,"yyyymmdd")&amp;"_"&amp;TEXT(225,"0000"),RawData!$A$2:$F$1441,4,FALSE),"")</f>
        <v>00</v>
      </c>
      <c r="BL236" s="19">
        <f>TIME(0,0,0)+225/1440</f>
        <v>0.15625</v>
      </c>
      <c r="BM236" s="4">
        <f>IFERROR(VLOOKUP(TEXT($B$3,"yyyymmdd")&amp;"_"&amp;TEXT(225,"0000"),RawData!$A$2:$F$1441,5,FALSE),"")</f>
        <v>0</v>
      </c>
      <c r="BN236" s="4">
        <f t="shared" si="4"/>
        <v>0</v>
      </c>
    </row>
    <row r="237" spans="63:66" x14ac:dyDescent="0.6">
      <c r="BK237" s="4" t="str">
        <f>IFERROR(VLOOKUP(TEXT($B$3,"yyyymmdd")&amp;"_"&amp;TEXT(226,"0000"),RawData!$A$2:$F$1441,4,FALSE),"")</f>
        <v>00</v>
      </c>
      <c r="BL237" s="19">
        <f>TIME(0,0,0)+226/1440</f>
        <v>0.15694444444444444</v>
      </c>
      <c r="BM237" s="4">
        <f>IFERROR(VLOOKUP(TEXT($B$3,"yyyymmdd")&amp;"_"&amp;TEXT(226,"0000"),RawData!$A$2:$F$1441,5,FALSE),"")</f>
        <v>0</v>
      </c>
      <c r="BN237" s="4">
        <f t="shared" si="4"/>
        <v>0</v>
      </c>
    </row>
    <row r="238" spans="63:66" x14ac:dyDescent="0.6">
      <c r="BK238" s="4" t="str">
        <f>IFERROR(VLOOKUP(TEXT($B$3,"yyyymmdd")&amp;"_"&amp;TEXT(227,"0000"),RawData!$A$2:$F$1441,4,FALSE),"")</f>
        <v>00</v>
      </c>
      <c r="BL238" s="19">
        <f>TIME(0,0,0)+227/1440</f>
        <v>0.15763888888888888</v>
      </c>
      <c r="BM238" s="4">
        <f>IFERROR(VLOOKUP(TEXT($B$3,"yyyymmdd")&amp;"_"&amp;TEXT(227,"0000"),RawData!$A$2:$F$1441,5,FALSE),"")</f>
        <v>0</v>
      </c>
      <c r="BN238" s="4">
        <f t="shared" si="4"/>
        <v>0</v>
      </c>
    </row>
    <row r="239" spans="63:66" x14ac:dyDescent="0.6">
      <c r="BK239" s="4" t="str">
        <f>IFERROR(VLOOKUP(TEXT($B$3,"yyyymmdd")&amp;"_"&amp;TEXT(228,"0000"),RawData!$A$2:$F$1441,4,FALSE),"")</f>
        <v>00</v>
      </c>
      <c r="BL239" s="19">
        <f>TIME(0,0,0)+228/1440</f>
        <v>0.15833333333333333</v>
      </c>
      <c r="BM239" s="4">
        <f>IFERROR(VLOOKUP(TEXT($B$3,"yyyymmdd")&amp;"_"&amp;TEXT(228,"0000"),RawData!$A$2:$F$1441,5,FALSE),"")</f>
        <v>0</v>
      </c>
      <c r="BN239" s="4">
        <f t="shared" si="4"/>
        <v>0</v>
      </c>
    </row>
    <row r="240" spans="63:66" x14ac:dyDescent="0.6">
      <c r="BK240" s="4" t="str">
        <f>IFERROR(VLOOKUP(TEXT($B$3,"yyyymmdd")&amp;"_"&amp;TEXT(229,"0000"),RawData!$A$2:$F$1441,4,FALSE),"")</f>
        <v>00</v>
      </c>
      <c r="BL240" s="19">
        <f>TIME(0,0,0)+229/1440</f>
        <v>0.15902777777777777</v>
      </c>
      <c r="BM240" s="4">
        <f>IFERROR(VLOOKUP(TEXT($B$3,"yyyymmdd")&amp;"_"&amp;TEXT(229,"0000"),RawData!$A$2:$F$1441,5,FALSE),"")</f>
        <v>0</v>
      </c>
      <c r="BN240" s="4">
        <f t="shared" ref="BN240:BN303" si="5">IF(BK234="","",IF(BK234&lt;&gt;BK233,1,0))</f>
        <v>0</v>
      </c>
    </row>
    <row r="241" spans="63:66" x14ac:dyDescent="0.6">
      <c r="BK241" s="4" t="str">
        <f>IFERROR(VLOOKUP(TEXT($B$3,"yyyymmdd")&amp;"_"&amp;TEXT(230,"0000"),RawData!$A$2:$F$1441,4,FALSE),"")</f>
        <v>00</v>
      </c>
      <c r="BL241" s="19">
        <f>TIME(0,0,0)+230/1440</f>
        <v>0.15972222222222221</v>
      </c>
      <c r="BM241" s="4">
        <f>IFERROR(VLOOKUP(TEXT($B$3,"yyyymmdd")&amp;"_"&amp;TEXT(230,"0000"),RawData!$A$2:$F$1441,5,FALSE),"")</f>
        <v>0</v>
      </c>
      <c r="BN241" s="4">
        <f t="shared" si="5"/>
        <v>0</v>
      </c>
    </row>
    <row r="242" spans="63:66" x14ac:dyDescent="0.6">
      <c r="BK242" s="4" t="str">
        <f>IFERROR(VLOOKUP(TEXT($B$3,"yyyymmdd")&amp;"_"&amp;TEXT(231,"0000"),RawData!$A$2:$F$1441,4,FALSE),"")</f>
        <v>00</v>
      </c>
      <c r="BL242" s="19">
        <f>TIME(0,0,0)+231/1440</f>
        <v>0.16041666666666668</v>
      </c>
      <c r="BM242" s="4">
        <f>IFERROR(VLOOKUP(TEXT($B$3,"yyyymmdd")&amp;"_"&amp;TEXT(231,"0000"),RawData!$A$2:$F$1441,5,FALSE),"")</f>
        <v>0</v>
      </c>
      <c r="BN242" s="4">
        <f t="shared" si="5"/>
        <v>0</v>
      </c>
    </row>
    <row r="243" spans="63:66" x14ac:dyDescent="0.6">
      <c r="BK243" s="4" t="str">
        <f>IFERROR(VLOOKUP(TEXT($B$3,"yyyymmdd")&amp;"_"&amp;TEXT(232,"0000"),RawData!$A$2:$F$1441,4,FALSE),"")</f>
        <v>00</v>
      </c>
      <c r="BL243" s="19">
        <f>TIME(0,0,0)+232/1440</f>
        <v>0.16111111111111112</v>
      </c>
      <c r="BM243" s="4">
        <f>IFERROR(VLOOKUP(TEXT($B$3,"yyyymmdd")&amp;"_"&amp;TEXT(232,"0000"),RawData!$A$2:$F$1441,5,FALSE),"")</f>
        <v>0</v>
      </c>
      <c r="BN243" s="4">
        <f t="shared" si="5"/>
        <v>0</v>
      </c>
    </row>
    <row r="244" spans="63:66" x14ac:dyDescent="0.6">
      <c r="BK244" s="4" t="str">
        <f>IFERROR(VLOOKUP(TEXT($B$3,"yyyymmdd")&amp;"_"&amp;TEXT(233,"0000"),RawData!$A$2:$F$1441,4,FALSE),"")</f>
        <v>00</v>
      </c>
      <c r="BL244" s="19">
        <f>TIME(0,0,0)+233/1440</f>
        <v>0.16180555555555556</v>
      </c>
      <c r="BM244" s="4">
        <f>IFERROR(VLOOKUP(TEXT($B$3,"yyyymmdd")&amp;"_"&amp;TEXT(233,"0000"),RawData!$A$2:$F$1441,5,FALSE),"")</f>
        <v>0</v>
      </c>
      <c r="BN244" s="4">
        <f t="shared" si="5"/>
        <v>0</v>
      </c>
    </row>
    <row r="245" spans="63:66" x14ac:dyDescent="0.6">
      <c r="BK245" s="4" t="str">
        <f>IFERROR(VLOOKUP(TEXT($B$3,"yyyymmdd")&amp;"_"&amp;TEXT(234,"0000"),RawData!$A$2:$F$1441,4,FALSE),"")</f>
        <v>00</v>
      </c>
      <c r="BL245" s="19">
        <f>TIME(0,0,0)+234/1440</f>
        <v>0.16250000000000001</v>
      </c>
      <c r="BM245" s="4">
        <f>IFERROR(VLOOKUP(TEXT($B$3,"yyyymmdd")&amp;"_"&amp;TEXT(234,"0000"),RawData!$A$2:$F$1441,5,FALSE),"")</f>
        <v>0</v>
      </c>
      <c r="BN245" s="4">
        <f t="shared" si="5"/>
        <v>0</v>
      </c>
    </row>
    <row r="246" spans="63:66" x14ac:dyDescent="0.6">
      <c r="BK246" s="4" t="str">
        <f>IFERROR(VLOOKUP(TEXT($B$3,"yyyymmdd")&amp;"_"&amp;TEXT(235,"0000"),RawData!$A$2:$F$1441,4,FALSE),"")</f>
        <v>00</v>
      </c>
      <c r="BL246" s="19">
        <f>TIME(0,0,0)+235/1440</f>
        <v>0.16319444444444445</v>
      </c>
      <c r="BM246" s="4">
        <f>IFERROR(VLOOKUP(TEXT($B$3,"yyyymmdd")&amp;"_"&amp;TEXT(235,"0000"),RawData!$A$2:$F$1441,5,FALSE),"")</f>
        <v>0</v>
      </c>
      <c r="BN246" s="4">
        <f t="shared" si="5"/>
        <v>0</v>
      </c>
    </row>
    <row r="247" spans="63:66" x14ac:dyDescent="0.6">
      <c r="BK247" s="4" t="str">
        <f>IFERROR(VLOOKUP(TEXT($B$3,"yyyymmdd")&amp;"_"&amp;TEXT(236,"0000"),RawData!$A$2:$F$1441,4,FALSE),"")</f>
        <v>00</v>
      </c>
      <c r="BL247" s="19">
        <f>TIME(0,0,0)+236/1440</f>
        <v>0.16388888888888889</v>
      </c>
      <c r="BM247" s="4">
        <f>IFERROR(VLOOKUP(TEXT($B$3,"yyyymmdd")&amp;"_"&amp;TEXT(236,"0000"),RawData!$A$2:$F$1441,5,FALSE),"")</f>
        <v>0</v>
      </c>
      <c r="BN247" s="4">
        <f t="shared" si="5"/>
        <v>0</v>
      </c>
    </row>
    <row r="248" spans="63:66" x14ac:dyDescent="0.6">
      <c r="BK248" s="4" t="str">
        <f>IFERROR(VLOOKUP(TEXT($B$3,"yyyymmdd")&amp;"_"&amp;TEXT(237,"0000"),RawData!$A$2:$F$1441,4,FALSE),"")</f>
        <v>00</v>
      </c>
      <c r="BL248" s="19">
        <f>TIME(0,0,0)+237/1440</f>
        <v>0.16458333333333333</v>
      </c>
      <c r="BM248" s="4">
        <f>IFERROR(VLOOKUP(TEXT($B$3,"yyyymmdd")&amp;"_"&amp;TEXT(237,"0000"),RawData!$A$2:$F$1441,5,FALSE),"")</f>
        <v>0</v>
      </c>
      <c r="BN248" s="4">
        <f t="shared" si="5"/>
        <v>0</v>
      </c>
    </row>
    <row r="249" spans="63:66" x14ac:dyDescent="0.6">
      <c r="BK249" s="4" t="str">
        <f>IFERROR(VLOOKUP(TEXT($B$3,"yyyymmdd")&amp;"_"&amp;TEXT(238,"0000"),RawData!$A$2:$F$1441,4,FALSE),"")</f>
        <v>00</v>
      </c>
      <c r="BL249" s="19">
        <f>TIME(0,0,0)+238/1440</f>
        <v>0.16527777777777777</v>
      </c>
      <c r="BM249" s="4">
        <f>IFERROR(VLOOKUP(TEXT($B$3,"yyyymmdd")&amp;"_"&amp;TEXT(238,"0000"),RawData!$A$2:$F$1441,5,FALSE),"")</f>
        <v>0</v>
      </c>
      <c r="BN249" s="4">
        <f t="shared" si="5"/>
        <v>0</v>
      </c>
    </row>
    <row r="250" spans="63:66" x14ac:dyDescent="0.6">
      <c r="BK250" s="4" t="str">
        <f>IFERROR(VLOOKUP(TEXT($B$3,"yyyymmdd")&amp;"_"&amp;TEXT(239,"0000"),RawData!$A$2:$F$1441,4,FALSE),"")</f>
        <v>00</v>
      </c>
      <c r="BL250" s="19">
        <f>TIME(0,0,0)+239/1440</f>
        <v>0.16597222222222222</v>
      </c>
      <c r="BM250" s="4">
        <f>IFERROR(VLOOKUP(TEXT($B$3,"yyyymmdd")&amp;"_"&amp;TEXT(239,"0000"),RawData!$A$2:$F$1441,5,FALSE),"")</f>
        <v>0</v>
      </c>
      <c r="BN250" s="4">
        <f t="shared" si="5"/>
        <v>0</v>
      </c>
    </row>
    <row r="251" spans="63:66" x14ac:dyDescent="0.6">
      <c r="BK251" s="4" t="str">
        <f>IFERROR(VLOOKUP(TEXT($B$3,"yyyymmdd")&amp;"_"&amp;TEXT(240,"0000"),RawData!$A$2:$F$1441,4,FALSE),"")</f>
        <v>00</v>
      </c>
      <c r="BL251" s="19">
        <f>TIME(0,0,0)+240/1440</f>
        <v>0.16666666666666666</v>
      </c>
      <c r="BM251" s="4">
        <f>IFERROR(VLOOKUP(TEXT($B$3,"yyyymmdd")&amp;"_"&amp;TEXT(240,"0000"),RawData!$A$2:$F$1441,5,FALSE),"")</f>
        <v>0</v>
      </c>
      <c r="BN251" s="4">
        <f t="shared" si="5"/>
        <v>0</v>
      </c>
    </row>
    <row r="252" spans="63:66" x14ac:dyDescent="0.6">
      <c r="BK252" s="4" t="str">
        <f>IFERROR(VLOOKUP(TEXT($B$3,"yyyymmdd")&amp;"_"&amp;TEXT(241,"0000"),RawData!$A$2:$F$1441,4,FALSE),"")</f>
        <v>00</v>
      </c>
      <c r="BL252" s="19">
        <f>TIME(0,0,0)+241/1440</f>
        <v>0.1673611111111111</v>
      </c>
      <c r="BM252" s="4">
        <f>IFERROR(VLOOKUP(TEXT($B$3,"yyyymmdd")&amp;"_"&amp;TEXT(241,"0000"),RawData!$A$2:$F$1441,5,FALSE),"")</f>
        <v>0</v>
      </c>
      <c r="BN252" s="4">
        <f t="shared" si="5"/>
        <v>0</v>
      </c>
    </row>
    <row r="253" spans="63:66" x14ac:dyDescent="0.6">
      <c r="BK253" s="4" t="str">
        <f>IFERROR(VLOOKUP(TEXT($B$3,"yyyymmdd")&amp;"_"&amp;TEXT(242,"0000"),RawData!$A$2:$F$1441,4,FALSE),"")</f>
        <v>00</v>
      </c>
      <c r="BL253" s="19">
        <f>TIME(0,0,0)+242/1440</f>
        <v>0.16805555555555557</v>
      </c>
      <c r="BM253" s="4">
        <f>IFERROR(VLOOKUP(TEXT($B$3,"yyyymmdd")&amp;"_"&amp;TEXT(242,"0000"),RawData!$A$2:$F$1441,5,FALSE),"")</f>
        <v>0</v>
      </c>
      <c r="BN253" s="4">
        <f t="shared" si="5"/>
        <v>0</v>
      </c>
    </row>
    <row r="254" spans="63:66" x14ac:dyDescent="0.6">
      <c r="BK254" s="4" t="str">
        <f>IFERROR(VLOOKUP(TEXT($B$3,"yyyymmdd")&amp;"_"&amp;TEXT(243,"0000"),RawData!$A$2:$F$1441,4,FALSE),"")</f>
        <v>00</v>
      </c>
      <c r="BL254" s="19">
        <f>TIME(0,0,0)+243/1440</f>
        <v>0.16875000000000001</v>
      </c>
      <c r="BM254" s="4">
        <f>IFERROR(VLOOKUP(TEXT($B$3,"yyyymmdd")&amp;"_"&amp;TEXT(243,"0000"),RawData!$A$2:$F$1441,5,FALSE),"")</f>
        <v>0</v>
      </c>
      <c r="BN254" s="4">
        <f t="shared" si="5"/>
        <v>0</v>
      </c>
    </row>
    <row r="255" spans="63:66" x14ac:dyDescent="0.6">
      <c r="BK255" s="4" t="str">
        <f>IFERROR(VLOOKUP(TEXT($B$3,"yyyymmdd")&amp;"_"&amp;TEXT(244,"0000"),RawData!$A$2:$F$1441,4,FALSE),"")</f>
        <v>00</v>
      </c>
      <c r="BL255" s="19">
        <f>TIME(0,0,0)+244/1440</f>
        <v>0.16944444444444445</v>
      </c>
      <c r="BM255" s="4">
        <f>IFERROR(VLOOKUP(TEXT($B$3,"yyyymmdd")&amp;"_"&amp;TEXT(244,"0000"),RawData!$A$2:$F$1441,5,FALSE),"")</f>
        <v>0</v>
      </c>
      <c r="BN255" s="4">
        <f t="shared" si="5"/>
        <v>0</v>
      </c>
    </row>
    <row r="256" spans="63:66" x14ac:dyDescent="0.6">
      <c r="BK256" s="4" t="str">
        <f>IFERROR(VLOOKUP(TEXT($B$3,"yyyymmdd")&amp;"_"&amp;TEXT(245,"0000"),RawData!$A$2:$F$1441,4,FALSE),"")</f>
        <v>00</v>
      </c>
      <c r="BL256" s="19">
        <f>TIME(0,0,0)+245/1440</f>
        <v>0.1701388888888889</v>
      </c>
      <c r="BM256" s="4">
        <f>IFERROR(VLOOKUP(TEXT($B$3,"yyyymmdd")&amp;"_"&amp;TEXT(245,"0000"),RawData!$A$2:$F$1441,5,FALSE),"")</f>
        <v>0</v>
      </c>
      <c r="BN256" s="4">
        <f t="shared" si="5"/>
        <v>0</v>
      </c>
    </row>
    <row r="257" spans="63:66" x14ac:dyDescent="0.6">
      <c r="BK257" s="4" t="str">
        <f>IFERROR(VLOOKUP(TEXT($B$3,"yyyymmdd")&amp;"_"&amp;TEXT(246,"0000"),RawData!$A$2:$F$1441,4,FALSE),"")</f>
        <v>00</v>
      </c>
      <c r="BL257" s="19">
        <f>TIME(0,0,0)+246/1440</f>
        <v>0.17083333333333334</v>
      </c>
      <c r="BM257" s="4">
        <f>IFERROR(VLOOKUP(TEXT($B$3,"yyyymmdd")&amp;"_"&amp;TEXT(246,"0000"),RawData!$A$2:$F$1441,5,FALSE),"")</f>
        <v>0</v>
      </c>
      <c r="BN257" s="4">
        <f t="shared" si="5"/>
        <v>0</v>
      </c>
    </row>
    <row r="258" spans="63:66" x14ac:dyDescent="0.6">
      <c r="BK258" s="4" t="str">
        <f>IFERROR(VLOOKUP(TEXT($B$3,"yyyymmdd")&amp;"_"&amp;TEXT(247,"0000"),RawData!$A$2:$F$1441,4,FALSE),"")</f>
        <v>00</v>
      </c>
      <c r="BL258" s="19">
        <f>TIME(0,0,0)+247/1440</f>
        <v>0.17152777777777778</v>
      </c>
      <c r="BM258" s="4">
        <f>IFERROR(VLOOKUP(TEXT($B$3,"yyyymmdd")&amp;"_"&amp;TEXT(247,"0000"),RawData!$A$2:$F$1441,5,FALSE),"")</f>
        <v>0</v>
      </c>
      <c r="BN258" s="4">
        <f t="shared" si="5"/>
        <v>0</v>
      </c>
    </row>
    <row r="259" spans="63:66" x14ac:dyDescent="0.6">
      <c r="BK259" s="4" t="str">
        <f>IFERROR(VLOOKUP(TEXT($B$3,"yyyymmdd")&amp;"_"&amp;TEXT(248,"0000"),RawData!$A$2:$F$1441,4,FALSE),"")</f>
        <v>00</v>
      </c>
      <c r="BL259" s="19">
        <f>TIME(0,0,0)+248/1440</f>
        <v>0.17222222222222222</v>
      </c>
      <c r="BM259" s="4">
        <f>IFERROR(VLOOKUP(TEXT($B$3,"yyyymmdd")&amp;"_"&amp;TEXT(248,"0000"),RawData!$A$2:$F$1441,5,FALSE),"")</f>
        <v>0</v>
      </c>
      <c r="BN259" s="4">
        <f t="shared" si="5"/>
        <v>0</v>
      </c>
    </row>
    <row r="260" spans="63:66" x14ac:dyDescent="0.6">
      <c r="BK260" s="4" t="str">
        <f>IFERROR(VLOOKUP(TEXT($B$3,"yyyymmdd")&amp;"_"&amp;TEXT(249,"0000"),RawData!$A$2:$F$1441,4,FALSE),"")</f>
        <v>00</v>
      </c>
      <c r="BL260" s="19">
        <f>TIME(0,0,0)+249/1440</f>
        <v>0.17291666666666666</v>
      </c>
      <c r="BM260" s="4">
        <f>IFERROR(VLOOKUP(TEXT($B$3,"yyyymmdd")&amp;"_"&amp;TEXT(249,"0000"),RawData!$A$2:$F$1441,5,FALSE),"")</f>
        <v>0</v>
      </c>
      <c r="BN260" s="4">
        <f t="shared" si="5"/>
        <v>0</v>
      </c>
    </row>
    <row r="261" spans="63:66" x14ac:dyDescent="0.6">
      <c r="BK261" s="4" t="str">
        <f>IFERROR(VLOOKUP(TEXT($B$3,"yyyymmdd")&amp;"_"&amp;TEXT(250,"0000"),RawData!$A$2:$F$1441,4,FALSE),"")</f>
        <v>00</v>
      </c>
      <c r="BL261" s="19">
        <f>TIME(0,0,0)+250/1440</f>
        <v>0.1736111111111111</v>
      </c>
      <c r="BM261" s="4">
        <f>IFERROR(VLOOKUP(TEXT($B$3,"yyyymmdd")&amp;"_"&amp;TEXT(250,"0000"),RawData!$A$2:$F$1441,5,FALSE),"")</f>
        <v>0</v>
      </c>
      <c r="BN261" s="4">
        <f t="shared" si="5"/>
        <v>0</v>
      </c>
    </row>
    <row r="262" spans="63:66" x14ac:dyDescent="0.6">
      <c r="BK262" s="4" t="str">
        <f>IFERROR(VLOOKUP(TEXT($B$3,"yyyymmdd")&amp;"_"&amp;TEXT(251,"0000"),RawData!$A$2:$F$1441,4,FALSE),"")</f>
        <v>00</v>
      </c>
      <c r="BL262" s="19">
        <f>TIME(0,0,0)+251/1440</f>
        <v>0.17430555555555555</v>
      </c>
      <c r="BM262" s="4">
        <f>IFERROR(VLOOKUP(TEXT($B$3,"yyyymmdd")&amp;"_"&amp;TEXT(251,"0000"),RawData!$A$2:$F$1441,5,FALSE),"")</f>
        <v>0</v>
      </c>
      <c r="BN262" s="4">
        <f t="shared" si="5"/>
        <v>0</v>
      </c>
    </row>
    <row r="263" spans="63:66" x14ac:dyDescent="0.6">
      <c r="BK263" s="4" t="str">
        <f>IFERROR(VLOOKUP(TEXT($B$3,"yyyymmdd")&amp;"_"&amp;TEXT(252,"0000"),RawData!$A$2:$F$1441,4,FALSE),"")</f>
        <v>00</v>
      </c>
      <c r="BL263" s="19">
        <f>TIME(0,0,0)+252/1440</f>
        <v>0.17499999999999999</v>
      </c>
      <c r="BM263" s="4">
        <f>IFERROR(VLOOKUP(TEXT($B$3,"yyyymmdd")&amp;"_"&amp;TEXT(252,"0000"),RawData!$A$2:$F$1441,5,FALSE),"")</f>
        <v>0</v>
      </c>
      <c r="BN263" s="4">
        <f t="shared" si="5"/>
        <v>0</v>
      </c>
    </row>
    <row r="264" spans="63:66" x14ac:dyDescent="0.6">
      <c r="BK264" s="4" t="str">
        <f>IFERROR(VLOOKUP(TEXT($B$3,"yyyymmdd")&amp;"_"&amp;TEXT(253,"0000"),RawData!$A$2:$F$1441,4,FALSE),"")</f>
        <v>00</v>
      </c>
      <c r="BL264" s="19">
        <f>TIME(0,0,0)+253/1440</f>
        <v>0.17569444444444443</v>
      </c>
      <c r="BM264" s="4">
        <f>IFERROR(VLOOKUP(TEXT($B$3,"yyyymmdd")&amp;"_"&amp;TEXT(253,"0000"),RawData!$A$2:$F$1441,5,FALSE),"")</f>
        <v>0</v>
      </c>
      <c r="BN264" s="4">
        <f t="shared" si="5"/>
        <v>0</v>
      </c>
    </row>
    <row r="265" spans="63:66" x14ac:dyDescent="0.6">
      <c r="BK265" s="4" t="str">
        <f>IFERROR(VLOOKUP(TEXT($B$3,"yyyymmdd")&amp;"_"&amp;TEXT(254,"0000"),RawData!$A$2:$F$1441,4,FALSE),"")</f>
        <v>00</v>
      </c>
      <c r="BL265" s="19">
        <f>TIME(0,0,0)+254/1440</f>
        <v>0.1763888888888889</v>
      </c>
      <c r="BM265" s="4">
        <f>IFERROR(VLOOKUP(TEXT($B$3,"yyyymmdd")&amp;"_"&amp;TEXT(254,"0000"),RawData!$A$2:$F$1441,5,FALSE),"")</f>
        <v>0</v>
      </c>
      <c r="BN265" s="4">
        <f t="shared" si="5"/>
        <v>0</v>
      </c>
    </row>
    <row r="266" spans="63:66" x14ac:dyDescent="0.6">
      <c r="BK266" s="4" t="str">
        <f>IFERROR(VLOOKUP(TEXT($B$3,"yyyymmdd")&amp;"_"&amp;TEXT(255,"0000"),RawData!$A$2:$F$1441,4,FALSE),"")</f>
        <v>00</v>
      </c>
      <c r="BL266" s="19">
        <f>TIME(0,0,0)+255/1440</f>
        <v>0.17708333333333334</v>
      </c>
      <c r="BM266" s="4">
        <f>IFERROR(VLOOKUP(TEXT($B$3,"yyyymmdd")&amp;"_"&amp;TEXT(255,"0000"),RawData!$A$2:$F$1441,5,FALSE),"")</f>
        <v>0</v>
      </c>
      <c r="BN266" s="4">
        <f t="shared" si="5"/>
        <v>0</v>
      </c>
    </row>
    <row r="267" spans="63:66" x14ac:dyDescent="0.6">
      <c r="BK267" s="4" t="str">
        <f>IFERROR(VLOOKUP(TEXT($B$3,"yyyymmdd")&amp;"_"&amp;TEXT(256,"0000"),RawData!$A$2:$F$1441,4,FALSE),"")</f>
        <v>00</v>
      </c>
      <c r="BL267" s="19">
        <f>TIME(0,0,0)+256/1440</f>
        <v>0.17777777777777778</v>
      </c>
      <c r="BM267" s="4">
        <f>IFERROR(VLOOKUP(TEXT($B$3,"yyyymmdd")&amp;"_"&amp;TEXT(256,"0000"),RawData!$A$2:$F$1441,5,FALSE),"")</f>
        <v>0</v>
      </c>
      <c r="BN267" s="4">
        <f t="shared" si="5"/>
        <v>0</v>
      </c>
    </row>
    <row r="268" spans="63:66" x14ac:dyDescent="0.6">
      <c r="BK268" s="4" t="str">
        <f>IFERROR(VLOOKUP(TEXT($B$3,"yyyymmdd")&amp;"_"&amp;TEXT(257,"0000"),RawData!$A$2:$F$1441,4,FALSE),"")</f>
        <v>00</v>
      </c>
      <c r="BL268" s="19">
        <f>TIME(0,0,0)+257/1440</f>
        <v>0.17847222222222223</v>
      </c>
      <c r="BM268" s="4">
        <f>IFERROR(VLOOKUP(TEXT($B$3,"yyyymmdd")&amp;"_"&amp;TEXT(257,"0000"),RawData!$A$2:$F$1441,5,FALSE),"")</f>
        <v>0</v>
      </c>
      <c r="BN268" s="4">
        <f t="shared" si="5"/>
        <v>0</v>
      </c>
    </row>
    <row r="269" spans="63:66" x14ac:dyDescent="0.6">
      <c r="BK269" s="4" t="str">
        <f>IFERROR(VLOOKUP(TEXT($B$3,"yyyymmdd")&amp;"_"&amp;TEXT(258,"0000"),RawData!$A$2:$F$1441,4,FALSE),"")</f>
        <v>00</v>
      </c>
      <c r="BL269" s="19">
        <f>TIME(0,0,0)+258/1440</f>
        <v>0.17916666666666667</v>
      </c>
      <c r="BM269" s="4">
        <f>IFERROR(VLOOKUP(TEXT($B$3,"yyyymmdd")&amp;"_"&amp;TEXT(258,"0000"),RawData!$A$2:$F$1441,5,FALSE),"")</f>
        <v>0</v>
      </c>
      <c r="BN269" s="4">
        <f t="shared" si="5"/>
        <v>0</v>
      </c>
    </row>
    <row r="270" spans="63:66" x14ac:dyDescent="0.6">
      <c r="BK270" s="4" t="str">
        <f>IFERROR(VLOOKUP(TEXT($B$3,"yyyymmdd")&amp;"_"&amp;TEXT(259,"0000"),RawData!$A$2:$F$1441,4,FALSE),"")</f>
        <v>00</v>
      </c>
      <c r="BL270" s="19">
        <f>TIME(0,0,0)+259/1440</f>
        <v>0.17986111111111111</v>
      </c>
      <c r="BM270" s="4">
        <f>IFERROR(VLOOKUP(TEXT($B$3,"yyyymmdd")&amp;"_"&amp;TEXT(259,"0000"),RawData!$A$2:$F$1441,5,FALSE),"")</f>
        <v>0</v>
      </c>
      <c r="BN270" s="4">
        <f t="shared" si="5"/>
        <v>0</v>
      </c>
    </row>
    <row r="271" spans="63:66" x14ac:dyDescent="0.6">
      <c r="BK271" s="4" t="str">
        <f>IFERROR(VLOOKUP(TEXT($B$3,"yyyymmdd")&amp;"_"&amp;TEXT(260,"0000"),RawData!$A$2:$F$1441,4,FALSE),"")</f>
        <v>00</v>
      </c>
      <c r="BL271" s="19">
        <f>TIME(0,0,0)+260/1440</f>
        <v>0.18055555555555555</v>
      </c>
      <c r="BM271" s="4">
        <f>IFERROR(VLOOKUP(TEXT($B$3,"yyyymmdd")&amp;"_"&amp;TEXT(260,"0000"),RawData!$A$2:$F$1441,5,FALSE),"")</f>
        <v>0</v>
      </c>
      <c r="BN271" s="4">
        <f t="shared" si="5"/>
        <v>0</v>
      </c>
    </row>
    <row r="272" spans="63:66" x14ac:dyDescent="0.6">
      <c r="BK272" s="4" t="str">
        <f>IFERROR(VLOOKUP(TEXT($B$3,"yyyymmdd")&amp;"_"&amp;TEXT(261,"0000"),RawData!$A$2:$F$1441,4,FALSE),"")</f>
        <v>00</v>
      </c>
      <c r="BL272" s="19">
        <f>TIME(0,0,0)+261/1440</f>
        <v>0.18124999999999999</v>
      </c>
      <c r="BM272" s="4">
        <f>IFERROR(VLOOKUP(TEXT($B$3,"yyyymmdd")&amp;"_"&amp;TEXT(261,"0000"),RawData!$A$2:$F$1441,5,FALSE),"")</f>
        <v>0</v>
      </c>
      <c r="BN272" s="4">
        <f t="shared" si="5"/>
        <v>0</v>
      </c>
    </row>
    <row r="273" spans="63:66" x14ac:dyDescent="0.6">
      <c r="BK273" s="4" t="str">
        <f>IFERROR(VLOOKUP(TEXT($B$3,"yyyymmdd")&amp;"_"&amp;TEXT(262,"0000"),RawData!$A$2:$F$1441,4,FALSE),"")</f>
        <v>00</v>
      </c>
      <c r="BL273" s="19">
        <f>TIME(0,0,0)+262/1440</f>
        <v>0.18194444444444444</v>
      </c>
      <c r="BM273" s="4">
        <f>IFERROR(VLOOKUP(TEXT($B$3,"yyyymmdd")&amp;"_"&amp;TEXT(262,"0000"),RawData!$A$2:$F$1441,5,FALSE),"")</f>
        <v>0</v>
      </c>
      <c r="BN273" s="4">
        <f t="shared" si="5"/>
        <v>0</v>
      </c>
    </row>
    <row r="274" spans="63:66" x14ac:dyDescent="0.6">
      <c r="BK274" s="4" t="str">
        <f>IFERROR(VLOOKUP(TEXT($B$3,"yyyymmdd")&amp;"_"&amp;TEXT(263,"0000"),RawData!$A$2:$F$1441,4,FALSE),"")</f>
        <v>00</v>
      </c>
      <c r="BL274" s="19">
        <f>TIME(0,0,0)+263/1440</f>
        <v>0.18263888888888888</v>
      </c>
      <c r="BM274" s="4">
        <f>IFERROR(VLOOKUP(TEXT($B$3,"yyyymmdd")&amp;"_"&amp;TEXT(263,"0000"),RawData!$A$2:$F$1441,5,FALSE),"")</f>
        <v>0</v>
      </c>
      <c r="BN274" s="4">
        <f t="shared" si="5"/>
        <v>0</v>
      </c>
    </row>
    <row r="275" spans="63:66" x14ac:dyDescent="0.6">
      <c r="BK275" s="4" t="str">
        <f>IFERROR(VLOOKUP(TEXT($B$3,"yyyymmdd")&amp;"_"&amp;TEXT(264,"0000"),RawData!$A$2:$F$1441,4,FALSE),"")</f>
        <v>00</v>
      </c>
      <c r="BL275" s="19">
        <f>TIME(0,0,0)+264/1440</f>
        <v>0.18333333333333332</v>
      </c>
      <c r="BM275" s="4">
        <f>IFERROR(VLOOKUP(TEXT($B$3,"yyyymmdd")&amp;"_"&amp;TEXT(264,"0000"),RawData!$A$2:$F$1441,5,FALSE),"")</f>
        <v>0</v>
      </c>
      <c r="BN275" s="4">
        <f t="shared" si="5"/>
        <v>0</v>
      </c>
    </row>
    <row r="276" spans="63:66" x14ac:dyDescent="0.6">
      <c r="BK276" s="4" t="str">
        <f>IFERROR(VLOOKUP(TEXT($B$3,"yyyymmdd")&amp;"_"&amp;TEXT(265,"0000"),RawData!$A$2:$F$1441,4,FALSE),"")</f>
        <v>00</v>
      </c>
      <c r="BL276" s="19">
        <f>TIME(0,0,0)+265/1440</f>
        <v>0.18402777777777779</v>
      </c>
      <c r="BM276" s="4">
        <f>IFERROR(VLOOKUP(TEXT($B$3,"yyyymmdd")&amp;"_"&amp;TEXT(265,"0000"),RawData!$A$2:$F$1441,5,FALSE),"")</f>
        <v>0</v>
      </c>
      <c r="BN276" s="4">
        <f t="shared" si="5"/>
        <v>0</v>
      </c>
    </row>
    <row r="277" spans="63:66" x14ac:dyDescent="0.6">
      <c r="BK277" s="4" t="str">
        <f>IFERROR(VLOOKUP(TEXT($B$3,"yyyymmdd")&amp;"_"&amp;TEXT(266,"0000"),RawData!$A$2:$F$1441,4,FALSE),"")</f>
        <v>00</v>
      </c>
      <c r="BL277" s="19">
        <f>TIME(0,0,0)+266/1440</f>
        <v>0.18472222222222223</v>
      </c>
      <c r="BM277" s="4">
        <f>IFERROR(VLOOKUP(TEXT($B$3,"yyyymmdd")&amp;"_"&amp;TEXT(266,"0000"),RawData!$A$2:$F$1441,5,FALSE),"")</f>
        <v>0</v>
      </c>
      <c r="BN277" s="4">
        <f t="shared" si="5"/>
        <v>0</v>
      </c>
    </row>
    <row r="278" spans="63:66" x14ac:dyDescent="0.6">
      <c r="BK278" s="4" t="str">
        <f>IFERROR(VLOOKUP(TEXT($B$3,"yyyymmdd")&amp;"_"&amp;TEXT(267,"0000"),RawData!$A$2:$F$1441,4,FALSE),"")</f>
        <v>00</v>
      </c>
      <c r="BL278" s="19">
        <f>TIME(0,0,0)+267/1440</f>
        <v>0.18541666666666667</v>
      </c>
      <c r="BM278" s="4">
        <f>IFERROR(VLOOKUP(TEXT($B$3,"yyyymmdd")&amp;"_"&amp;TEXT(267,"0000"),RawData!$A$2:$F$1441,5,FALSE),"")</f>
        <v>0</v>
      </c>
      <c r="BN278" s="4">
        <f t="shared" si="5"/>
        <v>0</v>
      </c>
    </row>
    <row r="279" spans="63:66" x14ac:dyDescent="0.6">
      <c r="BK279" s="4" t="str">
        <f>IFERROR(VLOOKUP(TEXT($B$3,"yyyymmdd")&amp;"_"&amp;TEXT(268,"0000"),RawData!$A$2:$F$1441,4,FALSE),"")</f>
        <v>00</v>
      </c>
      <c r="BL279" s="19">
        <f>TIME(0,0,0)+268/1440</f>
        <v>0.18611111111111112</v>
      </c>
      <c r="BM279" s="4">
        <f>IFERROR(VLOOKUP(TEXT($B$3,"yyyymmdd")&amp;"_"&amp;TEXT(268,"0000"),RawData!$A$2:$F$1441,5,FALSE),"")</f>
        <v>0</v>
      </c>
      <c r="BN279" s="4">
        <f t="shared" si="5"/>
        <v>0</v>
      </c>
    </row>
    <row r="280" spans="63:66" x14ac:dyDescent="0.6">
      <c r="BK280" s="4" t="str">
        <f>IFERROR(VLOOKUP(TEXT($B$3,"yyyymmdd")&amp;"_"&amp;TEXT(269,"0000"),RawData!$A$2:$F$1441,4,FALSE),"")</f>
        <v>00</v>
      </c>
      <c r="BL280" s="19">
        <f>TIME(0,0,0)+269/1440</f>
        <v>0.18680555555555556</v>
      </c>
      <c r="BM280" s="4">
        <f>IFERROR(VLOOKUP(TEXT($B$3,"yyyymmdd")&amp;"_"&amp;TEXT(269,"0000"),RawData!$A$2:$F$1441,5,FALSE),"")</f>
        <v>0</v>
      </c>
      <c r="BN280" s="4">
        <f t="shared" si="5"/>
        <v>0</v>
      </c>
    </row>
    <row r="281" spans="63:66" x14ac:dyDescent="0.6">
      <c r="BK281" s="4" t="str">
        <f>IFERROR(VLOOKUP(TEXT($B$3,"yyyymmdd")&amp;"_"&amp;TEXT(270,"0000"),RawData!$A$2:$F$1441,4,FALSE),"")</f>
        <v>00</v>
      </c>
      <c r="BL281" s="19">
        <f>TIME(0,0,0)+270/1440</f>
        <v>0.1875</v>
      </c>
      <c r="BM281" s="4">
        <f>IFERROR(VLOOKUP(TEXT($B$3,"yyyymmdd")&amp;"_"&amp;TEXT(270,"0000"),RawData!$A$2:$F$1441,5,FALSE),"")</f>
        <v>0</v>
      </c>
      <c r="BN281" s="4">
        <f t="shared" si="5"/>
        <v>0</v>
      </c>
    </row>
    <row r="282" spans="63:66" x14ac:dyDescent="0.6">
      <c r="BK282" s="4" t="str">
        <f>IFERROR(VLOOKUP(TEXT($B$3,"yyyymmdd")&amp;"_"&amp;TEXT(271,"0000"),RawData!$A$2:$F$1441,4,FALSE),"")</f>
        <v>00</v>
      </c>
      <c r="BL282" s="19">
        <f>TIME(0,0,0)+271/1440</f>
        <v>0.18819444444444444</v>
      </c>
      <c r="BM282" s="4">
        <f>IFERROR(VLOOKUP(TEXT($B$3,"yyyymmdd")&amp;"_"&amp;TEXT(271,"0000"),RawData!$A$2:$F$1441,5,FALSE),"")</f>
        <v>0</v>
      </c>
      <c r="BN282" s="4">
        <f t="shared" si="5"/>
        <v>0</v>
      </c>
    </row>
    <row r="283" spans="63:66" x14ac:dyDescent="0.6">
      <c r="BK283" s="4" t="str">
        <f>IFERROR(VLOOKUP(TEXT($B$3,"yyyymmdd")&amp;"_"&amp;TEXT(272,"0000"),RawData!$A$2:$F$1441,4,FALSE),"")</f>
        <v>00</v>
      </c>
      <c r="BL283" s="19">
        <f>TIME(0,0,0)+272/1440</f>
        <v>0.18888888888888888</v>
      </c>
      <c r="BM283" s="4">
        <f>IFERROR(VLOOKUP(TEXT($B$3,"yyyymmdd")&amp;"_"&amp;TEXT(272,"0000"),RawData!$A$2:$F$1441,5,FALSE),"")</f>
        <v>0</v>
      </c>
      <c r="BN283" s="4">
        <f t="shared" si="5"/>
        <v>0</v>
      </c>
    </row>
    <row r="284" spans="63:66" x14ac:dyDescent="0.6">
      <c r="BK284" s="4" t="str">
        <f>IFERROR(VLOOKUP(TEXT($B$3,"yyyymmdd")&amp;"_"&amp;TEXT(273,"0000"),RawData!$A$2:$F$1441,4,FALSE),"")</f>
        <v>00</v>
      </c>
      <c r="BL284" s="19">
        <f>TIME(0,0,0)+273/1440</f>
        <v>0.18958333333333333</v>
      </c>
      <c r="BM284" s="4">
        <f>IFERROR(VLOOKUP(TEXT($B$3,"yyyymmdd")&amp;"_"&amp;TEXT(273,"0000"),RawData!$A$2:$F$1441,5,FALSE),"")</f>
        <v>0</v>
      </c>
      <c r="BN284" s="4">
        <f t="shared" si="5"/>
        <v>0</v>
      </c>
    </row>
    <row r="285" spans="63:66" x14ac:dyDescent="0.6">
      <c r="BK285" s="4" t="str">
        <f>IFERROR(VLOOKUP(TEXT($B$3,"yyyymmdd")&amp;"_"&amp;TEXT(274,"0000"),RawData!$A$2:$F$1441,4,FALSE),"")</f>
        <v>00</v>
      </c>
      <c r="BL285" s="19">
        <f>TIME(0,0,0)+274/1440</f>
        <v>0.19027777777777777</v>
      </c>
      <c r="BM285" s="4">
        <f>IFERROR(VLOOKUP(TEXT($B$3,"yyyymmdd")&amp;"_"&amp;TEXT(274,"0000"),RawData!$A$2:$F$1441,5,FALSE),"")</f>
        <v>0</v>
      </c>
      <c r="BN285" s="4">
        <f t="shared" si="5"/>
        <v>0</v>
      </c>
    </row>
    <row r="286" spans="63:66" x14ac:dyDescent="0.6">
      <c r="BK286" s="4" t="str">
        <f>IFERROR(VLOOKUP(TEXT($B$3,"yyyymmdd")&amp;"_"&amp;TEXT(275,"0000"),RawData!$A$2:$F$1441,4,FALSE),"")</f>
        <v>00</v>
      </c>
      <c r="BL286" s="19">
        <f>TIME(0,0,0)+275/1440</f>
        <v>0.19097222222222221</v>
      </c>
      <c r="BM286" s="4">
        <f>IFERROR(VLOOKUP(TEXT($B$3,"yyyymmdd")&amp;"_"&amp;TEXT(275,"0000"),RawData!$A$2:$F$1441,5,FALSE),"")</f>
        <v>0</v>
      </c>
      <c r="BN286" s="4">
        <f t="shared" si="5"/>
        <v>0</v>
      </c>
    </row>
    <row r="287" spans="63:66" x14ac:dyDescent="0.6">
      <c r="BK287" s="4" t="str">
        <f>IFERROR(VLOOKUP(TEXT($B$3,"yyyymmdd")&amp;"_"&amp;TEXT(276,"0000"),RawData!$A$2:$F$1441,4,FALSE),"")</f>
        <v>00</v>
      </c>
      <c r="BL287" s="19">
        <f>TIME(0,0,0)+276/1440</f>
        <v>0.19166666666666668</v>
      </c>
      <c r="BM287" s="4">
        <f>IFERROR(VLOOKUP(TEXT($B$3,"yyyymmdd")&amp;"_"&amp;TEXT(276,"0000"),RawData!$A$2:$F$1441,5,FALSE),"")</f>
        <v>0</v>
      </c>
      <c r="BN287" s="4">
        <f t="shared" si="5"/>
        <v>0</v>
      </c>
    </row>
    <row r="288" spans="63:66" x14ac:dyDescent="0.6">
      <c r="BK288" s="4" t="str">
        <f>IFERROR(VLOOKUP(TEXT($B$3,"yyyymmdd")&amp;"_"&amp;TEXT(277,"0000"),RawData!$A$2:$F$1441,4,FALSE),"")</f>
        <v>00</v>
      </c>
      <c r="BL288" s="19">
        <f>TIME(0,0,0)+277/1440</f>
        <v>0.19236111111111112</v>
      </c>
      <c r="BM288" s="4">
        <f>IFERROR(VLOOKUP(TEXT($B$3,"yyyymmdd")&amp;"_"&amp;TEXT(277,"0000"),RawData!$A$2:$F$1441,5,FALSE),"")</f>
        <v>0</v>
      </c>
      <c r="BN288" s="4">
        <f t="shared" si="5"/>
        <v>0</v>
      </c>
    </row>
    <row r="289" spans="63:66" x14ac:dyDescent="0.6">
      <c r="BK289" s="4" t="str">
        <f>IFERROR(VLOOKUP(TEXT($B$3,"yyyymmdd")&amp;"_"&amp;TEXT(278,"0000"),RawData!$A$2:$F$1441,4,FALSE),"")</f>
        <v>00</v>
      </c>
      <c r="BL289" s="19">
        <f>TIME(0,0,0)+278/1440</f>
        <v>0.19305555555555556</v>
      </c>
      <c r="BM289" s="4">
        <f>IFERROR(VLOOKUP(TEXT($B$3,"yyyymmdd")&amp;"_"&amp;TEXT(278,"0000"),RawData!$A$2:$F$1441,5,FALSE),"")</f>
        <v>0</v>
      </c>
      <c r="BN289" s="4">
        <f t="shared" si="5"/>
        <v>0</v>
      </c>
    </row>
    <row r="290" spans="63:66" x14ac:dyDescent="0.6">
      <c r="BK290" s="4" t="str">
        <f>IFERROR(VLOOKUP(TEXT($B$3,"yyyymmdd")&amp;"_"&amp;TEXT(279,"0000"),RawData!$A$2:$F$1441,4,FALSE),"")</f>
        <v>00</v>
      </c>
      <c r="BL290" s="19">
        <f>TIME(0,0,0)+279/1440</f>
        <v>0.19375000000000001</v>
      </c>
      <c r="BM290" s="4">
        <f>IFERROR(VLOOKUP(TEXT($B$3,"yyyymmdd")&amp;"_"&amp;TEXT(279,"0000"),RawData!$A$2:$F$1441,5,FALSE),"")</f>
        <v>0</v>
      </c>
      <c r="BN290" s="4">
        <f t="shared" si="5"/>
        <v>0</v>
      </c>
    </row>
    <row r="291" spans="63:66" x14ac:dyDescent="0.6">
      <c r="BK291" s="4" t="str">
        <f>IFERROR(VLOOKUP(TEXT($B$3,"yyyymmdd")&amp;"_"&amp;TEXT(280,"0000"),RawData!$A$2:$F$1441,4,FALSE),"")</f>
        <v>00</v>
      </c>
      <c r="BL291" s="19">
        <f>TIME(0,0,0)+280/1440</f>
        <v>0.19444444444444445</v>
      </c>
      <c r="BM291" s="4">
        <f>IFERROR(VLOOKUP(TEXT($B$3,"yyyymmdd")&amp;"_"&amp;TEXT(280,"0000"),RawData!$A$2:$F$1441,5,FALSE),"")</f>
        <v>0</v>
      </c>
      <c r="BN291" s="4">
        <f t="shared" si="5"/>
        <v>0</v>
      </c>
    </row>
    <row r="292" spans="63:66" x14ac:dyDescent="0.6">
      <c r="BK292" s="4" t="str">
        <f>IFERROR(VLOOKUP(TEXT($B$3,"yyyymmdd")&amp;"_"&amp;TEXT(281,"0000"),RawData!$A$2:$F$1441,4,FALSE),"")</f>
        <v>00</v>
      </c>
      <c r="BL292" s="19">
        <f>TIME(0,0,0)+281/1440</f>
        <v>0.19513888888888889</v>
      </c>
      <c r="BM292" s="4">
        <f>IFERROR(VLOOKUP(TEXT($B$3,"yyyymmdd")&amp;"_"&amp;TEXT(281,"0000"),RawData!$A$2:$F$1441,5,FALSE),"")</f>
        <v>0</v>
      </c>
      <c r="BN292" s="4">
        <f t="shared" si="5"/>
        <v>0</v>
      </c>
    </row>
    <row r="293" spans="63:66" x14ac:dyDescent="0.6">
      <c r="BK293" s="4" t="str">
        <f>IFERROR(VLOOKUP(TEXT($B$3,"yyyymmdd")&amp;"_"&amp;TEXT(282,"0000"),RawData!$A$2:$F$1441,4,FALSE),"")</f>
        <v>00</v>
      </c>
      <c r="BL293" s="19">
        <f>TIME(0,0,0)+282/1440</f>
        <v>0.19583333333333333</v>
      </c>
      <c r="BM293" s="4">
        <f>IFERROR(VLOOKUP(TEXT($B$3,"yyyymmdd")&amp;"_"&amp;TEXT(282,"0000"),RawData!$A$2:$F$1441,5,FALSE),"")</f>
        <v>0</v>
      </c>
      <c r="BN293" s="4">
        <f t="shared" si="5"/>
        <v>0</v>
      </c>
    </row>
    <row r="294" spans="63:66" x14ac:dyDescent="0.6">
      <c r="BK294" s="4" t="str">
        <f>IFERROR(VLOOKUP(TEXT($B$3,"yyyymmdd")&amp;"_"&amp;TEXT(283,"0000"),RawData!$A$2:$F$1441,4,FALSE),"")</f>
        <v>00</v>
      </c>
      <c r="BL294" s="19">
        <f>TIME(0,0,0)+283/1440</f>
        <v>0.19652777777777777</v>
      </c>
      <c r="BM294" s="4">
        <f>IFERROR(VLOOKUP(TEXT($B$3,"yyyymmdd")&amp;"_"&amp;TEXT(283,"0000"),RawData!$A$2:$F$1441,5,FALSE),"")</f>
        <v>0</v>
      </c>
      <c r="BN294" s="4">
        <f t="shared" si="5"/>
        <v>0</v>
      </c>
    </row>
    <row r="295" spans="63:66" x14ac:dyDescent="0.6">
      <c r="BK295" s="4" t="str">
        <f>IFERROR(VLOOKUP(TEXT($B$3,"yyyymmdd")&amp;"_"&amp;TEXT(284,"0000"),RawData!$A$2:$F$1441,4,FALSE),"")</f>
        <v>00</v>
      </c>
      <c r="BL295" s="19">
        <f>TIME(0,0,0)+284/1440</f>
        <v>0.19722222222222222</v>
      </c>
      <c r="BM295" s="4">
        <f>IFERROR(VLOOKUP(TEXT($B$3,"yyyymmdd")&amp;"_"&amp;TEXT(284,"0000"),RawData!$A$2:$F$1441,5,FALSE),"")</f>
        <v>0</v>
      </c>
      <c r="BN295" s="4">
        <f t="shared" si="5"/>
        <v>0</v>
      </c>
    </row>
    <row r="296" spans="63:66" x14ac:dyDescent="0.6">
      <c r="BK296" s="4" t="str">
        <f>IFERROR(VLOOKUP(TEXT($B$3,"yyyymmdd")&amp;"_"&amp;TEXT(285,"0000"),RawData!$A$2:$F$1441,4,FALSE),"")</f>
        <v>00</v>
      </c>
      <c r="BL296" s="19">
        <f>TIME(0,0,0)+285/1440</f>
        <v>0.19791666666666666</v>
      </c>
      <c r="BM296" s="4">
        <f>IFERROR(VLOOKUP(TEXT($B$3,"yyyymmdd")&amp;"_"&amp;TEXT(285,"0000"),RawData!$A$2:$F$1441,5,FALSE),"")</f>
        <v>0</v>
      </c>
      <c r="BN296" s="4">
        <f t="shared" si="5"/>
        <v>0</v>
      </c>
    </row>
    <row r="297" spans="63:66" x14ac:dyDescent="0.6">
      <c r="BK297" s="4" t="str">
        <f>IFERROR(VLOOKUP(TEXT($B$3,"yyyymmdd")&amp;"_"&amp;TEXT(286,"0000"),RawData!$A$2:$F$1441,4,FALSE),"")</f>
        <v>00</v>
      </c>
      <c r="BL297" s="19">
        <f>TIME(0,0,0)+286/1440</f>
        <v>0.1986111111111111</v>
      </c>
      <c r="BM297" s="4">
        <f>IFERROR(VLOOKUP(TEXT($B$3,"yyyymmdd")&amp;"_"&amp;TEXT(286,"0000"),RawData!$A$2:$F$1441,5,FALSE),"")</f>
        <v>0</v>
      </c>
      <c r="BN297" s="4">
        <f t="shared" si="5"/>
        <v>0</v>
      </c>
    </row>
    <row r="298" spans="63:66" x14ac:dyDescent="0.6">
      <c r="BK298" s="4" t="str">
        <f>IFERROR(VLOOKUP(TEXT($B$3,"yyyymmdd")&amp;"_"&amp;TEXT(287,"0000"),RawData!$A$2:$F$1441,4,FALSE),"")</f>
        <v>00</v>
      </c>
      <c r="BL298" s="19">
        <f>TIME(0,0,0)+287/1440</f>
        <v>0.19930555555555557</v>
      </c>
      <c r="BM298" s="4">
        <f>IFERROR(VLOOKUP(TEXT($B$3,"yyyymmdd")&amp;"_"&amp;TEXT(287,"0000"),RawData!$A$2:$F$1441,5,FALSE),"")</f>
        <v>0</v>
      </c>
      <c r="BN298" s="4">
        <f t="shared" si="5"/>
        <v>0</v>
      </c>
    </row>
    <row r="299" spans="63:66" x14ac:dyDescent="0.6">
      <c r="BK299" s="4" t="str">
        <f>IFERROR(VLOOKUP(TEXT($B$3,"yyyymmdd")&amp;"_"&amp;TEXT(288,"0000"),RawData!$A$2:$F$1441,4,FALSE),"")</f>
        <v>00</v>
      </c>
      <c r="BL299" s="19">
        <f>TIME(0,0,0)+288/1440</f>
        <v>0.2</v>
      </c>
      <c r="BM299" s="4">
        <f>IFERROR(VLOOKUP(TEXT($B$3,"yyyymmdd")&amp;"_"&amp;TEXT(288,"0000"),RawData!$A$2:$F$1441,5,FALSE),"")</f>
        <v>0</v>
      </c>
      <c r="BN299" s="4">
        <f t="shared" si="5"/>
        <v>0</v>
      </c>
    </row>
    <row r="300" spans="63:66" x14ac:dyDescent="0.6">
      <c r="BK300" s="4" t="str">
        <f>IFERROR(VLOOKUP(TEXT($B$3,"yyyymmdd")&amp;"_"&amp;TEXT(289,"0000"),RawData!$A$2:$F$1441,4,FALSE),"")</f>
        <v>00</v>
      </c>
      <c r="BL300" s="19">
        <f>TIME(0,0,0)+289/1440</f>
        <v>0.20069444444444445</v>
      </c>
      <c r="BM300" s="4">
        <f>IFERROR(VLOOKUP(TEXT($B$3,"yyyymmdd")&amp;"_"&amp;TEXT(289,"0000"),RawData!$A$2:$F$1441,5,FALSE),"")</f>
        <v>0</v>
      </c>
      <c r="BN300" s="4">
        <f t="shared" si="5"/>
        <v>0</v>
      </c>
    </row>
    <row r="301" spans="63:66" x14ac:dyDescent="0.6">
      <c r="BK301" s="4" t="str">
        <f>IFERROR(VLOOKUP(TEXT($B$3,"yyyymmdd")&amp;"_"&amp;TEXT(290,"0000"),RawData!$A$2:$F$1441,4,FALSE),"")</f>
        <v>00</v>
      </c>
      <c r="BL301" s="19">
        <f>TIME(0,0,0)+290/1440</f>
        <v>0.2013888888888889</v>
      </c>
      <c r="BM301" s="4">
        <f>IFERROR(VLOOKUP(TEXT($B$3,"yyyymmdd")&amp;"_"&amp;TEXT(290,"0000"),RawData!$A$2:$F$1441,5,FALSE),"")</f>
        <v>0</v>
      </c>
      <c r="BN301" s="4">
        <f t="shared" si="5"/>
        <v>0</v>
      </c>
    </row>
    <row r="302" spans="63:66" x14ac:dyDescent="0.6">
      <c r="BK302" s="4" t="str">
        <f>IFERROR(VLOOKUP(TEXT($B$3,"yyyymmdd")&amp;"_"&amp;TEXT(291,"0000"),RawData!$A$2:$F$1441,4,FALSE),"")</f>
        <v>00</v>
      </c>
      <c r="BL302" s="19">
        <f>TIME(0,0,0)+291/1440</f>
        <v>0.20208333333333334</v>
      </c>
      <c r="BM302" s="4">
        <f>IFERROR(VLOOKUP(TEXT($B$3,"yyyymmdd")&amp;"_"&amp;TEXT(291,"0000"),RawData!$A$2:$F$1441,5,FALSE),"")</f>
        <v>0</v>
      </c>
      <c r="BN302" s="4">
        <f t="shared" si="5"/>
        <v>0</v>
      </c>
    </row>
    <row r="303" spans="63:66" x14ac:dyDescent="0.6">
      <c r="BK303" s="4" t="str">
        <f>IFERROR(VLOOKUP(TEXT($B$3,"yyyymmdd")&amp;"_"&amp;TEXT(292,"0000"),RawData!$A$2:$F$1441,4,FALSE),"")</f>
        <v>00</v>
      </c>
      <c r="BL303" s="19">
        <f>TIME(0,0,0)+292/1440</f>
        <v>0.20277777777777778</v>
      </c>
      <c r="BM303" s="4">
        <f>IFERROR(VLOOKUP(TEXT($B$3,"yyyymmdd")&amp;"_"&amp;TEXT(292,"0000"),RawData!$A$2:$F$1441,5,FALSE),"")</f>
        <v>0</v>
      </c>
      <c r="BN303" s="4">
        <f t="shared" si="5"/>
        <v>0</v>
      </c>
    </row>
    <row r="304" spans="63:66" x14ac:dyDescent="0.6">
      <c r="BK304" s="4" t="str">
        <f>IFERROR(VLOOKUP(TEXT($B$3,"yyyymmdd")&amp;"_"&amp;TEXT(293,"0000"),RawData!$A$2:$F$1441,4,FALSE),"")</f>
        <v>00</v>
      </c>
      <c r="BL304" s="19">
        <f>TIME(0,0,0)+293/1440</f>
        <v>0.20347222222222222</v>
      </c>
      <c r="BM304" s="4">
        <f>IFERROR(VLOOKUP(TEXT($B$3,"yyyymmdd")&amp;"_"&amp;TEXT(293,"0000"),RawData!$A$2:$F$1441,5,FALSE),"")</f>
        <v>0</v>
      </c>
      <c r="BN304" s="4">
        <f t="shared" ref="BN304:BN367" si="6">IF(BK298="","",IF(BK298&lt;&gt;BK297,1,0))</f>
        <v>0</v>
      </c>
    </row>
    <row r="305" spans="63:66" x14ac:dyDescent="0.6">
      <c r="BK305" s="4" t="str">
        <f>IFERROR(VLOOKUP(TEXT($B$3,"yyyymmdd")&amp;"_"&amp;TEXT(294,"0000"),RawData!$A$2:$F$1441,4,FALSE),"")</f>
        <v>00</v>
      </c>
      <c r="BL305" s="19">
        <f>TIME(0,0,0)+294/1440</f>
        <v>0.20416666666666666</v>
      </c>
      <c r="BM305" s="4">
        <f>IFERROR(VLOOKUP(TEXT($B$3,"yyyymmdd")&amp;"_"&amp;TEXT(294,"0000"),RawData!$A$2:$F$1441,5,FALSE),"")</f>
        <v>0</v>
      </c>
      <c r="BN305" s="4">
        <f t="shared" si="6"/>
        <v>0</v>
      </c>
    </row>
    <row r="306" spans="63:66" x14ac:dyDescent="0.6">
      <c r="BK306" s="4" t="str">
        <f>IFERROR(VLOOKUP(TEXT($B$3,"yyyymmdd")&amp;"_"&amp;TEXT(295,"0000"),RawData!$A$2:$F$1441,4,FALSE),"")</f>
        <v>00</v>
      </c>
      <c r="BL306" s="19">
        <f>TIME(0,0,0)+295/1440</f>
        <v>0.2048611111111111</v>
      </c>
      <c r="BM306" s="4">
        <f>IFERROR(VLOOKUP(TEXT($B$3,"yyyymmdd")&amp;"_"&amp;TEXT(295,"0000"),RawData!$A$2:$F$1441,5,FALSE),"")</f>
        <v>0</v>
      </c>
      <c r="BN306" s="4">
        <f t="shared" si="6"/>
        <v>0</v>
      </c>
    </row>
    <row r="307" spans="63:66" x14ac:dyDescent="0.6">
      <c r="BK307" s="4" t="str">
        <f>IFERROR(VLOOKUP(TEXT($B$3,"yyyymmdd")&amp;"_"&amp;TEXT(296,"0000"),RawData!$A$2:$F$1441,4,FALSE),"")</f>
        <v>00</v>
      </c>
      <c r="BL307" s="19">
        <f>TIME(0,0,0)+296/1440</f>
        <v>0.20555555555555555</v>
      </c>
      <c r="BM307" s="4">
        <f>IFERROR(VLOOKUP(TEXT($B$3,"yyyymmdd")&amp;"_"&amp;TEXT(296,"0000"),RawData!$A$2:$F$1441,5,FALSE),"")</f>
        <v>0</v>
      </c>
      <c r="BN307" s="4">
        <f t="shared" si="6"/>
        <v>0</v>
      </c>
    </row>
    <row r="308" spans="63:66" x14ac:dyDescent="0.6">
      <c r="BK308" s="4" t="str">
        <f>IFERROR(VLOOKUP(TEXT($B$3,"yyyymmdd")&amp;"_"&amp;TEXT(297,"0000"),RawData!$A$2:$F$1441,4,FALSE),"")</f>
        <v>00</v>
      </c>
      <c r="BL308" s="19">
        <f>TIME(0,0,0)+297/1440</f>
        <v>0.20624999999999999</v>
      </c>
      <c r="BM308" s="4">
        <f>IFERROR(VLOOKUP(TEXT($B$3,"yyyymmdd")&amp;"_"&amp;TEXT(297,"0000"),RawData!$A$2:$F$1441,5,FALSE),"")</f>
        <v>0</v>
      </c>
      <c r="BN308" s="4">
        <f t="shared" si="6"/>
        <v>0</v>
      </c>
    </row>
    <row r="309" spans="63:66" x14ac:dyDescent="0.6">
      <c r="BK309" s="4" t="str">
        <f>IFERROR(VLOOKUP(TEXT($B$3,"yyyymmdd")&amp;"_"&amp;TEXT(298,"0000"),RawData!$A$2:$F$1441,4,FALSE),"")</f>
        <v>00</v>
      </c>
      <c r="BL309" s="19">
        <f>TIME(0,0,0)+298/1440</f>
        <v>0.20694444444444443</v>
      </c>
      <c r="BM309" s="4">
        <f>IFERROR(VLOOKUP(TEXT($B$3,"yyyymmdd")&amp;"_"&amp;TEXT(298,"0000"),RawData!$A$2:$F$1441,5,FALSE),"")</f>
        <v>0</v>
      </c>
      <c r="BN309" s="4">
        <f t="shared" si="6"/>
        <v>0</v>
      </c>
    </row>
    <row r="310" spans="63:66" x14ac:dyDescent="0.6">
      <c r="BK310" s="4" t="str">
        <f>IFERROR(VLOOKUP(TEXT($B$3,"yyyymmdd")&amp;"_"&amp;TEXT(299,"0000"),RawData!$A$2:$F$1441,4,FALSE),"")</f>
        <v>00</v>
      </c>
      <c r="BL310" s="19">
        <f>TIME(0,0,0)+299/1440</f>
        <v>0.2076388888888889</v>
      </c>
      <c r="BM310" s="4">
        <f>IFERROR(VLOOKUP(TEXT($B$3,"yyyymmdd")&amp;"_"&amp;TEXT(299,"0000"),RawData!$A$2:$F$1441,5,FALSE),"")</f>
        <v>0</v>
      </c>
      <c r="BN310" s="4">
        <f t="shared" si="6"/>
        <v>0</v>
      </c>
    </row>
    <row r="311" spans="63:66" x14ac:dyDescent="0.6">
      <c r="BK311" s="4" t="str">
        <f>IFERROR(VLOOKUP(TEXT($B$3,"yyyymmdd")&amp;"_"&amp;TEXT(300,"0000"),RawData!$A$2:$F$1441,4,FALSE),"")</f>
        <v>00</v>
      </c>
      <c r="BL311" s="19">
        <f>TIME(0,0,0)+300/1440</f>
        <v>0.20833333333333334</v>
      </c>
      <c r="BM311" s="4">
        <f>IFERROR(VLOOKUP(TEXT($B$3,"yyyymmdd")&amp;"_"&amp;TEXT(300,"0000"),RawData!$A$2:$F$1441,5,FALSE),"")</f>
        <v>0</v>
      </c>
      <c r="BN311" s="4">
        <f t="shared" si="6"/>
        <v>0</v>
      </c>
    </row>
    <row r="312" spans="63:66" x14ac:dyDescent="0.6">
      <c r="BK312" s="4" t="str">
        <f>IFERROR(VLOOKUP(TEXT($B$3,"yyyymmdd")&amp;"_"&amp;TEXT(301,"0000"),RawData!$A$2:$F$1441,4,FALSE),"")</f>
        <v>00</v>
      </c>
      <c r="BL312" s="19">
        <f>TIME(0,0,0)+301/1440</f>
        <v>0.20902777777777778</v>
      </c>
      <c r="BM312" s="4">
        <f>IFERROR(VLOOKUP(TEXT($B$3,"yyyymmdd")&amp;"_"&amp;TEXT(301,"0000"),RawData!$A$2:$F$1441,5,FALSE),"")</f>
        <v>0</v>
      </c>
      <c r="BN312" s="4">
        <f t="shared" si="6"/>
        <v>0</v>
      </c>
    </row>
    <row r="313" spans="63:66" x14ac:dyDescent="0.6">
      <c r="BK313" s="4" t="str">
        <f>IFERROR(VLOOKUP(TEXT($B$3,"yyyymmdd")&amp;"_"&amp;TEXT(302,"0000"),RawData!$A$2:$F$1441,4,FALSE),"")</f>
        <v>00</v>
      </c>
      <c r="BL313" s="19">
        <f>TIME(0,0,0)+302/1440</f>
        <v>0.20972222222222223</v>
      </c>
      <c r="BM313" s="4">
        <f>IFERROR(VLOOKUP(TEXT($B$3,"yyyymmdd")&amp;"_"&amp;TEXT(302,"0000"),RawData!$A$2:$F$1441,5,FALSE),"")</f>
        <v>0</v>
      </c>
      <c r="BN313" s="4">
        <f t="shared" si="6"/>
        <v>0</v>
      </c>
    </row>
    <row r="314" spans="63:66" x14ac:dyDescent="0.6">
      <c r="BK314" s="4" t="str">
        <f>IFERROR(VLOOKUP(TEXT($B$3,"yyyymmdd")&amp;"_"&amp;TEXT(303,"0000"),RawData!$A$2:$F$1441,4,FALSE),"")</f>
        <v>00</v>
      </c>
      <c r="BL314" s="19">
        <f>TIME(0,0,0)+303/1440</f>
        <v>0.21041666666666667</v>
      </c>
      <c r="BM314" s="4">
        <f>IFERROR(VLOOKUP(TEXT($B$3,"yyyymmdd")&amp;"_"&amp;TEXT(303,"0000"),RawData!$A$2:$F$1441,5,FALSE),"")</f>
        <v>0</v>
      </c>
      <c r="BN314" s="4">
        <f t="shared" si="6"/>
        <v>0</v>
      </c>
    </row>
    <row r="315" spans="63:66" x14ac:dyDescent="0.6">
      <c r="BK315" s="4" t="str">
        <f>IFERROR(VLOOKUP(TEXT($B$3,"yyyymmdd")&amp;"_"&amp;TEXT(304,"0000"),RawData!$A$2:$F$1441,4,FALSE),"")</f>
        <v>00</v>
      </c>
      <c r="BL315" s="19">
        <f>TIME(0,0,0)+304/1440</f>
        <v>0.21111111111111111</v>
      </c>
      <c r="BM315" s="4">
        <f>IFERROR(VLOOKUP(TEXT($B$3,"yyyymmdd")&amp;"_"&amp;TEXT(304,"0000"),RawData!$A$2:$F$1441,5,FALSE),"")</f>
        <v>0</v>
      </c>
      <c r="BN315" s="4">
        <f t="shared" si="6"/>
        <v>0</v>
      </c>
    </row>
    <row r="316" spans="63:66" x14ac:dyDescent="0.6">
      <c r="BK316" s="4" t="str">
        <f>IFERROR(VLOOKUP(TEXT($B$3,"yyyymmdd")&amp;"_"&amp;TEXT(305,"0000"),RawData!$A$2:$F$1441,4,FALSE),"")</f>
        <v>00</v>
      </c>
      <c r="BL316" s="19">
        <f>TIME(0,0,0)+305/1440</f>
        <v>0.21180555555555555</v>
      </c>
      <c r="BM316" s="4">
        <f>IFERROR(VLOOKUP(TEXT($B$3,"yyyymmdd")&amp;"_"&amp;TEXT(305,"0000"),RawData!$A$2:$F$1441,5,FALSE),"")</f>
        <v>0</v>
      </c>
      <c r="BN316" s="4">
        <f t="shared" si="6"/>
        <v>0</v>
      </c>
    </row>
    <row r="317" spans="63:66" x14ac:dyDescent="0.6">
      <c r="BK317" s="4" t="str">
        <f>IFERROR(VLOOKUP(TEXT($B$3,"yyyymmdd")&amp;"_"&amp;TEXT(306,"0000"),RawData!$A$2:$F$1441,4,FALSE),"")</f>
        <v>00</v>
      </c>
      <c r="BL317" s="19">
        <f>TIME(0,0,0)+306/1440</f>
        <v>0.21249999999999999</v>
      </c>
      <c r="BM317" s="4">
        <f>IFERROR(VLOOKUP(TEXT($B$3,"yyyymmdd")&amp;"_"&amp;TEXT(306,"0000"),RawData!$A$2:$F$1441,5,FALSE),"")</f>
        <v>0</v>
      </c>
      <c r="BN317" s="4">
        <f t="shared" si="6"/>
        <v>0</v>
      </c>
    </row>
    <row r="318" spans="63:66" x14ac:dyDescent="0.6">
      <c r="BK318" s="4" t="str">
        <f>IFERROR(VLOOKUP(TEXT($B$3,"yyyymmdd")&amp;"_"&amp;TEXT(307,"0000"),RawData!$A$2:$F$1441,4,FALSE),"")</f>
        <v>00</v>
      </c>
      <c r="BL318" s="19">
        <f>TIME(0,0,0)+307/1440</f>
        <v>0.21319444444444444</v>
      </c>
      <c r="BM318" s="4">
        <f>IFERROR(VLOOKUP(TEXT($B$3,"yyyymmdd")&amp;"_"&amp;TEXT(307,"0000"),RawData!$A$2:$F$1441,5,FALSE),"")</f>
        <v>0</v>
      </c>
      <c r="BN318" s="4">
        <f t="shared" si="6"/>
        <v>0</v>
      </c>
    </row>
    <row r="319" spans="63:66" x14ac:dyDescent="0.6">
      <c r="BK319" s="4" t="str">
        <f>IFERROR(VLOOKUP(TEXT($B$3,"yyyymmdd")&amp;"_"&amp;TEXT(308,"0000"),RawData!$A$2:$F$1441,4,FALSE),"")</f>
        <v>00</v>
      </c>
      <c r="BL319" s="19">
        <f>TIME(0,0,0)+308/1440</f>
        <v>0.21388888888888888</v>
      </c>
      <c r="BM319" s="4">
        <f>IFERROR(VLOOKUP(TEXT($B$3,"yyyymmdd")&amp;"_"&amp;TEXT(308,"0000"),RawData!$A$2:$F$1441,5,FALSE),"")</f>
        <v>0</v>
      </c>
      <c r="BN319" s="4">
        <f t="shared" si="6"/>
        <v>0</v>
      </c>
    </row>
    <row r="320" spans="63:66" x14ac:dyDescent="0.6">
      <c r="BK320" s="4" t="str">
        <f>IFERROR(VLOOKUP(TEXT($B$3,"yyyymmdd")&amp;"_"&amp;TEXT(309,"0000"),RawData!$A$2:$F$1441,4,FALSE),"")</f>
        <v>00</v>
      </c>
      <c r="BL320" s="19">
        <f>TIME(0,0,0)+309/1440</f>
        <v>0.21458333333333332</v>
      </c>
      <c r="BM320" s="4">
        <f>IFERROR(VLOOKUP(TEXT($B$3,"yyyymmdd")&amp;"_"&amp;TEXT(309,"0000"),RawData!$A$2:$F$1441,5,FALSE),"")</f>
        <v>0</v>
      </c>
      <c r="BN320" s="4">
        <f t="shared" si="6"/>
        <v>0</v>
      </c>
    </row>
    <row r="321" spans="63:66" x14ac:dyDescent="0.6">
      <c r="BK321" s="4" t="str">
        <f>IFERROR(VLOOKUP(TEXT($B$3,"yyyymmdd")&amp;"_"&amp;TEXT(310,"0000"),RawData!$A$2:$F$1441,4,FALSE),"")</f>
        <v>00</v>
      </c>
      <c r="BL321" s="19">
        <f>TIME(0,0,0)+310/1440</f>
        <v>0.21527777777777779</v>
      </c>
      <c r="BM321" s="4">
        <f>IFERROR(VLOOKUP(TEXT($B$3,"yyyymmdd")&amp;"_"&amp;TEXT(310,"0000"),RawData!$A$2:$F$1441,5,FALSE),"")</f>
        <v>0</v>
      </c>
      <c r="BN321" s="4">
        <f t="shared" si="6"/>
        <v>0</v>
      </c>
    </row>
    <row r="322" spans="63:66" x14ac:dyDescent="0.6">
      <c r="BK322" s="4" t="str">
        <f>IFERROR(VLOOKUP(TEXT($B$3,"yyyymmdd")&amp;"_"&amp;TEXT(311,"0000"),RawData!$A$2:$F$1441,4,FALSE),"")</f>
        <v>00</v>
      </c>
      <c r="BL322" s="19">
        <f>TIME(0,0,0)+311/1440</f>
        <v>0.21597222222222223</v>
      </c>
      <c r="BM322" s="4">
        <f>IFERROR(VLOOKUP(TEXT($B$3,"yyyymmdd")&amp;"_"&amp;TEXT(311,"0000"),RawData!$A$2:$F$1441,5,FALSE),"")</f>
        <v>0</v>
      </c>
      <c r="BN322" s="4">
        <f t="shared" si="6"/>
        <v>0</v>
      </c>
    </row>
    <row r="323" spans="63:66" x14ac:dyDescent="0.6">
      <c r="BK323" s="4" t="str">
        <f>IFERROR(VLOOKUP(TEXT($B$3,"yyyymmdd")&amp;"_"&amp;TEXT(312,"0000"),RawData!$A$2:$F$1441,4,FALSE),"")</f>
        <v>00</v>
      </c>
      <c r="BL323" s="19">
        <f>TIME(0,0,0)+312/1440</f>
        <v>0.21666666666666667</v>
      </c>
      <c r="BM323" s="4">
        <f>IFERROR(VLOOKUP(TEXT($B$3,"yyyymmdd")&amp;"_"&amp;TEXT(312,"0000"),RawData!$A$2:$F$1441,5,FALSE),"")</f>
        <v>0</v>
      </c>
      <c r="BN323" s="4">
        <f t="shared" si="6"/>
        <v>0</v>
      </c>
    </row>
    <row r="324" spans="63:66" x14ac:dyDescent="0.6">
      <c r="BK324" s="4" t="str">
        <f>IFERROR(VLOOKUP(TEXT($B$3,"yyyymmdd")&amp;"_"&amp;TEXT(313,"0000"),RawData!$A$2:$F$1441,4,FALSE),"")</f>
        <v>00</v>
      </c>
      <c r="BL324" s="19">
        <f>TIME(0,0,0)+313/1440</f>
        <v>0.21736111111111112</v>
      </c>
      <c r="BM324" s="4">
        <f>IFERROR(VLOOKUP(TEXT($B$3,"yyyymmdd")&amp;"_"&amp;TEXT(313,"0000"),RawData!$A$2:$F$1441,5,FALSE),"")</f>
        <v>0</v>
      </c>
      <c r="BN324" s="4">
        <f t="shared" si="6"/>
        <v>0</v>
      </c>
    </row>
    <row r="325" spans="63:66" x14ac:dyDescent="0.6">
      <c r="BK325" s="4" t="str">
        <f>IFERROR(VLOOKUP(TEXT($B$3,"yyyymmdd")&amp;"_"&amp;TEXT(314,"0000"),RawData!$A$2:$F$1441,4,FALSE),"")</f>
        <v>00</v>
      </c>
      <c r="BL325" s="19">
        <f>TIME(0,0,0)+314/1440</f>
        <v>0.21805555555555556</v>
      </c>
      <c r="BM325" s="4">
        <f>IFERROR(VLOOKUP(TEXT($B$3,"yyyymmdd")&amp;"_"&amp;TEXT(314,"0000"),RawData!$A$2:$F$1441,5,FALSE),"")</f>
        <v>0</v>
      </c>
      <c r="BN325" s="4">
        <f t="shared" si="6"/>
        <v>0</v>
      </c>
    </row>
    <row r="326" spans="63:66" x14ac:dyDescent="0.6">
      <c r="BK326" s="4" t="str">
        <f>IFERROR(VLOOKUP(TEXT($B$3,"yyyymmdd")&amp;"_"&amp;TEXT(315,"0000"),RawData!$A$2:$F$1441,4,FALSE),"")</f>
        <v>00</v>
      </c>
      <c r="BL326" s="19">
        <f>TIME(0,0,0)+315/1440</f>
        <v>0.21875</v>
      </c>
      <c r="BM326" s="4">
        <f>IFERROR(VLOOKUP(TEXT($B$3,"yyyymmdd")&amp;"_"&amp;TEXT(315,"0000"),RawData!$A$2:$F$1441,5,FALSE),"")</f>
        <v>0</v>
      </c>
      <c r="BN326" s="4">
        <f t="shared" si="6"/>
        <v>0</v>
      </c>
    </row>
    <row r="327" spans="63:66" x14ac:dyDescent="0.6">
      <c r="BK327" s="4" t="str">
        <f>IFERROR(VLOOKUP(TEXT($B$3,"yyyymmdd")&amp;"_"&amp;TEXT(316,"0000"),RawData!$A$2:$F$1441,4,FALSE),"")</f>
        <v>00</v>
      </c>
      <c r="BL327" s="19">
        <f>TIME(0,0,0)+316/1440</f>
        <v>0.21944444444444444</v>
      </c>
      <c r="BM327" s="4">
        <f>IFERROR(VLOOKUP(TEXT($B$3,"yyyymmdd")&amp;"_"&amp;TEXT(316,"0000"),RawData!$A$2:$F$1441,5,FALSE),"")</f>
        <v>0</v>
      </c>
      <c r="BN327" s="4">
        <f t="shared" si="6"/>
        <v>0</v>
      </c>
    </row>
    <row r="328" spans="63:66" x14ac:dyDescent="0.6">
      <c r="BK328" s="4" t="str">
        <f>IFERROR(VLOOKUP(TEXT($B$3,"yyyymmdd")&amp;"_"&amp;TEXT(317,"0000"),RawData!$A$2:$F$1441,4,FALSE),"")</f>
        <v>00</v>
      </c>
      <c r="BL328" s="19">
        <f>TIME(0,0,0)+317/1440</f>
        <v>0.22013888888888888</v>
      </c>
      <c r="BM328" s="4">
        <f>IFERROR(VLOOKUP(TEXT($B$3,"yyyymmdd")&amp;"_"&amp;TEXT(317,"0000"),RawData!$A$2:$F$1441,5,FALSE),"")</f>
        <v>0</v>
      </c>
      <c r="BN328" s="4">
        <f t="shared" si="6"/>
        <v>0</v>
      </c>
    </row>
    <row r="329" spans="63:66" x14ac:dyDescent="0.6">
      <c r="BK329" s="4" t="str">
        <f>IFERROR(VLOOKUP(TEXT($B$3,"yyyymmdd")&amp;"_"&amp;TEXT(318,"0000"),RawData!$A$2:$F$1441,4,FALSE),"")</f>
        <v>00</v>
      </c>
      <c r="BL329" s="19">
        <f>TIME(0,0,0)+318/1440</f>
        <v>0.22083333333333333</v>
      </c>
      <c r="BM329" s="4">
        <f>IFERROR(VLOOKUP(TEXT($B$3,"yyyymmdd")&amp;"_"&amp;TEXT(318,"0000"),RawData!$A$2:$F$1441,5,FALSE),"")</f>
        <v>0</v>
      </c>
      <c r="BN329" s="4">
        <f t="shared" si="6"/>
        <v>0</v>
      </c>
    </row>
    <row r="330" spans="63:66" x14ac:dyDescent="0.6">
      <c r="BK330" s="4" t="str">
        <f>IFERROR(VLOOKUP(TEXT($B$3,"yyyymmdd")&amp;"_"&amp;TEXT(319,"0000"),RawData!$A$2:$F$1441,4,FALSE),"")</f>
        <v>00</v>
      </c>
      <c r="BL330" s="19">
        <f>TIME(0,0,0)+319/1440</f>
        <v>0.22152777777777777</v>
      </c>
      <c r="BM330" s="4">
        <f>IFERROR(VLOOKUP(TEXT($B$3,"yyyymmdd")&amp;"_"&amp;TEXT(319,"0000"),RawData!$A$2:$F$1441,5,FALSE),"")</f>
        <v>0</v>
      </c>
      <c r="BN330" s="4">
        <f t="shared" si="6"/>
        <v>0</v>
      </c>
    </row>
    <row r="331" spans="63:66" x14ac:dyDescent="0.6">
      <c r="BK331" s="4" t="str">
        <f>IFERROR(VLOOKUP(TEXT($B$3,"yyyymmdd")&amp;"_"&amp;TEXT(320,"0000"),RawData!$A$2:$F$1441,4,FALSE),"")</f>
        <v>00</v>
      </c>
      <c r="BL331" s="19">
        <f>TIME(0,0,0)+320/1440</f>
        <v>0.22222222222222221</v>
      </c>
      <c r="BM331" s="4">
        <f>IFERROR(VLOOKUP(TEXT($B$3,"yyyymmdd")&amp;"_"&amp;TEXT(320,"0000"),RawData!$A$2:$F$1441,5,FALSE),"")</f>
        <v>0</v>
      </c>
      <c r="BN331" s="4">
        <f t="shared" si="6"/>
        <v>0</v>
      </c>
    </row>
    <row r="332" spans="63:66" x14ac:dyDescent="0.6">
      <c r="BK332" s="4" t="str">
        <f>IFERROR(VLOOKUP(TEXT($B$3,"yyyymmdd")&amp;"_"&amp;TEXT(321,"0000"),RawData!$A$2:$F$1441,4,FALSE),"")</f>
        <v>00</v>
      </c>
      <c r="BL332" s="19">
        <f>TIME(0,0,0)+321/1440</f>
        <v>0.22291666666666668</v>
      </c>
      <c r="BM332" s="4">
        <f>IFERROR(VLOOKUP(TEXT($B$3,"yyyymmdd")&amp;"_"&amp;TEXT(321,"0000"),RawData!$A$2:$F$1441,5,FALSE),"")</f>
        <v>0</v>
      </c>
      <c r="BN332" s="4">
        <f t="shared" si="6"/>
        <v>0</v>
      </c>
    </row>
    <row r="333" spans="63:66" x14ac:dyDescent="0.6">
      <c r="BK333" s="4" t="str">
        <f>IFERROR(VLOOKUP(TEXT($B$3,"yyyymmdd")&amp;"_"&amp;TEXT(322,"0000"),RawData!$A$2:$F$1441,4,FALSE),"")</f>
        <v>00</v>
      </c>
      <c r="BL333" s="19">
        <f>TIME(0,0,0)+322/1440</f>
        <v>0.22361111111111112</v>
      </c>
      <c r="BM333" s="4">
        <f>IFERROR(VLOOKUP(TEXT($B$3,"yyyymmdd")&amp;"_"&amp;TEXT(322,"0000"),RawData!$A$2:$F$1441,5,FALSE),"")</f>
        <v>0</v>
      </c>
      <c r="BN333" s="4">
        <f t="shared" si="6"/>
        <v>0</v>
      </c>
    </row>
    <row r="334" spans="63:66" x14ac:dyDescent="0.6">
      <c r="BK334" s="4" t="str">
        <f>IFERROR(VLOOKUP(TEXT($B$3,"yyyymmdd")&amp;"_"&amp;TEXT(323,"0000"),RawData!$A$2:$F$1441,4,FALSE),"")</f>
        <v>00</v>
      </c>
      <c r="BL334" s="19">
        <f>TIME(0,0,0)+323/1440</f>
        <v>0.22430555555555556</v>
      </c>
      <c r="BM334" s="4">
        <f>IFERROR(VLOOKUP(TEXT($B$3,"yyyymmdd")&amp;"_"&amp;TEXT(323,"0000"),RawData!$A$2:$F$1441,5,FALSE),"")</f>
        <v>0</v>
      </c>
      <c r="BN334" s="4">
        <f t="shared" si="6"/>
        <v>0</v>
      </c>
    </row>
    <row r="335" spans="63:66" x14ac:dyDescent="0.6">
      <c r="BK335" s="4" t="str">
        <f>IFERROR(VLOOKUP(TEXT($B$3,"yyyymmdd")&amp;"_"&amp;TEXT(324,"0000"),RawData!$A$2:$F$1441,4,FALSE),"")</f>
        <v>00</v>
      </c>
      <c r="BL335" s="19">
        <f>TIME(0,0,0)+324/1440</f>
        <v>0.22500000000000001</v>
      </c>
      <c r="BM335" s="4">
        <f>IFERROR(VLOOKUP(TEXT($B$3,"yyyymmdd")&amp;"_"&amp;TEXT(324,"0000"),RawData!$A$2:$F$1441,5,FALSE),"")</f>
        <v>0</v>
      </c>
      <c r="BN335" s="4">
        <f t="shared" si="6"/>
        <v>0</v>
      </c>
    </row>
    <row r="336" spans="63:66" x14ac:dyDescent="0.6">
      <c r="BK336" s="4" t="str">
        <f>IFERROR(VLOOKUP(TEXT($B$3,"yyyymmdd")&amp;"_"&amp;TEXT(325,"0000"),RawData!$A$2:$F$1441,4,FALSE),"")</f>
        <v>00</v>
      </c>
      <c r="BL336" s="19">
        <f>TIME(0,0,0)+325/1440</f>
        <v>0.22569444444444445</v>
      </c>
      <c r="BM336" s="4">
        <f>IFERROR(VLOOKUP(TEXT($B$3,"yyyymmdd")&amp;"_"&amp;TEXT(325,"0000"),RawData!$A$2:$F$1441,5,FALSE),"")</f>
        <v>0</v>
      </c>
      <c r="BN336" s="4">
        <f t="shared" si="6"/>
        <v>0</v>
      </c>
    </row>
    <row r="337" spans="63:66" x14ac:dyDescent="0.6">
      <c r="BK337" s="4" t="str">
        <f>IFERROR(VLOOKUP(TEXT($B$3,"yyyymmdd")&amp;"_"&amp;TEXT(326,"0000"),RawData!$A$2:$F$1441,4,FALSE),"")</f>
        <v>00</v>
      </c>
      <c r="BL337" s="19">
        <f>TIME(0,0,0)+326/1440</f>
        <v>0.22638888888888889</v>
      </c>
      <c r="BM337" s="4">
        <f>IFERROR(VLOOKUP(TEXT($B$3,"yyyymmdd")&amp;"_"&amp;TEXT(326,"0000"),RawData!$A$2:$F$1441,5,FALSE),"")</f>
        <v>0</v>
      </c>
      <c r="BN337" s="4">
        <f t="shared" si="6"/>
        <v>0</v>
      </c>
    </row>
    <row r="338" spans="63:66" x14ac:dyDescent="0.6">
      <c r="BK338" s="4" t="str">
        <f>IFERROR(VLOOKUP(TEXT($B$3,"yyyymmdd")&amp;"_"&amp;TEXT(327,"0000"),RawData!$A$2:$F$1441,4,FALSE),"")</f>
        <v>00</v>
      </c>
      <c r="BL338" s="19">
        <f>TIME(0,0,0)+327/1440</f>
        <v>0.22708333333333333</v>
      </c>
      <c r="BM338" s="4">
        <f>IFERROR(VLOOKUP(TEXT($B$3,"yyyymmdd")&amp;"_"&amp;TEXT(327,"0000"),RawData!$A$2:$F$1441,5,FALSE),"")</f>
        <v>0</v>
      </c>
      <c r="BN338" s="4">
        <f t="shared" si="6"/>
        <v>0</v>
      </c>
    </row>
    <row r="339" spans="63:66" x14ac:dyDescent="0.6">
      <c r="BK339" s="4" t="str">
        <f>IFERROR(VLOOKUP(TEXT($B$3,"yyyymmdd")&amp;"_"&amp;TEXT(328,"0000"),RawData!$A$2:$F$1441,4,FALSE),"")</f>
        <v>00</v>
      </c>
      <c r="BL339" s="19">
        <f>TIME(0,0,0)+328/1440</f>
        <v>0.22777777777777777</v>
      </c>
      <c r="BM339" s="4">
        <f>IFERROR(VLOOKUP(TEXT($B$3,"yyyymmdd")&amp;"_"&amp;TEXT(328,"0000"),RawData!$A$2:$F$1441,5,FALSE),"")</f>
        <v>0</v>
      </c>
      <c r="BN339" s="4">
        <f t="shared" si="6"/>
        <v>0</v>
      </c>
    </row>
    <row r="340" spans="63:66" x14ac:dyDescent="0.6">
      <c r="BK340" s="4" t="str">
        <f>IFERROR(VLOOKUP(TEXT($B$3,"yyyymmdd")&amp;"_"&amp;TEXT(329,"0000"),RawData!$A$2:$F$1441,4,FALSE),"")</f>
        <v>00</v>
      </c>
      <c r="BL340" s="19">
        <f>TIME(0,0,0)+329/1440</f>
        <v>0.22847222222222222</v>
      </c>
      <c r="BM340" s="4">
        <f>IFERROR(VLOOKUP(TEXT($B$3,"yyyymmdd")&amp;"_"&amp;TEXT(329,"0000"),RawData!$A$2:$F$1441,5,FALSE),"")</f>
        <v>0</v>
      </c>
      <c r="BN340" s="4">
        <f t="shared" si="6"/>
        <v>0</v>
      </c>
    </row>
    <row r="341" spans="63:66" x14ac:dyDescent="0.6">
      <c r="BK341" s="4" t="str">
        <f>IFERROR(VLOOKUP(TEXT($B$3,"yyyymmdd")&amp;"_"&amp;TEXT(330,"0000"),RawData!$A$2:$F$1441,4,FALSE),"")</f>
        <v>00</v>
      </c>
      <c r="BL341" s="19">
        <f>TIME(0,0,0)+330/1440</f>
        <v>0.22916666666666666</v>
      </c>
      <c r="BM341" s="4">
        <f>IFERROR(VLOOKUP(TEXT($B$3,"yyyymmdd")&amp;"_"&amp;TEXT(330,"0000"),RawData!$A$2:$F$1441,5,FALSE),"")</f>
        <v>0</v>
      </c>
      <c r="BN341" s="4">
        <f t="shared" si="6"/>
        <v>0</v>
      </c>
    </row>
    <row r="342" spans="63:66" x14ac:dyDescent="0.6">
      <c r="BK342" s="4" t="str">
        <f>IFERROR(VLOOKUP(TEXT($B$3,"yyyymmdd")&amp;"_"&amp;TEXT(331,"0000"),RawData!$A$2:$F$1441,4,FALSE),"")</f>
        <v>00</v>
      </c>
      <c r="BL342" s="19">
        <f>TIME(0,0,0)+331/1440</f>
        <v>0.2298611111111111</v>
      </c>
      <c r="BM342" s="4">
        <f>IFERROR(VLOOKUP(TEXT($B$3,"yyyymmdd")&amp;"_"&amp;TEXT(331,"0000"),RawData!$A$2:$F$1441,5,FALSE),"")</f>
        <v>0</v>
      </c>
      <c r="BN342" s="4">
        <f t="shared" si="6"/>
        <v>0</v>
      </c>
    </row>
    <row r="343" spans="63:66" x14ac:dyDescent="0.6">
      <c r="BK343" s="4" t="str">
        <f>IFERROR(VLOOKUP(TEXT($B$3,"yyyymmdd")&amp;"_"&amp;TEXT(332,"0000"),RawData!$A$2:$F$1441,4,FALSE),"")</f>
        <v>00</v>
      </c>
      <c r="BL343" s="19">
        <f>TIME(0,0,0)+332/1440</f>
        <v>0.23055555555555557</v>
      </c>
      <c r="BM343" s="4">
        <f>IFERROR(VLOOKUP(TEXT($B$3,"yyyymmdd")&amp;"_"&amp;TEXT(332,"0000"),RawData!$A$2:$F$1441,5,FALSE),"")</f>
        <v>0</v>
      </c>
      <c r="BN343" s="4">
        <f t="shared" si="6"/>
        <v>0</v>
      </c>
    </row>
    <row r="344" spans="63:66" x14ac:dyDescent="0.6">
      <c r="BK344" s="4" t="str">
        <f>IFERROR(VLOOKUP(TEXT($B$3,"yyyymmdd")&amp;"_"&amp;TEXT(333,"0000"),RawData!$A$2:$F$1441,4,FALSE),"")</f>
        <v>00</v>
      </c>
      <c r="BL344" s="19">
        <f>TIME(0,0,0)+333/1440</f>
        <v>0.23125000000000001</v>
      </c>
      <c r="BM344" s="4">
        <f>IFERROR(VLOOKUP(TEXT($B$3,"yyyymmdd")&amp;"_"&amp;TEXT(333,"0000"),RawData!$A$2:$F$1441,5,FALSE),"")</f>
        <v>0</v>
      </c>
      <c r="BN344" s="4">
        <f t="shared" si="6"/>
        <v>0</v>
      </c>
    </row>
    <row r="345" spans="63:66" x14ac:dyDescent="0.6">
      <c r="BK345" s="4" t="str">
        <f>IFERROR(VLOOKUP(TEXT($B$3,"yyyymmdd")&amp;"_"&amp;TEXT(334,"0000"),RawData!$A$2:$F$1441,4,FALSE),"")</f>
        <v>00</v>
      </c>
      <c r="BL345" s="19">
        <f>TIME(0,0,0)+334/1440</f>
        <v>0.23194444444444445</v>
      </c>
      <c r="BM345" s="4">
        <f>IFERROR(VLOOKUP(TEXT($B$3,"yyyymmdd")&amp;"_"&amp;TEXT(334,"0000"),RawData!$A$2:$F$1441,5,FALSE),"")</f>
        <v>0</v>
      </c>
      <c r="BN345" s="4">
        <f t="shared" si="6"/>
        <v>0</v>
      </c>
    </row>
    <row r="346" spans="63:66" x14ac:dyDescent="0.6">
      <c r="BK346" s="4" t="str">
        <f>IFERROR(VLOOKUP(TEXT($B$3,"yyyymmdd")&amp;"_"&amp;TEXT(335,"0000"),RawData!$A$2:$F$1441,4,FALSE),"")</f>
        <v>00</v>
      </c>
      <c r="BL346" s="19">
        <f>TIME(0,0,0)+335/1440</f>
        <v>0.2326388888888889</v>
      </c>
      <c r="BM346" s="4">
        <f>IFERROR(VLOOKUP(TEXT($B$3,"yyyymmdd")&amp;"_"&amp;TEXT(335,"0000"),RawData!$A$2:$F$1441,5,FALSE),"")</f>
        <v>0</v>
      </c>
      <c r="BN346" s="4">
        <f t="shared" si="6"/>
        <v>0</v>
      </c>
    </row>
    <row r="347" spans="63:66" x14ac:dyDescent="0.6">
      <c r="BK347" s="4" t="str">
        <f>IFERROR(VLOOKUP(TEXT($B$3,"yyyymmdd")&amp;"_"&amp;TEXT(336,"0000"),RawData!$A$2:$F$1441,4,FALSE),"")</f>
        <v>00</v>
      </c>
      <c r="BL347" s="19">
        <f>TIME(0,0,0)+336/1440</f>
        <v>0.23333333333333334</v>
      </c>
      <c r="BM347" s="4">
        <f>IFERROR(VLOOKUP(TEXT($B$3,"yyyymmdd")&amp;"_"&amp;TEXT(336,"0000"),RawData!$A$2:$F$1441,5,FALSE),"")</f>
        <v>0</v>
      </c>
      <c r="BN347" s="4">
        <f t="shared" si="6"/>
        <v>0</v>
      </c>
    </row>
    <row r="348" spans="63:66" x14ac:dyDescent="0.6">
      <c r="BK348" s="4" t="str">
        <f>IFERROR(VLOOKUP(TEXT($B$3,"yyyymmdd")&amp;"_"&amp;TEXT(337,"0000"),RawData!$A$2:$F$1441,4,FALSE),"")</f>
        <v>00</v>
      </c>
      <c r="BL348" s="19">
        <f>TIME(0,0,0)+337/1440</f>
        <v>0.23402777777777778</v>
      </c>
      <c r="BM348" s="4">
        <f>IFERROR(VLOOKUP(TEXT($B$3,"yyyymmdd")&amp;"_"&amp;TEXT(337,"0000"),RawData!$A$2:$F$1441,5,FALSE),"")</f>
        <v>0</v>
      </c>
      <c r="BN348" s="4">
        <f t="shared" si="6"/>
        <v>0</v>
      </c>
    </row>
    <row r="349" spans="63:66" x14ac:dyDescent="0.6">
      <c r="BK349" s="4" t="str">
        <f>IFERROR(VLOOKUP(TEXT($B$3,"yyyymmdd")&amp;"_"&amp;TEXT(338,"0000"),RawData!$A$2:$F$1441,4,FALSE),"")</f>
        <v>00</v>
      </c>
      <c r="BL349" s="19">
        <f>TIME(0,0,0)+338/1440</f>
        <v>0.23472222222222222</v>
      </c>
      <c r="BM349" s="4">
        <f>IFERROR(VLOOKUP(TEXT($B$3,"yyyymmdd")&amp;"_"&amp;TEXT(338,"0000"),RawData!$A$2:$F$1441,5,FALSE),"")</f>
        <v>0</v>
      </c>
      <c r="BN349" s="4">
        <f t="shared" si="6"/>
        <v>0</v>
      </c>
    </row>
    <row r="350" spans="63:66" x14ac:dyDescent="0.6">
      <c r="BK350" s="4" t="str">
        <f>IFERROR(VLOOKUP(TEXT($B$3,"yyyymmdd")&amp;"_"&amp;TEXT(339,"0000"),RawData!$A$2:$F$1441,4,FALSE),"")</f>
        <v>00</v>
      </c>
      <c r="BL350" s="19">
        <f>TIME(0,0,0)+339/1440</f>
        <v>0.23541666666666666</v>
      </c>
      <c r="BM350" s="4">
        <f>IFERROR(VLOOKUP(TEXT($B$3,"yyyymmdd")&amp;"_"&amp;TEXT(339,"0000"),RawData!$A$2:$F$1441,5,FALSE),"")</f>
        <v>0</v>
      </c>
      <c r="BN350" s="4">
        <f t="shared" si="6"/>
        <v>0</v>
      </c>
    </row>
    <row r="351" spans="63:66" x14ac:dyDescent="0.6">
      <c r="BK351" s="4" t="str">
        <f>IFERROR(VLOOKUP(TEXT($B$3,"yyyymmdd")&amp;"_"&amp;TEXT(340,"0000"),RawData!$A$2:$F$1441,4,FALSE),"")</f>
        <v>00</v>
      </c>
      <c r="BL351" s="19">
        <f>TIME(0,0,0)+340/1440</f>
        <v>0.2361111111111111</v>
      </c>
      <c r="BM351" s="4">
        <f>IFERROR(VLOOKUP(TEXT($B$3,"yyyymmdd")&amp;"_"&amp;TEXT(340,"0000"),RawData!$A$2:$F$1441,5,FALSE),"")</f>
        <v>0</v>
      </c>
      <c r="BN351" s="4">
        <f t="shared" si="6"/>
        <v>0</v>
      </c>
    </row>
    <row r="352" spans="63:66" x14ac:dyDescent="0.6">
      <c r="BK352" s="4" t="str">
        <f>IFERROR(VLOOKUP(TEXT($B$3,"yyyymmdd")&amp;"_"&amp;TEXT(341,"0000"),RawData!$A$2:$F$1441,4,FALSE),"")</f>
        <v>00</v>
      </c>
      <c r="BL352" s="19">
        <f>TIME(0,0,0)+341/1440</f>
        <v>0.23680555555555555</v>
      </c>
      <c r="BM352" s="4">
        <f>IFERROR(VLOOKUP(TEXT($B$3,"yyyymmdd")&amp;"_"&amp;TEXT(341,"0000"),RawData!$A$2:$F$1441,5,FALSE),"")</f>
        <v>0</v>
      </c>
      <c r="BN352" s="4">
        <f t="shared" si="6"/>
        <v>0</v>
      </c>
    </row>
    <row r="353" spans="63:66" x14ac:dyDescent="0.6">
      <c r="BK353" s="4" t="str">
        <f>IFERROR(VLOOKUP(TEXT($B$3,"yyyymmdd")&amp;"_"&amp;TEXT(342,"0000"),RawData!$A$2:$F$1441,4,FALSE),"")</f>
        <v>00</v>
      </c>
      <c r="BL353" s="19">
        <f>TIME(0,0,0)+342/1440</f>
        <v>0.23749999999999999</v>
      </c>
      <c r="BM353" s="4">
        <f>IFERROR(VLOOKUP(TEXT($B$3,"yyyymmdd")&amp;"_"&amp;TEXT(342,"0000"),RawData!$A$2:$F$1441,5,FALSE),"")</f>
        <v>0</v>
      </c>
      <c r="BN353" s="4">
        <f t="shared" si="6"/>
        <v>0</v>
      </c>
    </row>
    <row r="354" spans="63:66" x14ac:dyDescent="0.6">
      <c r="BK354" s="4" t="str">
        <f>IFERROR(VLOOKUP(TEXT($B$3,"yyyymmdd")&amp;"_"&amp;TEXT(343,"0000"),RawData!$A$2:$F$1441,4,FALSE),"")</f>
        <v>00</v>
      </c>
      <c r="BL354" s="19">
        <f>TIME(0,0,0)+343/1440</f>
        <v>0.23819444444444443</v>
      </c>
      <c r="BM354" s="4">
        <f>IFERROR(VLOOKUP(TEXT($B$3,"yyyymmdd")&amp;"_"&amp;TEXT(343,"0000"),RawData!$A$2:$F$1441,5,FALSE),"")</f>
        <v>0</v>
      </c>
      <c r="BN354" s="4">
        <f t="shared" si="6"/>
        <v>0</v>
      </c>
    </row>
    <row r="355" spans="63:66" x14ac:dyDescent="0.6">
      <c r="BK355" s="4" t="str">
        <f>IFERROR(VLOOKUP(TEXT($B$3,"yyyymmdd")&amp;"_"&amp;TEXT(344,"0000"),RawData!$A$2:$F$1441,4,FALSE),"")</f>
        <v>00</v>
      </c>
      <c r="BL355" s="19">
        <f>TIME(0,0,0)+344/1440</f>
        <v>0.2388888888888889</v>
      </c>
      <c r="BM355" s="4">
        <f>IFERROR(VLOOKUP(TEXT($B$3,"yyyymmdd")&amp;"_"&amp;TEXT(344,"0000"),RawData!$A$2:$F$1441,5,FALSE),"")</f>
        <v>0</v>
      </c>
      <c r="BN355" s="4">
        <f t="shared" si="6"/>
        <v>0</v>
      </c>
    </row>
    <row r="356" spans="63:66" x14ac:dyDescent="0.6">
      <c r="BK356" s="4" t="str">
        <f>IFERROR(VLOOKUP(TEXT($B$3,"yyyymmdd")&amp;"_"&amp;TEXT(345,"0000"),RawData!$A$2:$F$1441,4,FALSE),"")</f>
        <v>00</v>
      </c>
      <c r="BL356" s="19">
        <f>TIME(0,0,0)+345/1440</f>
        <v>0.23958333333333334</v>
      </c>
      <c r="BM356" s="4">
        <f>IFERROR(VLOOKUP(TEXT($B$3,"yyyymmdd")&amp;"_"&amp;TEXT(345,"0000"),RawData!$A$2:$F$1441,5,FALSE),"")</f>
        <v>0</v>
      </c>
      <c r="BN356" s="4">
        <f t="shared" si="6"/>
        <v>0</v>
      </c>
    </row>
    <row r="357" spans="63:66" x14ac:dyDescent="0.6">
      <c r="BK357" s="4" t="str">
        <f>IFERROR(VLOOKUP(TEXT($B$3,"yyyymmdd")&amp;"_"&amp;TEXT(346,"0000"),RawData!$A$2:$F$1441,4,FALSE),"")</f>
        <v>00</v>
      </c>
      <c r="BL357" s="19">
        <f>TIME(0,0,0)+346/1440</f>
        <v>0.24027777777777778</v>
      </c>
      <c r="BM357" s="4">
        <f>IFERROR(VLOOKUP(TEXT($B$3,"yyyymmdd")&amp;"_"&amp;TEXT(346,"0000"),RawData!$A$2:$F$1441,5,FALSE),"")</f>
        <v>0</v>
      </c>
      <c r="BN357" s="4">
        <f t="shared" si="6"/>
        <v>0</v>
      </c>
    </row>
    <row r="358" spans="63:66" x14ac:dyDescent="0.6">
      <c r="BK358" s="4" t="str">
        <f>IFERROR(VLOOKUP(TEXT($B$3,"yyyymmdd")&amp;"_"&amp;TEXT(347,"0000"),RawData!$A$2:$F$1441,4,FALSE),"")</f>
        <v>00</v>
      </c>
      <c r="BL358" s="19">
        <f>TIME(0,0,0)+347/1440</f>
        <v>0.24097222222222223</v>
      </c>
      <c r="BM358" s="4">
        <f>IFERROR(VLOOKUP(TEXT($B$3,"yyyymmdd")&amp;"_"&amp;TEXT(347,"0000"),RawData!$A$2:$F$1441,5,FALSE),"")</f>
        <v>0</v>
      </c>
      <c r="BN358" s="4">
        <f t="shared" si="6"/>
        <v>0</v>
      </c>
    </row>
    <row r="359" spans="63:66" x14ac:dyDescent="0.6">
      <c r="BK359" s="4" t="str">
        <f>IFERROR(VLOOKUP(TEXT($B$3,"yyyymmdd")&amp;"_"&amp;TEXT(348,"0000"),RawData!$A$2:$F$1441,4,FALSE),"")</f>
        <v>00</v>
      </c>
      <c r="BL359" s="19">
        <f>TIME(0,0,0)+348/1440</f>
        <v>0.24166666666666667</v>
      </c>
      <c r="BM359" s="4">
        <f>IFERROR(VLOOKUP(TEXT($B$3,"yyyymmdd")&amp;"_"&amp;TEXT(348,"0000"),RawData!$A$2:$F$1441,5,FALSE),"")</f>
        <v>0</v>
      </c>
      <c r="BN359" s="4">
        <f t="shared" si="6"/>
        <v>0</v>
      </c>
    </row>
    <row r="360" spans="63:66" x14ac:dyDescent="0.6">
      <c r="BK360" s="4" t="str">
        <f>IFERROR(VLOOKUP(TEXT($B$3,"yyyymmdd")&amp;"_"&amp;TEXT(349,"0000"),RawData!$A$2:$F$1441,4,FALSE),"")</f>
        <v>00</v>
      </c>
      <c r="BL360" s="19">
        <f>TIME(0,0,0)+349/1440</f>
        <v>0.24236111111111111</v>
      </c>
      <c r="BM360" s="4">
        <f>IFERROR(VLOOKUP(TEXT($B$3,"yyyymmdd")&amp;"_"&amp;TEXT(349,"0000"),RawData!$A$2:$F$1441,5,FALSE),"")</f>
        <v>0</v>
      </c>
      <c r="BN360" s="4">
        <f t="shared" si="6"/>
        <v>0</v>
      </c>
    </row>
    <row r="361" spans="63:66" x14ac:dyDescent="0.6">
      <c r="BK361" s="4" t="str">
        <f>IFERROR(VLOOKUP(TEXT($B$3,"yyyymmdd")&amp;"_"&amp;TEXT(350,"0000"),RawData!$A$2:$F$1441,4,FALSE),"")</f>
        <v>00</v>
      </c>
      <c r="BL361" s="19">
        <f>TIME(0,0,0)+350/1440</f>
        <v>0.24305555555555555</v>
      </c>
      <c r="BM361" s="4">
        <f>IFERROR(VLOOKUP(TEXT($B$3,"yyyymmdd")&amp;"_"&amp;TEXT(350,"0000"),RawData!$A$2:$F$1441,5,FALSE),"")</f>
        <v>0</v>
      </c>
      <c r="BN361" s="4">
        <f t="shared" si="6"/>
        <v>0</v>
      </c>
    </row>
    <row r="362" spans="63:66" x14ac:dyDescent="0.6">
      <c r="BK362" s="4" t="str">
        <f>IFERROR(VLOOKUP(TEXT($B$3,"yyyymmdd")&amp;"_"&amp;TEXT(351,"0000"),RawData!$A$2:$F$1441,4,FALSE),"")</f>
        <v>00</v>
      </c>
      <c r="BL362" s="19">
        <f>TIME(0,0,0)+351/1440</f>
        <v>0.24374999999999999</v>
      </c>
      <c r="BM362" s="4">
        <f>IFERROR(VLOOKUP(TEXT($B$3,"yyyymmdd")&amp;"_"&amp;TEXT(351,"0000"),RawData!$A$2:$F$1441,5,FALSE),"")</f>
        <v>0</v>
      </c>
      <c r="BN362" s="4">
        <f t="shared" si="6"/>
        <v>0</v>
      </c>
    </row>
    <row r="363" spans="63:66" x14ac:dyDescent="0.6">
      <c r="BK363" s="4" t="str">
        <f>IFERROR(VLOOKUP(TEXT($B$3,"yyyymmdd")&amp;"_"&amp;TEXT(352,"0000"),RawData!$A$2:$F$1441,4,FALSE),"")</f>
        <v>00</v>
      </c>
      <c r="BL363" s="19">
        <f>TIME(0,0,0)+352/1440</f>
        <v>0.24444444444444444</v>
      </c>
      <c r="BM363" s="4">
        <f>IFERROR(VLOOKUP(TEXT($B$3,"yyyymmdd")&amp;"_"&amp;TEXT(352,"0000"),RawData!$A$2:$F$1441,5,FALSE),"")</f>
        <v>0</v>
      </c>
      <c r="BN363" s="4">
        <f t="shared" si="6"/>
        <v>0</v>
      </c>
    </row>
    <row r="364" spans="63:66" x14ac:dyDescent="0.6">
      <c r="BK364" s="4" t="str">
        <f>IFERROR(VLOOKUP(TEXT($B$3,"yyyymmdd")&amp;"_"&amp;TEXT(353,"0000"),RawData!$A$2:$F$1441,4,FALSE),"")</f>
        <v>00</v>
      </c>
      <c r="BL364" s="19">
        <f>TIME(0,0,0)+353/1440</f>
        <v>0.24513888888888888</v>
      </c>
      <c r="BM364" s="4">
        <f>IFERROR(VLOOKUP(TEXT($B$3,"yyyymmdd")&amp;"_"&amp;TEXT(353,"0000"),RawData!$A$2:$F$1441,5,FALSE),"")</f>
        <v>0</v>
      </c>
      <c r="BN364" s="4">
        <f t="shared" si="6"/>
        <v>0</v>
      </c>
    </row>
    <row r="365" spans="63:66" x14ac:dyDescent="0.6">
      <c r="BK365" s="4" t="str">
        <f>IFERROR(VLOOKUP(TEXT($B$3,"yyyymmdd")&amp;"_"&amp;TEXT(354,"0000"),RawData!$A$2:$F$1441,4,FALSE),"")</f>
        <v>00</v>
      </c>
      <c r="BL365" s="19">
        <f>TIME(0,0,0)+354/1440</f>
        <v>0.24583333333333332</v>
      </c>
      <c r="BM365" s="4">
        <f>IFERROR(VLOOKUP(TEXT($B$3,"yyyymmdd")&amp;"_"&amp;TEXT(354,"0000"),RawData!$A$2:$F$1441,5,FALSE),"")</f>
        <v>0</v>
      </c>
      <c r="BN365" s="4">
        <f t="shared" si="6"/>
        <v>0</v>
      </c>
    </row>
    <row r="366" spans="63:66" x14ac:dyDescent="0.6">
      <c r="BK366" s="4" t="str">
        <f>IFERROR(VLOOKUP(TEXT($B$3,"yyyymmdd")&amp;"_"&amp;TEXT(355,"0000"),RawData!$A$2:$F$1441,4,FALSE),"")</f>
        <v>00</v>
      </c>
      <c r="BL366" s="19">
        <f>TIME(0,0,0)+355/1440</f>
        <v>0.24652777777777779</v>
      </c>
      <c r="BM366" s="4">
        <f>IFERROR(VLOOKUP(TEXT($B$3,"yyyymmdd")&amp;"_"&amp;TEXT(355,"0000"),RawData!$A$2:$F$1441,5,FALSE),"")</f>
        <v>0</v>
      </c>
      <c r="BN366" s="4">
        <f t="shared" si="6"/>
        <v>0</v>
      </c>
    </row>
    <row r="367" spans="63:66" x14ac:dyDescent="0.6">
      <c r="BK367" s="4" t="str">
        <f>IFERROR(VLOOKUP(TEXT($B$3,"yyyymmdd")&amp;"_"&amp;TEXT(356,"0000"),RawData!$A$2:$F$1441,4,FALSE),"")</f>
        <v>00</v>
      </c>
      <c r="BL367" s="19">
        <f>TIME(0,0,0)+356/1440</f>
        <v>0.24722222222222223</v>
      </c>
      <c r="BM367" s="4">
        <f>IFERROR(VLOOKUP(TEXT($B$3,"yyyymmdd")&amp;"_"&amp;TEXT(356,"0000"),RawData!$A$2:$F$1441,5,FALSE),"")</f>
        <v>0</v>
      </c>
      <c r="BN367" s="4">
        <f t="shared" si="6"/>
        <v>0</v>
      </c>
    </row>
    <row r="368" spans="63:66" x14ac:dyDescent="0.6">
      <c r="BK368" s="4" t="str">
        <f>IFERROR(VLOOKUP(TEXT($B$3,"yyyymmdd")&amp;"_"&amp;TEXT(357,"0000"),RawData!$A$2:$F$1441,4,FALSE),"")</f>
        <v>00</v>
      </c>
      <c r="BL368" s="19">
        <f>TIME(0,0,0)+357/1440</f>
        <v>0.24791666666666667</v>
      </c>
      <c r="BM368" s="4">
        <f>IFERROR(VLOOKUP(TEXT($B$3,"yyyymmdd")&amp;"_"&amp;TEXT(357,"0000"),RawData!$A$2:$F$1441,5,FALSE),"")</f>
        <v>0</v>
      </c>
      <c r="BN368" s="4">
        <f t="shared" ref="BN368:BN431" si="7">IF(BK362="","",IF(BK362&lt;&gt;BK361,1,0))</f>
        <v>0</v>
      </c>
    </row>
    <row r="369" spans="63:66" x14ac:dyDescent="0.6">
      <c r="BK369" s="4" t="str">
        <f>IFERROR(VLOOKUP(TEXT($B$3,"yyyymmdd")&amp;"_"&amp;TEXT(358,"0000"),RawData!$A$2:$F$1441,4,FALSE),"")</f>
        <v>00</v>
      </c>
      <c r="BL369" s="19">
        <f>TIME(0,0,0)+358/1440</f>
        <v>0.24861111111111112</v>
      </c>
      <c r="BM369" s="4">
        <f>IFERROR(VLOOKUP(TEXT($B$3,"yyyymmdd")&amp;"_"&amp;TEXT(358,"0000"),RawData!$A$2:$F$1441,5,FALSE),"")</f>
        <v>0</v>
      </c>
      <c r="BN369" s="4">
        <f t="shared" si="7"/>
        <v>0</v>
      </c>
    </row>
    <row r="370" spans="63:66" x14ac:dyDescent="0.6">
      <c r="BK370" s="4" t="str">
        <f>IFERROR(VLOOKUP(TEXT($B$3,"yyyymmdd")&amp;"_"&amp;TEXT(359,"0000"),RawData!$A$2:$F$1441,4,FALSE),"")</f>
        <v>00</v>
      </c>
      <c r="BL370" s="19">
        <f>TIME(0,0,0)+359/1440</f>
        <v>0.24930555555555556</v>
      </c>
      <c r="BM370" s="4">
        <f>IFERROR(VLOOKUP(TEXT($B$3,"yyyymmdd")&amp;"_"&amp;TEXT(359,"0000"),RawData!$A$2:$F$1441,5,FALSE),"")</f>
        <v>0</v>
      </c>
      <c r="BN370" s="4">
        <f t="shared" si="7"/>
        <v>0</v>
      </c>
    </row>
    <row r="371" spans="63:66" x14ac:dyDescent="0.6">
      <c r="BK371" s="4" t="str">
        <f>IFERROR(VLOOKUP(TEXT($B$3,"yyyymmdd")&amp;"_"&amp;TEXT(360,"0000"),RawData!$A$2:$F$1441,4,FALSE),"")</f>
        <v>00</v>
      </c>
      <c r="BL371" s="19">
        <f>TIME(0,0,0)+360/1440</f>
        <v>0.25</v>
      </c>
      <c r="BM371" s="4">
        <f>IFERROR(VLOOKUP(TEXT($B$3,"yyyymmdd")&amp;"_"&amp;TEXT(360,"0000"),RawData!$A$2:$F$1441,5,FALSE),"")</f>
        <v>0</v>
      </c>
      <c r="BN371" s="4">
        <f t="shared" si="7"/>
        <v>0</v>
      </c>
    </row>
    <row r="372" spans="63:66" x14ac:dyDescent="0.6">
      <c r="BK372" s="4" t="str">
        <f>IFERROR(VLOOKUP(TEXT($B$3,"yyyymmdd")&amp;"_"&amp;TEXT(361,"0000"),RawData!$A$2:$F$1441,4,FALSE),"")</f>
        <v>00</v>
      </c>
      <c r="BL372" s="19">
        <f>TIME(0,0,0)+361/1440</f>
        <v>0.25069444444444444</v>
      </c>
      <c r="BM372" s="4">
        <f>IFERROR(VLOOKUP(TEXT($B$3,"yyyymmdd")&amp;"_"&amp;TEXT(361,"0000"),RawData!$A$2:$F$1441,5,FALSE),"")</f>
        <v>0</v>
      </c>
      <c r="BN372" s="4">
        <f t="shared" si="7"/>
        <v>0</v>
      </c>
    </row>
    <row r="373" spans="63:66" x14ac:dyDescent="0.6">
      <c r="BK373" s="4" t="str">
        <f>IFERROR(VLOOKUP(TEXT($B$3,"yyyymmdd")&amp;"_"&amp;TEXT(362,"0000"),RawData!$A$2:$F$1441,4,FALSE),"")</f>
        <v>00</v>
      </c>
      <c r="BL373" s="19">
        <f>TIME(0,0,0)+362/1440</f>
        <v>0.25138888888888888</v>
      </c>
      <c r="BM373" s="4">
        <f>IFERROR(VLOOKUP(TEXT($B$3,"yyyymmdd")&amp;"_"&amp;TEXT(362,"0000"),RawData!$A$2:$F$1441,5,FALSE),"")</f>
        <v>0</v>
      </c>
      <c r="BN373" s="4">
        <f t="shared" si="7"/>
        <v>0</v>
      </c>
    </row>
    <row r="374" spans="63:66" x14ac:dyDescent="0.6">
      <c r="BK374" s="4" t="str">
        <f>IFERROR(VLOOKUP(TEXT($B$3,"yyyymmdd")&amp;"_"&amp;TEXT(363,"0000"),RawData!$A$2:$F$1441,4,FALSE),"")</f>
        <v>00</v>
      </c>
      <c r="BL374" s="19">
        <f>TIME(0,0,0)+363/1440</f>
        <v>0.25208333333333333</v>
      </c>
      <c r="BM374" s="4">
        <f>IFERROR(VLOOKUP(TEXT($B$3,"yyyymmdd")&amp;"_"&amp;TEXT(363,"0000"),RawData!$A$2:$F$1441,5,FALSE),"")</f>
        <v>0</v>
      </c>
      <c r="BN374" s="4">
        <f t="shared" si="7"/>
        <v>0</v>
      </c>
    </row>
    <row r="375" spans="63:66" x14ac:dyDescent="0.6">
      <c r="BK375" s="4" t="str">
        <f>IFERROR(VLOOKUP(TEXT($B$3,"yyyymmdd")&amp;"_"&amp;TEXT(364,"0000"),RawData!$A$2:$F$1441,4,FALSE),"")</f>
        <v>00</v>
      </c>
      <c r="BL375" s="19">
        <f>TIME(0,0,0)+364/1440</f>
        <v>0.25277777777777777</v>
      </c>
      <c r="BM375" s="4">
        <f>IFERROR(VLOOKUP(TEXT($B$3,"yyyymmdd")&amp;"_"&amp;TEXT(364,"0000"),RawData!$A$2:$F$1441,5,FALSE),"")</f>
        <v>0</v>
      </c>
      <c r="BN375" s="4">
        <f t="shared" si="7"/>
        <v>0</v>
      </c>
    </row>
    <row r="376" spans="63:66" x14ac:dyDescent="0.6">
      <c r="BK376" s="4" t="str">
        <f>IFERROR(VLOOKUP(TEXT($B$3,"yyyymmdd")&amp;"_"&amp;TEXT(365,"0000"),RawData!$A$2:$F$1441,4,FALSE),"")</f>
        <v>00</v>
      </c>
      <c r="BL376" s="19">
        <f>TIME(0,0,0)+365/1440</f>
        <v>0.25347222222222221</v>
      </c>
      <c r="BM376" s="4">
        <f>IFERROR(VLOOKUP(TEXT($B$3,"yyyymmdd")&amp;"_"&amp;TEXT(365,"0000"),RawData!$A$2:$F$1441,5,FALSE),"")</f>
        <v>0</v>
      </c>
      <c r="BN376" s="4">
        <f t="shared" si="7"/>
        <v>0</v>
      </c>
    </row>
    <row r="377" spans="63:66" x14ac:dyDescent="0.6">
      <c r="BK377" s="4" t="str">
        <f>IFERROR(VLOOKUP(TEXT($B$3,"yyyymmdd")&amp;"_"&amp;TEXT(366,"0000"),RawData!$A$2:$F$1441,4,FALSE),"")</f>
        <v>00</v>
      </c>
      <c r="BL377" s="19">
        <f>TIME(0,0,0)+366/1440</f>
        <v>0.25416666666666665</v>
      </c>
      <c r="BM377" s="4">
        <f>IFERROR(VLOOKUP(TEXT($B$3,"yyyymmdd")&amp;"_"&amp;TEXT(366,"0000"),RawData!$A$2:$F$1441,5,FALSE),"")</f>
        <v>0</v>
      </c>
      <c r="BN377" s="4">
        <f t="shared" si="7"/>
        <v>0</v>
      </c>
    </row>
    <row r="378" spans="63:66" x14ac:dyDescent="0.6">
      <c r="BK378" s="4" t="str">
        <f>IFERROR(VLOOKUP(TEXT($B$3,"yyyymmdd")&amp;"_"&amp;TEXT(367,"0000"),RawData!$A$2:$F$1441,4,FALSE),"")</f>
        <v>00</v>
      </c>
      <c r="BL378" s="19">
        <f>TIME(0,0,0)+367/1440</f>
        <v>0.25486111111111109</v>
      </c>
      <c r="BM378" s="4">
        <f>IFERROR(VLOOKUP(TEXT($B$3,"yyyymmdd")&amp;"_"&amp;TEXT(367,"0000"),RawData!$A$2:$F$1441,5,FALSE),"")</f>
        <v>0</v>
      </c>
      <c r="BN378" s="4">
        <f t="shared" si="7"/>
        <v>0</v>
      </c>
    </row>
    <row r="379" spans="63:66" x14ac:dyDescent="0.6">
      <c r="BK379" s="4" t="str">
        <f>IFERROR(VLOOKUP(TEXT($B$3,"yyyymmdd")&amp;"_"&amp;TEXT(368,"0000"),RawData!$A$2:$F$1441,4,FALSE),"")</f>
        <v>00</v>
      </c>
      <c r="BL379" s="19">
        <f>TIME(0,0,0)+368/1440</f>
        <v>0.25555555555555554</v>
      </c>
      <c r="BM379" s="4">
        <f>IFERROR(VLOOKUP(TEXT($B$3,"yyyymmdd")&amp;"_"&amp;TEXT(368,"0000"),RawData!$A$2:$F$1441,5,FALSE),"")</f>
        <v>0</v>
      </c>
      <c r="BN379" s="4">
        <f t="shared" si="7"/>
        <v>0</v>
      </c>
    </row>
    <row r="380" spans="63:66" x14ac:dyDescent="0.6">
      <c r="BK380" s="4" t="str">
        <f>IFERROR(VLOOKUP(TEXT($B$3,"yyyymmdd")&amp;"_"&amp;TEXT(369,"0000"),RawData!$A$2:$F$1441,4,FALSE),"")</f>
        <v>00</v>
      </c>
      <c r="BL380" s="19">
        <f>TIME(0,0,0)+369/1440</f>
        <v>0.25624999999999998</v>
      </c>
      <c r="BM380" s="4">
        <f>IFERROR(VLOOKUP(TEXT($B$3,"yyyymmdd")&amp;"_"&amp;TEXT(369,"0000"),RawData!$A$2:$F$1441,5,FALSE),"")</f>
        <v>0</v>
      </c>
      <c r="BN380" s="4">
        <f t="shared" si="7"/>
        <v>0</v>
      </c>
    </row>
    <row r="381" spans="63:66" x14ac:dyDescent="0.6">
      <c r="BK381" s="4" t="str">
        <f>IFERROR(VLOOKUP(TEXT($B$3,"yyyymmdd")&amp;"_"&amp;TEXT(370,"0000"),RawData!$A$2:$F$1441,4,FALSE),"")</f>
        <v>00</v>
      </c>
      <c r="BL381" s="19">
        <f>TIME(0,0,0)+370/1440</f>
        <v>0.25694444444444442</v>
      </c>
      <c r="BM381" s="4">
        <f>IFERROR(VLOOKUP(TEXT($B$3,"yyyymmdd")&amp;"_"&amp;TEXT(370,"0000"),RawData!$A$2:$F$1441,5,FALSE),"")</f>
        <v>0</v>
      </c>
      <c r="BN381" s="4">
        <f t="shared" si="7"/>
        <v>0</v>
      </c>
    </row>
    <row r="382" spans="63:66" x14ac:dyDescent="0.6">
      <c r="BK382" s="4" t="str">
        <f>IFERROR(VLOOKUP(TEXT($B$3,"yyyymmdd")&amp;"_"&amp;TEXT(371,"0000"),RawData!$A$2:$F$1441,4,FALSE),"")</f>
        <v>00</v>
      </c>
      <c r="BL382" s="19">
        <f>TIME(0,0,0)+371/1440</f>
        <v>0.25763888888888886</v>
      </c>
      <c r="BM382" s="4">
        <f>IFERROR(VLOOKUP(TEXT($B$3,"yyyymmdd")&amp;"_"&amp;TEXT(371,"0000"),RawData!$A$2:$F$1441,5,FALSE),"")</f>
        <v>0</v>
      </c>
      <c r="BN382" s="4">
        <f t="shared" si="7"/>
        <v>0</v>
      </c>
    </row>
    <row r="383" spans="63:66" x14ac:dyDescent="0.6">
      <c r="BK383" s="4" t="str">
        <f>IFERROR(VLOOKUP(TEXT($B$3,"yyyymmdd")&amp;"_"&amp;TEXT(372,"0000"),RawData!$A$2:$F$1441,4,FALSE),"")</f>
        <v>00</v>
      </c>
      <c r="BL383" s="19">
        <f>TIME(0,0,0)+372/1440</f>
        <v>0.25833333333333336</v>
      </c>
      <c r="BM383" s="4">
        <f>IFERROR(VLOOKUP(TEXT($B$3,"yyyymmdd")&amp;"_"&amp;TEXT(372,"0000"),RawData!$A$2:$F$1441,5,FALSE),"")</f>
        <v>0</v>
      </c>
      <c r="BN383" s="4">
        <f t="shared" si="7"/>
        <v>0</v>
      </c>
    </row>
    <row r="384" spans="63:66" x14ac:dyDescent="0.6">
      <c r="BK384" s="4" t="str">
        <f>IFERROR(VLOOKUP(TEXT($B$3,"yyyymmdd")&amp;"_"&amp;TEXT(373,"0000"),RawData!$A$2:$F$1441,4,FALSE),"")</f>
        <v>00</v>
      </c>
      <c r="BL384" s="19">
        <f>TIME(0,0,0)+373/1440</f>
        <v>0.2590277777777778</v>
      </c>
      <c r="BM384" s="4">
        <f>IFERROR(VLOOKUP(TEXT($B$3,"yyyymmdd")&amp;"_"&amp;TEXT(373,"0000"),RawData!$A$2:$F$1441,5,FALSE),"")</f>
        <v>0</v>
      </c>
      <c r="BN384" s="4">
        <f t="shared" si="7"/>
        <v>0</v>
      </c>
    </row>
    <row r="385" spans="63:66" x14ac:dyDescent="0.6">
      <c r="BK385" s="4" t="str">
        <f>IFERROR(VLOOKUP(TEXT($B$3,"yyyymmdd")&amp;"_"&amp;TEXT(374,"0000"),RawData!$A$2:$F$1441,4,FALSE),"")</f>
        <v>00</v>
      </c>
      <c r="BL385" s="19">
        <f>TIME(0,0,0)+374/1440</f>
        <v>0.25972222222222224</v>
      </c>
      <c r="BM385" s="4">
        <f>IFERROR(VLOOKUP(TEXT($B$3,"yyyymmdd")&amp;"_"&amp;TEXT(374,"0000"),RawData!$A$2:$F$1441,5,FALSE),"")</f>
        <v>0</v>
      </c>
      <c r="BN385" s="4">
        <f t="shared" si="7"/>
        <v>0</v>
      </c>
    </row>
    <row r="386" spans="63:66" x14ac:dyDescent="0.6">
      <c r="BK386" s="4" t="str">
        <f>IFERROR(VLOOKUP(TEXT($B$3,"yyyymmdd")&amp;"_"&amp;TEXT(375,"0000"),RawData!$A$2:$F$1441,4,FALSE),"")</f>
        <v>00</v>
      </c>
      <c r="BL386" s="19">
        <f>TIME(0,0,0)+375/1440</f>
        <v>0.26041666666666669</v>
      </c>
      <c r="BM386" s="4">
        <f>IFERROR(VLOOKUP(TEXT($B$3,"yyyymmdd")&amp;"_"&amp;TEXT(375,"0000"),RawData!$A$2:$F$1441,5,FALSE),"")</f>
        <v>0</v>
      </c>
      <c r="BN386" s="4">
        <f t="shared" si="7"/>
        <v>0</v>
      </c>
    </row>
    <row r="387" spans="63:66" x14ac:dyDescent="0.6">
      <c r="BK387" s="4" t="str">
        <f>IFERROR(VLOOKUP(TEXT($B$3,"yyyymmdd")&amp;"_"&amp;TEXT(376,"0000"),RawData!$A$2:$F$1441,4,FALSE),"")</f>
        <v>00</v>
      </c>
      <c r="BL387" s="19">
        <f>TIME(0,0,0)+376/1440</f>
        <v>0.26111111111111113</v>
      </c>
      <c r="BM387" s="4">
        <f>IFERROR(VLOOKUP(TEXT($B$3,"yyyymmdd")&amp;"_"&amp;TEXT(376,"0000"),RawData!$A$2:$F$1441,5,FALSE),"")</f>
        <v>0</v>
      </c>
      <c r="BN387" s="4">
        <f t="shared" si="7"/>
        <v>0</v>
      </c>
    </row>
    <row r="388" spans="63:66" x14ac:dyDescent="0.6">
      <c r="BK388" s="4" t="str">
        <f>IFERROR(VLOOKUP(TEXT($B$3,"yyyymmdd")&amp;"_"&amp;TEXT(377,"0000"),RawData!$A$2:$F$1441,4,FALSE),"")</f>
        <v>00</v>
      </c>
      <c r="BL388" s="19">
        <f>TIME(0,0,0)+377/1440</f>
        <v>0.26180555555555557</v>
      </c>
      <c r="BM388" s="4">
        <f>IFERROR(VLOOKUP(TEXT($B$3,"yyyymmdd")&amp;"_"&amp;TEXT(377,"0000"),RawData!$A$2:$F$1441,5,FALSE),"")</f>
        <v>0</v>
      </c>
      <c r="BN388" s="4">
        <f t="shared" si="7"/>
        <v>0</v>
      </c>
    </row>
    <row r="389" spans="63:66" x14ac:dyDescent="0.6">
      <c r="BK389" s="4" t="str">
        <f>IFERROR(VLOOKUP(TEXT($B$3,"yyyymmdd")&amp;"_"&amp;TEXT(378,"0000"),RawData!$A$2:$F$1441,4,FALSE),"")</f>
        <v>00</v>
      </c>
      <c r="BL389" s="19">
        <f>TIME(0,0,0)+378/1440</f>
        <v>0.26250000000000001</v>
      </c>
      <c r="BM389" s="4">
        <f>IFERROR(VLOOKUP(TEXT($B$3,"yyyymmdd")&amp;"_"&amp;TEXT(378,"0000"),RawData!$A$2:$F$1441,5,FALSE),"")</f>
        <v>0</v>
      </c>
      <c r="BN389" s="4">
        <f t="shared" si="7"/>
        <v>0</v>
      </c>
    </row>
    <row r="390" spans="63:66" x14ac:dyDescent="0.6">
      <c r="BK390" s="4" t="str">
        <f>IFERROR(VLOOKUP(TEXT($B$3,"yyyymmdd")&amp;"_"&amp;TEXT(379,"0000"),RawData!$A$2:$F$1441,4,FALSE),"")</f>
        <v>00</v>
      </c>
      <c r="BL390" s="19">
        <f>TIME(0,0,0)+379/1440</f>
        <v>0.26319444444444445</v>
      </c>
      <c r="BM390" s="4">
        <f>IFERROR(VLOOKUP(TEXT($B$3,"yyyymmdd")&amp;"_"&amp;TEXT(379,"0000"),RawData!$A$2:$F$1441,5,FALSE),"")</f>
        <v>0</v>
      </c>
      <c r="BN390" s="4">
        <f t="shared" si="7"/>
        <v>0</v>
      </c>
    </row>
    <row r="391" spans="63:66" x14ac:dyDescent="0.6">
      <c r="BK391" s="4" t="str">
        <f>IFERROR(VLOOKUP(TEXT($B$3,"yyyymmdd")&amp;"_"&amp;TEXT(380,"0000"),RawData!$A$2:$F$1441,4,FALSE),"")</f>
        <v>00</v>
      </c>
      <c r="BL391" s="19">
        <f>TIME(0,0,0)+380/1440</f>
        <v>0.2638888888888889</v>
      </c>
      <c r="BM391" s="4">
        <f>IFERROR(VLOOKUP(TEXT($B$3,"yyyymmdd")&amp;"_"&amp;TEXT(380,"0000"),RawData!$A$2:$F$1441,5,FALSE),"")</f>
        <v>0</v>
      </c>
      <c r="BN391" s="4">
        <f t="shared" si="7"/>
        <v>0</v>
      </c>
    </row>
    <row r="392" spans="63:66" x14ac:dyDescent="0.6">
      <c r="BK392" s="4" t="str">
        <f>IFERROR(VLOOKUP(TEXT($B$3,"yyyymmdd")&amp;"_"&amp;TEXT(381,"0000"),RawData!$A$2:$F$1441,4,FALSE),"")</f>
        <v>00</v>
      </c>
      <c r="BL392" s="19">
        <f>TIME(0,0,0)+381/1440</f>
        <v>0.26458333333333334</v>
      </c>
      <c r="BM392" s="4">
        <f>IFERROR(VLOOKUP(TEXT($B$3,"yyyymmdd")&amp;"_"&amp;TEXT(381,"0000"),RawData!$A$2:$F$1441,5,FALSE),"")</f>
        <v>0</v>
      </c>
      <c r="BN392" s="4">
        <f t="shared" si="7"/>
        <v>0</v>
      </c>
    </row>
    <row r="393" spans="63:66" x14ac:dyDescent="0.6">
      <c r="BK393" s="4" t="str">
        <f>IFERROR(VLOOKUP(TEXT($B$3,"yyyymmdd")&amp;"_"&amp;TEXT(382,"0000"),RawData!$A$2:$F$1441,4,FALSE),"")</f>
        <v>00</v>
      </c>
      <c r="BL393" s="19">
        <f>TIME(0,0,0)+382/1440</f>
        <v>0.26527777777777778</v>
      </c>
      <c r="BM393" s="4">
        <f>IFERROR(VLOOKUP(TEXT($B$3,"yyyymmdd")&amp;"_"&amp;TEXT(382,"0000"),RawData!$A$2:$F$1441,5,FALSE),"")</f>
        <v>0</v>
      </c>
      <c r="BN393" s="4">
        <f t="shared" si="7"/>
        <v>0</v>
      </c>
    </row>
    <row r="394" spans="63:66" x14ac:dyDescent="0.6">
      <c r="BK394" s="4" t="str">
        <f>IFERROR(VLOOKUP(TEXT($B$3,"yyyymmdd")&amp;"_"&amp;TEXT(383,"0000"),RawData!$A$2:$F$1441,4,FALSE),"")</f>
        <v>00</v>
      </c>
      <c r="BL394" s="19">
        <f>TIME(0,0,0)+383/1440</f>
        <v>0.26597222222222222</v>
      </c>
      <c r="BM394" s="4">
        <f>IFERROR(VLOOKUP(TEXT($B$3,"yyyymmdd")&amp;"_"&amp;TEXT(383,"0000"),RawData!$A$2:$F$1441,5,FALSE),"")</f>
        <v>0</v>
      </c>
      <c r="BN394" s="4">
        <f t="shared" si="7"/>
        <v>0</v>
      </c>
    </row>
    <row r="395" spans="63:66" x14ac:dyDescent="0.6">
      <c r="BK395" s="4" t="str">
        <f>IFERROR(VLOOKUP(TEXT($B$3,"yyyymmdd")&amp;"_"&amp;TEXT(384,"0000"),RawData!$A$2:$F$1441,4,FALSE),"")</f>
        <v>00</v>
      </c>
      <c r="BL395" s="19">
        <f>TIME(0,0,0)+384/1440</f>
        <v>0.26666666666666666</v>
      </c>
      <c r="BM395" s="4">
        <f>IFERROR(VLOOKUP(TEXT($B$3,"yyyymmdd")&amp;"_"&amp;TEXT(384,"0000"),RawData!$A$2:$F$1441,5,FALSE),"")</f>
        <v>0</v>
      </c>
      <c r="BN395" s="4">
        <f t="shared" si="7"/>
        <v>0</v>
      </c>
    </row>
    <row r="396" spans="63:66" x14ac:dyDescent="0.6">
      <c r="BK396" s="4" t="str">
        <f>IFERROR(VLOOKUP(TEXT($B$3,"yyyymmdd")&amp;"_"&amp;TEXT(385,"0000"),RawData!$A$2:$F$1441,4,FALSE),"")</f>
        <v>00</v>
      </c>
      <c r="BL396" s="19">
        <f>TIME(0,0,0)+385/1440</f>
        <v>0.2673611111111111</v>
      </c>
      <c r="BM396" s="4">
        <f>IFERROR(VLOOKUP(TEXT($B$3,"yyyymmdd")&amp;"_"&amp;TEXT(385,"0000"),RawData!$A$2:$F$1441,5,FALSE),"")</f>
        <v>0</v>
      </c>
      <c r="BN396" s="4">
        <f t="shared" si="7"/>
        <v>0</v>
      </c>
    </row>
    <row r="397" spans="63:66" x14ac:dyDescent="0.6">
      <c r="BK397" s="4" t="str">
        <f>IFERROR(VLOOKUP(TEXT($B$3,"yyyymmdd")&amp;"_"&amp;TEXT(386,"0000"),RawData!$A$2:$F$1441,4,FALSE),"")</f>
        <v>00</v>
      </c>
      <c r="BL397" s="19">
        <f>TIME(0,0,0)+386/1440</f>
        <v>0.26805555555555555</v>
      </c>
      <c r="BM397" s="4">
        <f>IFERROR(VLOOKUP(TEXT($B$3,"yyyymmdd")&amp;"_"&amp;TEXT(386,"0000"),RawData!$A$2:$F$1441,5,FALSE),"")</f>
        <v>0</v>
      </c>
      <c r="BN397" s="4">
        <f t="shared" si="7"/>
        <v>0</v>
      </c>
    </row>
    <row r="398" spans="63:66" x14ac:dyDescent="0.6">
      <c r="BK398" s="4" t="str">
        <f>IFERROR(VLOOKUP(TEXT($B$3,"yyyymmdd")&amp;"_"&amp;TEXT(387,"0000"),RawData!$A$2:$F$1441,4,FALSE),"")</f>
        <v>00</v>
      </c>
      <c r="BL398" s="19">
        <f>TIME(0,0,0)+387/1440</f>
        <v>0.26874999999999999</v>
      </c>
      <c r="BM398" s="4">
        <f>IFERROR(VLOOKUP(TEXT($B$3,"yyyymmdd")&amp;"_"&amp;TEXT(387,"0000"),RawData!$A$2:$F$1441,5,FALSE),"")</f>
        <v>0</v>
      </c>
      <c r="BN398" s="4">
        <f t="shared" si="7"/>
        <v>0</v>
      </c>
    </row>
    <row r="399" spans="63:66" x14ac:dyDescent="0.6">
      <c r="BK399" s="4" t="str">
        <f>IFERROR(VLOOKUP(TEXT($B$3,"yyyymmdd")&amp;"_"&amp;TEXT(388,"0000"),RawData!$A$2:$F$1441,4,FALSE),"")</f>
        <v>00</v>
      </c>
      <c r="BL399" s="19">
        <f>TIME(0,0,0)+388/1440</f>
        <v>0.26944444444444443</v>
      </c>
      <c r="BM399" s="4">
        <f>IFERROR(VLOOKUP(TEXT($B$3,"yyyymmdd")&amp;"_"&amp;TEXT(388,"0000"),RawData!$A$2:$F$1441,5,FALSE),"")</f>
        <v>0</v>
      </c>
      <c r="BN399" s="4">
        <f t="shared" si="7"/>
        <v>0</v>
      </c>
    </row>
    <row r="400" spans="63:66" x14ac:dyDescent="0.6">
      <c r="BK400" s="4" t="str">
        <f>IFERROR(VLOOKUP(TEXT($B$3,"yyyymmdd")&amp;"_"&amp;TEXT(389,"0000"),RawData!$A$2:$F$1441,4,FALSE),"")</f>
        <v>00</v>
      </c>
      <c r="BL400" s="19">
        <f>TIME(0,0,0)+389/1440</f>
        <v>0.27013888888888887</v>
      </c>
      <c r="BM400" s="4">
        <f>IFERROR(VLOOKUP(TEXT($B$3,"yyyymmdd")&amp;"_"&amp;TEXT(389,"0000"),RawData!$A$2:$F$1441,5,FALSE),"")</f>
        <v>0</v>
      </c>
      <c r="BN400" s="4">
        <f t="shared" si="7"/>
        <v>0</v>
      </c>
    </row>
    <row r="401" spans="63:66" x14ac:dyDescent="0.6">
      <c r="BK401" s="4" t="str">
        <f>IFERROR(VLOOKUP(TEXT($B$3,"yyyymmdd")&amp;"_"&amp;TEXT(390,"0000"),RawData!$A$2:$F$1441,4,FALSE),"")</f>
        <v>00</v>
      </c>
      <c r="BL401" s="19">
        <f>TIME(0,0,0)+390/1440</f>
        <v>0.27083333333333331</v>
      </c>
      <c r="BM401" s="4">
        <f>IFERROR(VLOOKUP(TEXT($B$3,"yyyymmdd")&amp;"_"&amp;TEXT(390,"0000"),RawData!$A$2:$F$1441,5,FALSE),"")</f>
        <v>0</v>
      </c>
      <c r="BN401" s="4">
        <f t="shared" si="7"/>
        <v>0</v>
      </c>
    </row>
    <row r="402" spans="63:66" x14ac:dyDescent="0.6">
      <c r="BK402" s="4" t="str">
        <f>IFERROR(VLOOKUP(TEXT($B$3,"yyyymmdd")&amp;"_"&amp;TEXT(391,"0000"),RawData!$A$2:$F$1441,4,FALSE),"")</f>
        <v>00</v>
      </c>
      <c r="BL402" s="19">
        <f>TIME(0,0,0)+391/1440</f>
        <v>0.27152777777777776</v>
      </c>
      <c r="BM402" s="4">
        <f>IFERROR(VLOOKUP(TEXT($B$3,"yyyymmdd")&amp;"_"&amp;TEXT(391,"0000"),RawData!$A$2:$F$1441,5,FALSE),"")</f>
        <v>0</v>
      </c>
      <c r="BN402" s="4">
        <f t="shared" si="7"/>
        <v>0</v>
      </c>
    </row>
    <row r="403" spans="63:66" x14ac:dyDescent="0.6">
      <c r="BK403" s="4" t="str">
        <f>IFERROR(VLOOKUP(TEXT($B$3,"yyyymmdd")&amp;"_"&amp;TEXT(392,"0000"),RawData!$A$2:$F$1441,4,FALSE),"")</f>
        <v>00</v>
      </c>
      <c r="BL403" s="19">
        <f>TIME(0,0,0)+392/1440</f>
        <v>0.2722222222222222</v>
      </c>
      <c r="BM403" s="4">
        <f>IFERROR(VLOOKUP(TEXT($B$3,"yyyymmdd")&amp;"_"&amp;TEXT(392,"0000"),RawData!$A$2:$F$1441,5,FALSE),"")</f>
        <v>0</v>
      </c>
      <c r="BN403" s="4">
        <f t="shared" si="7"/>
        <v>0</v>
      </c>
    </row>
    <row r="404" spans="63:66" x14ac:dyDescent="0.6">
      <c r="BK404" s="4" t="str">
        <f>IFERROR(VLOOKUP(TEXT($B$3,"yyyymmdd")&amp;"_"&amp;TEXT(393,"0000"),RawData!$A$2:$F$1441,4,FALSE),"")</f>
        <v>00</v>
      </c>
      <c r="BL404" s="19">
        <f>TIME(0,0,0)+393/1440</f>
        <v>0.27291666666666664</v>
      </c>
      <c r="BM404" s="4">
        <f>IFERROR(VLOOKUP(TEXT($B$3,"yyyymmdd")&amp;"_"&amp;TEXT(393,"0000"),RawData!$A$2:$F$1441,5,FALSE),"")</f>
        <v>0</v>
      </c>
      <c r="BN404" s="4">
        <f t="shared" si="7"/>
        <v>0</v>
      </c>
    </row>
    <row r="405" spans="63:66" x14ac:dyDescent="0.6">
      <c r="BK405" s="4" t="str">
        <f>IFERROR(VLOOKUP(TEXT($B$3,"yyyymmdd")&amp;"_"&amp;TEXT(394,"0000"),RawData!$A$2:$F$1441,4,FALSE),"")</f>
        <v>00</v>
      </c>
      <c r="BL405" s="19">
        <f>TIME(0,0,0)+394/1440</f>
        <v>0.27361111111111114</v>
      </c>
      <c r="BM405" s="4">
        <f>IFERROR(VLOOKUP(TEXT($B$3,"yyyymmdd")&amp;"_"&amp;TEXT(394,"0000"),RawData!$A$2:$F$1441,5,FALSE),"")</f>
        <v>0</v>
      </c>
      <c r="BN405" s="4">
        <f t="shared" si="7"/>
        <v>0</v>
      </c>
    </row>
    <row r="406" spans="63:66" x14ac:dyDescent="0.6">
      <c r="BK406" s="4" t="str">
        <f>IFERROR(VLOOKUP(TEXT($B$3,"yyyymmdd")&amp;"_"&amp;TEXT(395,"0000"),RawData!$A$2:$F$1441,4,FALSE),"")</f>
        <v>00</v>
      </c>
      <c r="BL406" s="19">
        <f>TIME(0,0,0)+395/1440</f>
        <v>0.27430555555555558</v>
      </c>
      <c r="BM406" s="4">
        <f>IFERROR(VLOOKUP(TEXT($B$3,"yyyymmdd")&amp;"_"&amp;TEXT(395,"0000"),RawData!$A$2:$F$1441,5,FALSE),"")</f>
        <v>0</v>
      </c>
      <c r="BN406" s="4">
        <f t="shared" si="7"/>
        <v>0</v>
      </c>
    </row>
    <row r="407" spans="63:66" x14ac:dyDescent="0.6">
      <c r="BK407" s="4" t="str">
        <f>IFERROR(VLOOKUP(TEXT($B$3,"yyyymmdd")&amp;"_"&amp;TEXT(396,"0000"),RawData!$A$2:$F$1441,4,FALSE),"")</f>
        <v>00</v>
      </c>
      <c r="BL407" s="19">
        <f>TIME(0,0,0)+396/1440</f>
        <v>0.27500000000000002</v>
      </c>
      <c r="BM407" s="4">
        <f>IFERROR(VLOOKUP(TEXT($B$3,"yyyymmdd")&amp;"_"&amp;TEXT(396,"0000"),RawData!$A$2:$F$1441,5,FALSE),"")</f>
        <v>0</v>
      </c>
      <c r="BN407" s="4">
        <f t="shared" si="7"/>
        <v>0</v>
      </c>
    </row>
    <row r="408" spans="63:66" x14ac:dyDescent="0.6">
      <c r="BK408" s="4" t="str">
        <f>IFERROR(VLOOKUP(TEXT($B$3,"yyyymmdd")&amp;"_"&amp;TEXT(397,"0000"),RawData!$A$2:$F$1441,4,FALSE),"")</f>
        <v>00</v>
      </c>
      <c r="BL408" s="19">
        <f>TIME(0,0,0)+397/1440</f>
        <v>0.27569444444444446</v>
      </c>
      <c r="BM408" s="4">
        <f>IFERROR(VLOOKUP(TEXT($B$3,"yyyymmdd")&amp;"_"&amp;TEXT(397,"0000"),RawData!$A$2:$F$1441,5,FALSE),"")</f>
        <v>0</v>
      </c>
      <c r="BN408" s="4">
        <f t="shared" si="7"/>
        <v>0</v>
      </c>
    </row>
    <row r="409" spans="63:66" x14ac:dyDescent="0.6">
      <c r="BK409" s="4" t="str">
        <f>IFERROR(VLOOKUP(TEXT($B$3,"yyyymmdd")&amp;"_"&amp;TEXT(398,"0000"),RawData!$A$2:$F$1441,4,FALSE),"")</f>
        <v>00</v>
      </c>
      <c r="BL409" s="19">
        <f>TIME(0,0,0)+398/1440</f>
        <v>0.27638888888888891</v>
      </c>
      <c r="BM409" s="4">
        <f>IFERROR(VLOOKUP(TEXT($B$3,"yyyymmdd")&amp;"_"&amp;TEXT(398,"0000"),RawData!$A$2:$F$1441,5,FALSE),"")</f>
        <v>0</v>
      </c>
      <c r="BN409" s="4">
        <f t="shared" si="7"/>
        <v>0</v>
      </c>
    </row>
    <row r="410" spans="63:66" x14ac:dyDescent="0.6">
      <c r="BK410" s="4" t="str">
        <f>IFERROR(VLOOKUP(TEXT($B$3,"yyyymmdd")&amp;"_"&amp;TEXT(399,"0000"),RawData!$A$2:$F$1441,4,FALSE),"")</f>
        <v>00</v>
      </c>
      <c r="BL410" s="19">
        <f>TIME(0,0,0)+399/1440</f>
        <v>0.27708333333333335</v>
      </c>
      <c r="BM410" s="4">
        <f>IFERROR(VLOOKUP(TEXT($B$3,"yyyymmdd")&amp;"_"&amp;TEXT(399,"0000"),RawData!$A$2:$F$1441,5,FALSE),"")</f>
        <v>0</v>
      </c>
      <c r="BN410" s="4">
        <f t="shared" si="7"/>
        <v>0</v>
      </c>
    </row>
    <row r="411" spans="63:66" x14ac:dyDescent="0.6">
      <c r="BK411" s="4" t="str">
        <f>IFERROR(VLOOKUP(TEXT($B$3,"yyyymmdd")&amp;"_"&amp;TEXT(400,"0000"),RawData!$A$2:$F$1441,4,FALSE),"")</f>
        <v>00</v>
      </c>
      <c r="BL411" s="19">
        <f>TIME(0,0,0)+400/1440</f>
        <v>0.27777777777777779</v>
      </c>
      <c r="BM411" s="4">
        <f>IFERROR(VLOOKUP(TEXT($B$3,"yyyymmdd")&amp;"_"&amp;TEXT(400,"0000"),RawData!$A$2:$F$1441,5,FALSE),"")</f>
        <v>0</v>
      </c>
      <c r="BN411" s="4">
        <f t="shared" si="7"/>
        <v>0</v>
      </c>
    </row>
    <row r="412" spans="63:66" x14ac:dyDescent="0.6">
      <c r="BK412" s="4" t="str">
        <f>IFERROR(VLOOKUP(TEXT($B$3,"yyyymmdd")&amp;"_"&amp;TEXT(401,"0000"),RawData!$A$2:$F$1441,4,FALSE),"")</f>
        <v>00</v>
      </c>
      <c r="BL412" s="19">
        <f>TIME(0,0,0)+401/1440</f>
        <v>0.27847222222222223</v>
      </c>
      <c r="BM412" s="4">
        <f>IFERROR(VLOOKUP(TEXT($B$3,"yyyymmdd")&amp;"_"&amp;TEXT(401,"0000"),RawData!$A$2:$F$1441,5,FALSE),"")</f>
        <v>0</v>
      </c>
      <c r="BN412" s="4">
        <f t="shared" si="7"/>
        <v>0</v>
      </c>
    </row>
    <row r="413" spans="63:66" x14ac:dyDescent="0.6">
      <c r="BK413" s="4" t="str">
        <f>IFERROR(VLOOKUP(TEXT($B$3,"yyyymmdd")&amp;"_"&amp;TEXT(402,"0000"),RawData!$A$2:$F$1441,4,FALSE),"")</f>
        <v>00</v>
      </c>
      <c r="BL413" s="19">
        <f>TIME(0,0,0)+402/1440</f>
        <v>0.27916666666666667</v>
      </c>
      <c r="BM413" s="4">
        <f>IFERROR(VLOOKUP(TEXT($B$3,"yyyymmdd")&amp;"_"&amp;TEXT(402,"0000"),RawData!$A$2:$F$1441,5,FALSE),"")</f>
        <v>0</v>
      </c>
      <c r="BN413" s="4">
        <f t="shared" si="7"/>
        <v>0</v>
      </c>
    </row>
    <row r="414" spans="63:66" x14ac:dyDescent="0.6">
      <c r="BK414" s="4" t="str">
        <f>IFERROR(VLOOKUP(TEXT($B$3,"yyyymmdd")&amp;"_"&amp;TEXT(403,"0000"),RawData!$A$2:$F$1441,4,FALSE),"")</f>
        <v>00</v>
      </c>
      <c r="BL414" s="19">
        <f>TIME(0,0,0)+403/1440</f>
        <v>0.27986111111111112</v>
      </c>
      <c r="BM414" s="4">
        <f>IFERROR(VLOOKUP(TEXT($B$3,"yyyymmdd")&amp;"_"&amp;TEXT(403,"0000"),RawData!$A$2:$F$1441,5,FALSE),"")</f>
        <v>0</v>
      </c>
      <c r="BN414" s="4">
        <f t="shared" si="7"/>
        <v>0</v>
      </c>
    </row>
    <row r="415" spans="63:66" x14ac:dyDescent="0.6">
      <c r="BK415" s="4" t="str">
        <f>IFERROR(VLOOKUP(TEXT($B$3,"yyyymmdd")&amp;"_"&amp;TEXT(404,"0000"),RawData!$A$2:$F$1441,4,FALSE),"")</f>
        <v>00</v>
      </c>
      <c r="BL415" s="19">
        <f>TIME(0,0,0)+404/1440</f>
        <v>0.28055555555555556</v>
      </c>
      <c r="BM415" s="4">
        <f>IFERROR(VLOOKUP(TEXT($B$3,"yyyymmdd")&amp;"_"&amp;TEXT(404,"0000"),RawData!$A$2:$F$1441,5,FALSE),"")</f>
        <v>0</v>
      </c>
      <c r="BN415" s="4">
        <f t="shared" si="7"/>
        <v>0</v>
      </c>
    </row>
    <row r="416" spans="63:66" x14ac:dyDescent="0.6">
      <c r="BK416" s="4" t="str">
        <f>IFERROR(VLOOKUP(TEXT($B$3,"yyyymmdd")&amp;"_"&amp;TEXT(405,"0000"),RawData!$A$2:$F$1441,4,FALSE),"")</f>
        <v>00</v>
      </c>
      <c r="BL416" s="19">
        <f>TIME(0,0,0)+405/1440</f>
        <v>0.28125</v>
      </c>
      <c r="BM416" s="4">
        <f>IFERROR(VLOOKUP(TEXT($B$3,"yyyymmdd")&amp;"_"&amp;TEXT(405,"0000"),RawData!$A$2:$F$1441,5,FALSE),"")</f>
        <v>0</v>
      </c>
      <c r="BN416" s="4">
        <f t="shared" si="7"/>
        <v>0</v>
      </c>
    </row>
    <row r="417" spans="63:66" x14ac:dyDescent="0.6">
      <c r="BK417" s="4" t="str">
        <f>IFERROR(VLOOKUP(TEXT($B$3,"yyyymmdd")&amp;"_"&amp;TEXT(406,"0000"),RawData!$A$2:$F$1441,4,FALSE),"")</f>
        <v>00</v>
      </c>
      <c r="BL417" s="19">
        <f>TIME(0,0,0)+406/1440</f>
        <v>0.28194444444444444</v>
      </c>
      <c r="BM417" s="4">
        <f>IFERROR(VLOOKUP(TEXT($B$3,"yyyymmdd")&amp;"_"&amp;TEXT(406,"0000"),RawData!$A$2:$F$1441,5,FALSE),"")</f>
        <v>0</v>
      </c>
      <c r="BN417" s="4">
        <f t="shared" si="7"/>
        <v>0</v>
      </c>
    </row>
    <row r="418" spans="63:66" x14ac:dyDescent="0.6">
      <c r="BK418" s="4" t="str">
        <f>IFERROR(VLOOKUP(TEXT($B$3,"yyyymmdd")&amp;"_"&amp;TEXT(407,"0000"),RawData!$A$2:$F$1441,4,FALSE),"")</f>
        <v>00</v>
      </c>
      <c r="BL418" s="19">
        <f>TIME(0,0,0)+407/1440</f>
        <v>0.28263888888888888</v>
      </c>
      <c r="BM418" s="4">
        <f>IFERROR(VLOOKUP(TEXT($B$3,"yyyymmdd")&amp;"_"&amp;TEXT(407,"0000"),RawData!$A$2:$F$1441,5,FALSE),"")</f>
        <v>0</v>
      </c>
      <c r="BN418" s="4">
        <f t="shared" si="7"/>
        <v>0</v>
      </c>
    </row>
    <row r="419" spans="63:66" x14ac:dyDescent="0.6">
      <c r="BK419" s="4" t="str">
        <f>IFERROR(VLOOKUP(TEXT($B$3,"yyyymmdd")&amp;"_"&amp;TEXT(408,"0000"),RawData!$A$2:$F$1441,4,FALSE),"")</f>
        <v>00</v>
      </c>
      <c r="BL419" s="19">
        <f>TIME(0,0,0)+408/1440</f>
        <v>0.28333333333333333</v>
      </c>
      <c r="BM419" s="4">
        <f>IFERROR(VLOOKUP(TEXT($B$3,"yyyymmdd")&amp;"_"&amp;TEXT(408,"0000"),RawData!$A$2:$F$1441,5,FALSE),"")</f>
        <v>0</v>
      </c>
      <c r="BN419" s="4">
        <f t="shared" si="7"/>
        <v>0</v>
      </c>
    </row>
    <row r="420" spans="63:66" x14ac:dyDescent="0.6">
      <c r="BK420" s="4" t="str">
        <f>IFERROR(VLOOKUP(TEXT($B$3,"yyyymmdd")&amp;"_"&amp;TEXT(409,"0000"),RawData!$A$2:$F$1441,4,FALSE),"")</f>
        <v>00</v>
      </c>
      <c r="BL420" s="19">
        <f>TIME(0,0,0)+409/1440</f>
        <v>0.28402777777777777</v>
      </c>
      <c r="BM420" s="4">
        <f>IFERROR(VLOOKUP(TEXT($B$3,"yyyymmdd")&amp;"_"&amp;TEXT(409,"0000"),RawData!$A$2:$F$1441,5,FALSE),"")</f>
        <v>0</v>
      </c>
      <c r="BN420" s="4">
        <f t="shared" si="7"/>
        <v>0</v>
      </c>
    </row>
    <row r="421" spans="63:66" x14ac:dyDescent="0.6">
      <c r="BK421" s="4" t="str">
        <f>IFERROR(VLOOKUP(TEXT($B$3,"yyyymmdd")&amp;"_"&amp;TEXT(410,"0000"),RawData!$A$2:$F$1441,4,FALSE),"")</f>
        <v>00</v>
      </c>
      <c r="BL421" s="19">
        <f>TIME(0,0,0)+410/1440</f>
        <v>0.28472222222222221</v>
      </c>
      <c r="BM421" s="4">
        <f>IFERROR(VLOOKUP(TEXT($B$3,"yyyymmdd")&amp;"_"&amp;TEXT(410,"0000"),RawData!$A$2:$F$1441,5,FALSE),"")</f>
        <v>0</v>
      </c>
      <c r="BN421" s="4">
        <f t="shared" si="7"/>
        <v>0</v>
      </c>
    </row>
    <row r="422" spans="63:66" x14ac:dyDescent="0.6">
      <c r="BK422" s="4" t="str">
        <f>IFERROR(VLOOKUP(TEXT($B$3,"yyyymmdd")&amp;"_"&amp;TEXT(411,"0000"),RawData!$A$2:$F$1441,4,FALSE),"")</f>
        <v>00</v>
      </c>
      <c r="BL422" s="19">
        <f>TIME(0,0,0)+411/1440</f>
        <v>0.28541666666666665</v>
      </c>
      <c r="BM422" s="4">
        <f>IFERROR(VLOOKUP(TEXT($B$3,"yyyymmdd")&amp;"_"&amp;TEXT(411,"0000"),RawData!$A$2:$F$1441,5,FALSE),"")</f>
        <v>0</v>
      </c>
      <c r="BN422" s="4">
        <f t="shared" si="7"/>
        <v>0</v>
      </c>
    </row>
    <row r="423" spans="63:66" x14ac:dyDescent="0.6">
      <c r="BK423" s="4" t="str">
        <f>IFERROR(VLOOKUP(TEXT($B$3,"yyyymmdd")&amp;"_"&amp;TEXT(412,"0000"),RawData!$A$2:$F$1441,4,FALSE),"")</f>
        <v>00</v>
      </c>
      <c r="BL423" s="19">
        <f>TIME(0,0,0)+412/1440</f>
        <v>0.28611111111111109</v>
      </c>
      <c r="BM423" s="4">
        <f>IFERROR(VLOOKUP(TEXT($B$3,"yyyymmdd")&amp;"_"&amp;TEXT(412,"0000"),RawData!$A$2:$F$1441,5,FALSE),"")</f>
        <v>0</v>
      </c>
      <c r="BN423" s="4">
        <f t="shared" si="7"/>
        <v>0</v>
      </c>
    </row>
    <row r="424" spans="63:66" x14ac:dyDescent="0.6">
      <c r="BK424" s="4" t="str">
        <f>IFERROR(VLOOKUP(TEXT($B$3,"yyyymmdd")&amp;"_"&amp;TEXT(413,"0000"),RawData!$A$2:$F$1441,4,FALSE),"")</f>
        <v>00</v>
      </c>
      <c r="BL424" s="19">
        <f>TIME(0,0,0)+413/1440</f>
        <v>0.28680555555555554</v>
      </c>
      <c r="BM424" s="4">
        <f>IFERROR(VLOOKUP(TEXT($B$3,"yyyymmdd")&amp;"_"&amp;TEXT(413,"0000"),RawData!$A$2:$F$1441,5,FALSE),"")</f>
        <v>0</v>
      </c>
      <c r="BN424" s="4">
        <f t="shared" si="7"/>
        <v>0</v>
      </c>
    </row>
    <row r="425" spans="63:66" x14ac:dyDescent="0.6">
      <c r="BK425" s="4" t="str">
        <f>IFERROR(VLOOKUP(TEXT($B$3,"yyyymmdd")&amp;"_"&amp;TEXT(414,"0000"),RawData!$A$2:$F$1441,4,FALSE),"")</f>
        <v>00</v>
      </c>
      <c r="BL425" s="19">
        <f>TIME(0,0,0)+414/1440</f>
        <v>0.28749999999999998</v>
      </c>
      <c r="BM425" s="4">
        <f>IFERROR(VLOOKUP(TEXT($B$3,"yyyymmdd")&amp;"_"&amp;TEXT(414,"0000"),RawData!$A$2:$F$1441,5,FALSE),"")</f>
        <v>0</v>
      </c>
      <c r="BN425" s="4">
        <f t="shared" si="7"/>
        <v>0</v>
      </c>
    </row>
    <row r="426" spans="63:66" x14ac:dyDescent="0.6">
      <c r="BK426" s="4" t="str">
        <f>IFERROR(VLOOKUP(TEXT($B$3,"yyyymmdd")&amp;"_"&amp;TEXT(415,"0000"),RawData!$A$2:$F$1441,4,FALSE),"")</f>
        <v>00</v>
      </c>
      <c r="BL426" s="19">
        <f>TIME(0,0,0)+415/1440</f>
        <v>0.28819444444444442</v>
      </c>
      <c r="BM426" s="4">
        <f>IFERROR(VLOOKUP(TEXT($B$3,"yyyymmdd")&amp;"_"&amp;TEXT(415,"0000"),RawData!$A$2:$F$1441,5,FALSE),"")</f>
        <v>0</v>
      </c>
      <c r="BN426" s="4">
        <f t="shared" si="7"/>
        <v>0</v>
      </c>
    </row>
    <row r="427" spans="63:66" x14ac:dyDescent="0.6">
      <c r="BK427" s="4" t="str">
        <f>IFERROR(VLOOKUP(TEXT($B$3,"yyyymmdd")&amp;"_"&amp;TEXT(416,"0000"),RawData!$A$2:$F$1441,4,FALSE),"")</f>
        <v>00</v>
      </c>
      <c r="BL427" s="19">
        <f>TIME(0,0,0)+416/1440</f>
        <v>0.28888888888888886</v>
      </c>
      <c r="BM427" s="4">
        <f>IFERROR(VLOOKUP(TEXT($B$3,"yyyymmdd")&amp;"_"&amp;TEXT(416,"0000"),RawData!$A$2:$F$1441,5,FALSE),"")</f>
        <v>0</v>
      </c>
      <c r="BN427" s="4">
        <f t="shared" si="7"/>
        <v>0</v>
      </c>
    </row>
    <row r="428" spans="63:66" x14ac:dyDescent="0.6">
      <c r="BK428" s="4" t="str">
        <f>IFERROR(VLOOKUP(TEXT($B$3,"yyyymmdd")&amp;"_"&amp;TEXT(417,"0000"),RawData!$A$2:$F$1441,4,FALSE),"")</f>
        <v>00</v>
      </c>
      <c r="BL428" s="19">
        <f>TIME(0,0,0)+417/1440</f>
        <v>0.28958333333333336</v>
      </c>
      <c r="BM428" s="4">
        <f>IFERROR(VLOOKUP(TEXT($B$3,"yyyymmdd")&amp;"_"&amp;TEXT(417,"0000"),RawData!$A$2:$F$1441,5,FALSE),"")</f>
        <v>0</v>
      </c>
      <c r="BN428" s="4">
        <f t="shared" si="7"/>
        <v>0</v>
      </c>
    </row>
    <row r="429" spans="63:66" x14ac:dyDescent="0.6">
      <c r="BK429" s="4" t="str">
        <f>IFERROR(VLOOKUP(TEXT($B$3,"yyyymmdd")&amp;"_"&amp;TEXT(418,"0000"),RawData!$A$2:$F$1441,4,FALSE),"")</f>
        <v>00</v>
      </c>
      <c r="BL429" s="19">
        <f>TIME(0,0,0)+418/1440</f>
        <v>0.2902777777777778</v>
      </c>
      <c r="BM429" s="4">
        <f>IFERROR(VLOOKUP(TEXT($B$3,"yyyymmdd")&amp;"_"&amp;TEXT(418,"0000"),RawData!$A$2:$F$1441,5,FALSE),"")</f>
        <v>0</v>
      </c>
      <c r="BN429" s="4">
        <f t="shared" si="7"/>
        <v>0</v>
      </c>
    </row>
    <row r="430" spans="63:66" x14ac:dyDescent="0.6">
      <c r="BK430" s="4" t="str">
        <f>IFERROR(VLOOKUP(TEXT($B$3,"yyyymmdd")&amp;"_"&amp;TEXT(419,"0000"),RawData!$A$2:$F$1441,4,FALSE),"")</f>
        <v>00</v>
      </c>
      <c r="BL430" s="19">
        <f>TIME(0,0,0)+419/1440</f>
        <v>0.29097222222222224</v>
      </c>
      <c r="BM430" s="4">
        <f>IFERROR(VLOOKUP(TEXT($B$3,"yyyymmdd")&amp;"_"&amp;TEXT(419,"0000"),RawData!$A$2:$F$1441,5,FALSE),"")</f>
        <v>0</v>
      </c>
      <c r="BN430" s="4">
        <f t="shared" si="7"/>
        <v>0</v>
      </c>
    </row>
    <row r="431" spans="63:66" x14ac:dyDescent="0.6">
      <c r="BK431" s="4" t="str">
        <f>IFERROR(VLOOKUP(TEXT($B$3,"yyyymmdd")&amp;"_"&amp;TEXT(420,"0000"),RawData!$A$2:$F$1441,4,FALSE),"")</f>
        <v>00</v>
      </c>
      <c r="BL431" s="19">
        <f>TIME(0,0,0)+420/1440</f>
        <v>0.29166666666666669</v>
      </c>
      <c r="BM431" s="4">
        <f>IFERROR(VLOOKUP(TEXT($B$3,"yyyymmdd")&amp;"_"&amp;TEXT(420,"0000"),RawData!$A$2:$F$1441,5,FALSE),"")</f>
        <v>0</v>
      </c>
      <c r="BN431" s="4">
        <f t="shared" si="7"/>
        <v>0</v>
      </c>
    </row>
    <row r="432" spans="63:66" x14ac:dyDescent="0.6">
      <c r="BK432" s="4" t="str">
        <f>IFERROR(VLOOKUP(TEXT($B$3,"yyyymmdd")&amp;"_"&amp;TEXT(421,"0000"),RawData!$A$2:$F$1441,4,FALSE),"")</f>
        <v>00</v>
      </c>
      <c r="BL432" s="19">
        <f>TIME(0,0,0)+421/1440</f>
        <v>0.29236111111111113</v>
      </c>
      <c r="BM432" s="4">
        <f>IFERROR(VLOOKUP(TEXT($B$3,"yyyymmdd")&amp;"_"&amp;TEXT(421,"0000"),RawData!$A$2:$F$1441,5,FALSE),"")</f>
        <v>0</v>
      </c>
      <c r="BN432" s="4">
        <f t="shared" ref="BN432:BN495" si="8">IF(BK426="","",IF(BK426&lt;&gt;BK425,1,0))</f>
        <v>0</v>
      </c>
    </row>
    <row r="433" spans="63:66" x14ac:dyDescent="0.6">
      <c r="BK433" s="4" t="str">
        <f>IFERROR(VLOOKUP(TEXT($B$3,"yyyymmdd")&amp;"_"&amp;TEXT(422,"0000"),RawData!$A$2:$F$1441,4,FALSE),"")</f>
        <v>00</v>
      </c>
      <c r="BL433" s="19">
        <f>TIME(0,0,0)+422/1440</f>
        <v>0.29305555555555557</v>
      </c>
      <c r="BM433" s="4">
        <f>IFERROR(VLOOKUP(TEXT($B$3,"yyyymmdd")&amp;"_"&amp;TEXT(422,"0000"),RawData!$A$2:$F$1441,5,FALSE),"")</f>
        <v>0</v>
      </c>
      <c r="BN433" s="4">
        <f t="shared" si="8"/>
        <v>0</v>
      </c>
    </row>
    <row r="434" spans="63:66" x14ac:dyDescent="0.6">
      <c r="BK434" s="4" t="str">
        <f>IFERROR(VLOOKUP(TEXT($B$3,"yyyymmdd")&amp;"_"&amp;TEXT(423,"0000"),RawData!$A$2:$F$1441,4,FALSE),"")</f>
        <v>00</v>
      </c>
      <c r="BL434" s="19">
        <f>TIME(0,0,0)+423/1440</f>
        <v>0.29375000000000001</v>
      </c>
      <c r="BM434" s="4">
        <f>IFERROR(VLOOKUP(TEXT($B$3,"yyyymmdd")&amp;"_"&amp;TEXT(423,"0000"),RawData!$A$2:$F$1441,5,FALSE),"")</f>
        <v>0</v>
      </c>
      <c r="BN434" s="4">
        <f t="shared" si="8"/>
        <v>0</v>
      </c>
    </row>
    <row r="435" spans="63:66" x14ac:dyDescent="0.6">
      <c r="BK435" s="4" t="str">
        <f>IFERROR(VLOOKUP(TEXT($B$3,"yyyymmdd")&amp;"_"&amp;TEXT(424,"0000"),RawData!$A$2:$F$1441,4,FALSE),"")</f>
        <v>00</v>
      </c>
      <c r="BL435" s="19">
        <f>TIME(0,0,0)+424/1440</f>
        <v>0.29444444444444445</v>
      </c>
      <c r="BM435" s="4">
        <f>IFERROR(VLOOKUP(TEXT($B$3,"yyyymmdd")&amp;"_"&amp;TEXT(424,"0000"),RawData!$A$2:$F$1441,5,FALSE),"")</f>
        <v>0</v>
      </c>
      <c r="BN435" s="4">
        <f t="shared" si="8"/>
        <v>0</v>
      </c>
    </row>
    <row r="436" spans="63:66" x14ac:dyDescent="0.6">
      <c r="BK436" s="4" t="str">
        <f>IFERROR(VLOOKUP(TEXT($B$3,"yyyymmdd")&amp;"_"&amp;TEXT(425,"0000"),RawData!$A$2:$F$1441,4,FALSE),"")</f>
        <v>00</v>
      </c>
      <c r="BL436" s="19">
        <f>TIME(0,0,0)+425/1440</f>
        <v>0.2951388888888889</v>
      </c>
      <c r="BM436" s="4">
        <f>IFERROR(VLOOKUP(TEXT($B$3,"yyyymmdd")&amp;"_"&amp;TEXT(425,"0000"),RawData!$A$2:$F$1441,5,FALSE),"")</f>
        <v>0</v>
      </c>
      <c r="BN436" s="4">
        <f t="shared" si="8"/>
        <v>0</v>
      </c>
    </row>
    <row r="437" spans="63:66" x14ac:dyDescent="0.6">
      <c r="BK437" s="4" t="str">
        <f>IFERROR(VLOOKUP(TEXT($B$3,"yyyymmdd")&amp;"_"&amp;TEXT(426,"0000"),RawData!$A$2:$F$1441,4,FALSE),"")</f>
        <v>00</v>
      </c>
      <c r="BL437" s="19">
        <f>TIME(0,0,0)+426/1440</f>
        <v>0.29583333333333334</v>
      </c>
      <c r="BM437" s="4">
        <f>IFERROR(VLOOKUP(TEXT($B$3,"yyyymmdd")&amp;"_"&amp;TEXT(426,"0000"),RawData!$A$2:$F$1441,5,FALSE),"")</f>
        <v>0</v>
      </c>
      <c r="BN437" s="4">
        <f t="shared" si="8"/>
        <v>0</v>
      </c>
    </row>
    <row r="438" spans="63:66" x14ac:dyDescent="0.6">
      <c r="BK438" s="4" t="str">
        <f>IFERROR(VLOOKUP(TEXT($B$3,"yyyymmdd")&amp;"_"&amp;TEXT(427,"0000"),RawData!$A$2:$F$1441,4,FALSE),"")</f>
        <v>00</v>
      </c>
      <c r="BL438" s="19">
        <f>TIME(0,0,0)+427/1440</f>
        <v>0.29652777777777778</v>
      </c>
      <c r="BM438" s="4">
        <f>IFERROR(VLOOKUP(TEXT($B$3,"yyyymmdd")&amp;"_"&amp;TEXT(427,"0000"),RawData!$A$2:$F$1441,5,FALSE),"")</f>
        <v>0</v>
      </c>
      <c r="BN438" s="4">
        <f t="shared" si="8"/>
        <v>0</v>
      </c>
    </row>
    <row r="439" spans="63:66" x14ac:dyDescent="0.6">
      <c r="BK439" s="4" t="str">
        <f>IFERROR(VLOOKUP(TEXT($B$3,"yyyymmdd")&amp;"_"&amp;TEXT(428,"0000"),RawData!$A$2:$F$1441,4,FALSE),"")</f>
        <v>00</v>
      </c>
      <c r="BL439" s="19">
        <f>TIME(0,0,0)+428/1440</f>
        <v>0.29722222222222222</v>
      </c>
      <c r="BM439" s="4">
        <f>IFERROR(VLOOKUP(TEXT($B$3,"yyyymmdd")&amp;"_"&amp;TEXT(428,"0000"),RawData!$A$2:$F$1441,5,FALSE),"")</f>
        <v>0</v>
      </c>
      <c r="BN439" s="4">
        <f t="shared" si="8"/>
        <v>0</v>
      </c>
    </row>
    <row r="440" spans="63:66" x14ac:dyDescent="0.6">
      <c r="BK440" s="4" t="str">
        <f>IFERROR(VLOOKUP(TEXT($B$3,"yyyymmdd")&amp;"_"&amp;TEXT(429,"0000"),RawData!$A$2:$F$1441,4,FALSE),"")</f>
        <v>00</v>
      </c>
      <c r="BL440" s="19">
        <f>TIME(0,0,0)+429/1440</f>
        <v>0.29791666666666666</v>
      </c>
      <c r="BM440" s="4">
        <f>IFERROR(VLOOKUP(TEXT($B$3,"yyyymmdd")&amp;"_"&amp;TEXT(429,"0000"),RawData!$A$2:$F$1441,5,FALSE),"")</f>
        <v>0</v>
      </c>
      <c r="BN440" s="4">
        <f t="shared" si="8"/>
        <v>0</v>
      </c>
    </row>
    <row r="441" spans="63:66" x14ac:dyDescent="0.6">
      <c r="BK441" s="4" t="str">
        <f>IFERROR(VLOOKUP(TEXT($B$3,"yyyymmdd")&amp;"_"&amp;TEXT(430,"0000"),RawData!$A$2:$F$1441,4,FALSE),"")</f>
        <v>00</v>
      </c>
      <c r="BL441" s="19">
        <f>TIME(0,0,0)+430/1440</f>
        <v>0.2986111111111111</v>
      </c>
      <c r="BM441" s="4">
        <f>IFERROR(VLOOKUP(TEXT($B$3,"yyyymmdd")&amp;"_"&amp;TEXT(430,"0000"),RawData!$A$2:$F$1441,5,FALSE),"")</f>
        <v>0</v>
      </c>
      <c r="BN441" s="4">
        <f t="shared" si="8"/>
        <v>0</v>
      </c>
    </row>
    <row r="442" spans="63:66" x14ac:dyDescent="0.6">
      <c r="BK442" s="4" t="str">
        <f>IFERROR(VLOOKUP(TEXT($B$3,"yyyymmdd")&amp;"_"&amp;TEXT(431,"0000"),RawData!$A$2:$F$1441,4,FALSE),"")</f>
        <v>00</v>
      </c>
      <c r="BL442" s="19">
        <f>TIME(0,0,0)+431/1440</f>
        <v>0.29930555555555555</v>
      </c>
      <c r="BM442" s="4">
        <f>IFERROR(VLOOKUP(TEXT($B$3,"yyyymmdd")&amp;"_"&amp;TEXT(431,"0000"),RawData!$A$2:$F$1441,5,FALSE),"")</f>
        <v>0</v>
      </c>
      <c r="BN442" s="4">
        <f t="shared" si="8"/>
        <v>0</v>
      </c>
    </row>
    <row r="443" spans="63:66" x14ac:dyDescent="0.6">
      <c r="BK443" s="4" t="str">
        <f>IFERROR(VLOOKUP(TEXT($B$3,"yyyymmdd")&amp;"_"&amp;TEXT(432,"0000"),RawData!$A$2:$F$1441,4,FALSE),"")</f>
        <v>00</v>
      </c>
      <c r="BL443" s="19">
        <f>TIME(0,0,0)+432/1440</f>
        <v>0.3</v>
      </c>
      <c r="BM443" s="4">
        <f>IFERROR(VLOOKUP(TEXT($B$3,"yyyymmdd")&amp;"_"&amp;TEXT(432,"0000"),RawData!$A$2:$F$1441,5,FALSE),"")</f>
        <v>0</v>
      </c>
      <c r="BN443" s="4">
        <f t="shared" si="8"/>
        <v>0</v>
      </c>
    </row>
    <row r="444" spans="63:66" x14ac:dyDescent="0.6">
      <c r="BK444" s="4" t="str">
        <f>IFERROR(VLOOKUP(TEXT($B$3,"yyyymmdd")&amp;"_"&amp;TEXT(433,"0000"),RawData!$A$2:$F$1441,4,FALSE),"")</f>
        <v>00</v>
      </c>
      <c r="BL444" s="19">
        <f>TIME(0,0,0)+433/1440</f>
        <v>0.30069444444444443</v>
      </c>
      <c r="BM444" s="4">
        <f>IFERROR(VLOOKUP(TEXT($B$3,"yyyymmdd")&amp;"_"&amp;TEXT(433,"0000"),RawData!$A$2:$F$1441,5,FALSE),"")</f>
        <v>0</v>
      </c>
      <c r="BN444" s="4">
        <f t="shared" si="8"/>
        <v>0</v>
      </c>
    </row>
    <row r="445" spans="63:66" x14ac:dyDescent="0.6">
      <c r="BK445" s="4" t="str">
        <f>IFERROR(VLOOKUP(TEXT($B$3,"yyyymmdd")&amp;"_"&amp;TEXT(434,"0000"),RawData!$A$2:$F$1441,4,FALSE),"")</f>
        <v>00</v>
      </c>
      <c r="BL445" s="19">
        <f>TIME(0,0,0)+434/1440</f>
        <v>0.30138888888888887</v>
      </c>
      <c r="BM445" s="4">
        <f>IFERROR(VLOOKUP(TEXT($B$3,"yyyymmdd")&amp;"_"&amp;TEXT(434,"0000"),RawData!$A$2:$F$1441,5,FALSE),"")</f>
        <v>0</v>
      </c>
      <c r="BN445" s="4">
        <f t="shared" si="8"/>
        <v>0</v>
      </c>
    </row>
    <row r="446" spans="63:66" x14ac:dyDescent="0.6">
      <c r="BK446" s="4" t="str">
        <f>IFERROR(VLOOKUP(TEXT($B$3,"yyyymmdd")&amp;"_"&amp;TEXT(435,"0000"),RawData!$A$2:$F$1441,4,FALSE),"")</f>
        <v>00</v>
      </c>
      <c r="BL446" s="19">
        <f>TIME(0,0,0)+435/1440</f>
        <v>0.30208333333333331</v>
      </c>
      <c r="BM446" s="4">
        <f>IFERROR(VLOOKUP(TEXT($B$3,"yyyymmdd")&amp;"_"&amp;TEXT(435,"0000"),RawData!$A$2:$F$1441,5,FALSE),"")</f>
        <v>0</v>
      </c>
      <c r="BN446" s="4">
        <f t="shared" si="8"/>
        <v>0</v>
      </c>
    </row>
    <row r="447" spans="63:66" x14ac:dyDescent="0.6">
      <c r="BK447" s="4" t="str">
        <f>IFERROR(VLOOKUP(TEXT($B$3,"yyyymmdd")&amp;"_"&amp;TEXT(436,"0000"),RawData!$A$2:$F$1441,4,FALSE),"")</f>
        <v>00</v>
      </c>
      <c r="BL447" s="19">
        <f>TIME(0,0,0)+436/1440</f>
        <v>0.30277777777777776</v>
      </c>
      <c r="BM447" s="4">
        <f>IFERROR(VLOOKUP(TEXT($B$3,"yyyymmdd")&amp;"_"&amp;TEXT(436,"0000"),RawData!$A$2:$F$1441,5,FALSE),"")</f>
        <v>0</v>
      </c>
      <c r="BN447" s="4">
        <f t="shared" si="8"/>
        <v>0</v>
      </c>
    </row>
    <row r="448" spans="63:66" x14ac:dyDescent="0.6">
      <c r="BK448" s="4" t="str">
        <f>IFERROR(VLOOKUP(TEXT($B$3,"yyyymmdd")&amp;"_"&amp;TEXT(437,"0000"),RawData!$A$2:$F$1441,4,FALSE),"")</f>
        <v>00</v>
      </c>
      <c r="BL448" s="19">
        <f>TIME(0,0,0)+437/1440</f>
        <v>0.3034722222222222</v>
      </c>
      <c r="BM448" s="4">
        <f>IFERROR(VLOOKUP(TEXT($B$3,"yyyymmdd")&amp;"_"&amp;TEXT(437,"0000"),RawData!$A$2:$F$1441,5,FALSE),"")</f>
        <v>0</v>
      </c>
      <c r="BN448" s="4">
        <f t="shared" si="8"/>
        <v>0</v>
      </c>
    </row>
    <row r="449" spans="63:66" x14ac:dyDescent="0.6">
      <c r="BK449" s="4" t="str">
        <f>IFERROR(VLOOKUP(TEXT($B$3,"yyyymmdd")&amp;"_"&amp;TEXT(438,"0000"),RawData!$A$2:$F$1441,4,FALSE),"")</f>
        <v>00</v>
      </c>
      <c r="BL449" s="19">
        <f>TIME(0,0,0)+438/1440</f>
        <v>0.30416666666666664</v>
      </c>
      <c r="BM449" s="4">
        <f>IFERROR(VLOOKUP(TEXT($B$3,"yyyymmdd")&amp;"_"&amp;TEXT(438,"0000"),RawData!$A$2:$F$1441,5,FALSE),"")</f>
        <v>0</v>
      </c>
      <c r="BN449" s="4">
        <f t="shared" si="8"/>
        <v>0</v>
      </c>
    </row>
    <row r="450" spans="63:66" x14ac:dyDescent="0.6">
      <c r="BK450" s="4" t="str">
        <f>IFERROR(VLOOKUP(TEXT($B$3,"yyyymmdd")&amp;"_"&amp;TEXT(439,"0000"),RawData!$A$2:$F$1441,4,FALSE),"")</f>
        <v>00</v>
      </c>
      <c r="BL450" s="19">
        <f>TIME(0,0,0)+439/1440</f>
        <v>0.30486111111111114</v>
      </c>
      <c r="BM450" s="4">
        <f>IFERROR(VLOOKUP(TEXT($B$3,"yyyymmdd")&amp;"_"&amp;TEXT(439,"0000"),RawData!$A$2:$F$1441,5,FALSE),"")</f>
        <v>0</v>
      </c>
      <c r="BN450" s="4">
        <f t="shared" si="8"/>
        <v>0</v>
      </c>
    </row>
    <row r="451" spans="63:66" x14ac:dyDescent="0.6">
      <c r="BK451" s="4" t="str">
        <f>IFERROR(VLOOKUP(TEXT($B$3,"yyyymmdd")&amp;"_"&amp;TEXT(440,"0000"),RawData!$A$2:$F$1441,4,FALSE),"")</f>
        <v>00</v>
      </c>
      <c r="BL451" s="19">
        <f>TIME(0,0,0)+440/1440</f>
        <v>0.30555555555555558</v>
      </c>
      <c r="BM451" s="4">
        <f>IFERROR(VLOOKUP(TEXT($B$3,"yyyymmdd")&amp;"_"&amp;TEXT(440,"0000"),RawData!$A$2:$F$1441,5,FALSE),"")</f>
        <v>0</v>
      </c>
      <c r="BN451" s="4">
        <f t="shared" si="8"/>
        <v>0</v>
      </c>
    </row>
    <row r="452" spans="63:66" x14ac:dyDescent="0.6">
      <c r="BK452" s="4" t="str">
        <f>IFERROR(VLOOKUP(TEXT($B$3,"yyyymmdd")&amp;"_"&amp;TEXT(441,"0000"),RawData!$A$2:$F$1441,4,FALSE),"")</f>
        <v>00</v>
      </c>
      <c r="BL452" s="19">
        <f>TIME(0,0,0)+441/1440</f>
        <v>0.30625000000000002</v>
      </c>
      <c r="BM452" s="4">
        <f>IFERROR(VLOOKUP(TEXT($B$3,"yyyymmdd")&amp;"_"&amp;TEXT(441,"0000"),RawData!$A$2:$F$1441,5,FALSE),"")</f>
        <v>0</v>
      </c>
      <c r="BN452" s="4">
        <f t="shared" si="8"/>
        <v>0</v>
      </c>
    </row>
    <row r="453" spans="63:66" x14ac:dyDescent="0.6">
      <c r="BK453" s="4" t="str">
        <f>IFERROR(VLOOKUP(TEXT($B$3,"yyyymmdd")&amp;"_"&amp;TEXT(442,"0000"),RawData!$A$2:$F$1441,4,FALSE),"")</f>
        <v>00</v>
      </c>
      <c r="BL453" s="19">
        <f>TIME(0,0,0)+442/1440</f>
        <v>0.30694444444444446</v>
      </c>
      <c r="BM453" s="4">
        <f>IFERROR(VLOOKUP(TEXT($B$3,"yyyymmdd")&amp;"_"&amp;TEXT(442,"0000"),RawData!$A$2:$F$1441,5,FALSE),"")</f>
        <v>0</v>
      </c>
      <c r="BN453" s="4">
        <f t="shared" si="8"/>
        <v>0</v>
      </c>
    </row>
    <row r="454" spans="63:66" x14ac:dyDescent="0.6">
      <c r="BK454" s="4" t="str">
        <f>IFERROR(VLOOKUP(TEXT($B$3,"yyyymmdd")&amp;"_"&amp;TEXT(443,"0000"),RawData!$A$2:$F$1441,4,FALSE),"")</f>
        <v>00</v>
      </c>
      <c r="BL454" s="19">
        <f>TIME(0,0,0)+443/1440</f>
        <v>0.30763888888888891</v>
      </c>
      <c r="BM454" s="4">
        <f>IFERROR(VLOOKUP(TEXT($B$3,"yyyymmdd")&amp;"_"&amp;TEXT(443,"0000"),RawData!$A$2:$F$1441,5,FALSE),"")</f>
        <v>0</v>
      </c>
      <c r="BN454" s="4">
        <f t="shared" si="8"/>
        <v>0</v>
      </c>
    </row>
    <row r="455" spans="63:66" x14ac:dyDescent="0.6">
      <c r="BK455" s="4" t="str">
        <f>IFERROR(VLOOKUP(TEXT($B$3,"yyyymmdd")&amp;"_"&amp;TEXT(444,"0000"),RawData!$A$2:$F$1441,4,FALSE),"")</f>
        <v>00</v>
      </c>
      <c r="BL455" s="19">
        <f>TIME(0,0,0)+444/1440</f>
        <v>0.30833333333333335</v>
      </c>
      <c r="BM455" s="4">
        <f>IFERROR(VLOOKUP(TEXT($B$3,"yyyymmdd")&amp;"_"&amp;TEXT(444,"0000"),RawData!$A$2:$F$1441,5,FALSE),"")</f>
        <v>0</v>
      </c>
      <c r="BN455" s="4">
        <f t="shared" si="8"/>
        <v>0</v>
      </c>
    </row>
    <row r="456" spans="63:66" x14ac:dyDescent="0.6">
      <c r="BK456" s="4" t="str">
        <f>IFERROR(VLOOKUP(TEXT($B$3,"yyyymmdd")&amp;"_"&amp;TEXT(445,"0000"),RawData!$A$2:$F$1441,4,FALSE),"")</f>
        <v>00</v>
      </c>
      <c r="BL456" s="19">
        <f>TIME(0,0,0)+445/1440</f>
        <v>0.30902777777777779</v>
      </c>
      <c r="BM456" s="4">
        <f>IFERROR(VLOOKUP(TEXT($B$3,"yyyymmdd")&amp;"_"&amp;TEXT(445,"0000"),RawData!$A$2:$F$1441,5,FALSE),"")</f>
        <v>0</v>
      </c>
      <c r="BN456" s="4">
        <f t="shared" si="8"/>
        <v>0</v>
      </c>
    </row>
    <row r="457" spans="63:66" x14ac:dyDescent="0.6">
      <c r="BK457" s="4" t="str">
        <f>IFERROR(VLOOKUP(TEXT($B$3,"yyyymmdd")&amp;"_"&amp;TEXT(446,"0000"),RawData!$A$2:$F$1441,4,FALSE),"")</f>
        <v>00</v>
      </c>
      <c r="BL457" s="19">
        <f>TIME(0,0,0)+446/1440</f>
        <v>0.30972222222222223</v>
      </c>
      <c r="BM457" s="4">
        <f>IFERROR(VLOOKUP(TEXT($B$3,"yyyymmdd")&amp;"_"&amp;TEXT(446,"0000"),RawData!$A$2:$F$1441,5,FALSE),"")</f>
        <v>0</v>
      </c>
      <c r="BN457" s="4">
        <f t="shared" si="8"/>
        <v>0</v>
      </c>
    </row>
    <row r="458" spans="63:66" x14ac:dyDescent="0.6">
      <c r="BK458" s="4" t="str">
        <f>IFERROR(VLOOKUP(TEXT($B$3,"yyyymmdd")&amp;"_"&amp;TEXT(447,"0000"),RawData!$A$2:$F$1441,4,FALSE),"")</f>
        <v>00</v>
      </c>
      <c r="BL458" s="19">
        <f>TIME(0,0,0)+447/1440</f>
        <v>0.31041666666666667</v>
      </c>
      <c r="BM458" s="4">
        <f>IFERROR(VLOOKUP(TEXT($B$3,"yyyymmdd")&amp;"_"&amp;TEXT(447,"0000"),RawData!$A$2:$F$1441,5,FALSE),"")</f>
        <v>0</v>
      </c>
      <c r="BN458" s="4">
        <f t="shared" si="8"/>
        <v>0</v>
      </c>
    </row>
    <row r="459" spans="63:66" x14ac:dyDescent="0.6">
      <c r="BK459" s="4" t="str">
        <f>IFERROR(VLOOKUP(TEXT($B$3,"yyyymmdd")&amp;"_"&amp;TEXT(448,"0000"),RawData!$A$2:$F$1441,4,FALSE),"")</f>
        <v>00</v>
      </c>
      <c r="BL459" s="19">
        <f>TIME(0,0,0)+448/1440</f>
        <v>0.31111111111111112</v>
      </c>
      <c r="BM459" s="4">
        <f>IFERROR(VLOOKUP(TEXT($B$3,"yyyymmdd")&amp;"_"&amp;TEXT(448,"0000"),RawData!$A$2:$F$1441,5,FALSE),"")</f>
        <v>0</v>
      </c>
      <c r="BN459" s="4">
        <f t="shared" si="8"/>
        <v>0</v>
      </c>
    </row>
    <row r="460" spans="63:66" x14ac:dyDescent="0.6">
      <c r="BK460" s="4" t="str">
        <f>IFERROR(VLOOKUP(TEXT($B$3,"yyyymmdd")&amp;"_"&amp;TEXT(449,"0000"),RawData!$A$2:$F$1441,4,FALSE),"")</f>
        <v>00</v>
      </c>
      <c r="BL460" s="19">
        <f>TIME(0,0,0)+449/1440</f>
        <v>0.31180555555555556</v>
      </c>
      <c r="BM460" s="4">
        <f>IFERROR(VLOOKUP(TEXT($B$3,"yyyymmdd")&amp;"_"&amp;TEXT(449,"0000"),RawData!$A$2:$F$1441,5,FALSE),"")</f>
        <v>0</v>
      </c>
      <c r="BN460" s="4">
        <f t="shared" si="8"/>
        <v>0</v>
      </c>
    </row>
    <row r="461" spans="63:66" x14ac:dyDescent="0.6">
      <c r="BK461" s="4" t="str">
        <f>IFERROR(VLOOKUP(TEXT($B$3,"yyyymmdd")&amp;"_"&amp;TEXT(450,"0000"),RawData!$A$2:$F$1441,4,FALSE),"")</f>
        <v>00</v>
      </c>
      <c r="BL461" s="19">
        <f>TIME(0,0,0)+450/1440</f>
        <v>0.3125</v>
      </c>
      <c r="BM461" s="4">
        <f>IFERROR(VLOOKUP(TEXT($B$3,"yyyymmdd")&amp;"_"&amp;TEXT(450,"0000"),RawData!$A$2:$F$1441,5,FALSE),"")</f>
        <v>0</v>
      </c>
      <c r="BN461" s="4">
        <f t="shared" si="8"/>
        <v>0</v>
      </c>
    </row>
    <row r="462" spans="63:66" x14ac:dyDescent="0.6">
      <c r="BK462" s="4" t="str">
        <f>IFERROR(VLOOKUP(TEXT($B$3,"yyyymmdd")&amp;"_"&amp;TEXT(451,"0000"),RawData!$A$2:$F$1441,4,FALSE),"")</f>
        <v>00</v>
      </c>
      <c r="BL462" s="19">
        <f>TIME(0,0,0)+451/1440</f>
        <v>0.31319444444444444</v>
      </c>
      <c r="BM462" s="4">
        <f>IFERROR(VLOOKUP(TEXT($B$3,"yyyymmdd")&amp;"_"&amp;TEXT(451,"0000"),RawData!$A$2:$F$1441,5,FALSE),"")</f>
        <v>0</v>
      </c>
      <c r="BN462" s="4">
        <f t="shared" si="8"/>
        <v>0</v>
      </c>
    </row>
    <row r="463" spans="63:66" x14ac:dyDescent="0.6">
      <c r="BK463" s="4" t="str">
        <f>IFERROR(VLOOKUP(TEXT($B$3,"yyyymmdd")&amp;"_"&amp;TEXT(452,"0000"),RawData!$A$2:$F$1441,4,FALSE),"")</f>
        <v>00</v>
      </c>
      <c r="BL463" s="19">
        <f>TIME(0,0,0)+452/1440</f>
        <v>0.31388888888888888</v>
      </c>
      <c r="BM463" s="4">
        <f>IFERROR(VLOOKUP(TEXT($B$3,"yyyymmdd")&amp;"_"&amp;TEXT(452,"0000"),RawData!$A$2:$F$1441,5,FALSE),"")</f>
        <v>0</v>
      </c>
      <c r="BN463" s="4">
        <f t="shared" si="8"/>
        <v>0</v>
      </c>
    </row>
    <row r="464" spans="63:66" x14ac:dyDescent="0.6">
      <c r="BK464" s="4" t="str">
        <f>IFERROR(VLOOKUP(TEXT($B$3,"yyyymmdd")&amp;"_"&amp;TEXT(453,"0000"),RawData!$A$2:$F$1441,4,FALSE),"")</f>
        <v>00</v>
      </c>
      <c r="BL464" s="19">
        <f>TIME(0,0,0)+453/1440</f>
        <v>0.31458333333333333</v>
      </c>
      <c r="BM464" s="4">
        <f>IFERROR(VLOOKUP(TEXT($B$3,"yyyymmdd")&amp;"_"&amp;TEXT(453,"0000"),RawData!$A$2:$F$1441,5,FALSE),"")</f>
        <v>0</v>
      </c>
      <c r="BN464" s="4">
        <f t="shared" si="8"/>
        <v>0</v>
      </c>
    </row>
    <row r="465" spans="63:66" x14ac:dyDescent="0.6">
      <c r="BK465" s="4" t="str">
        <f>IFERROR(VLOOKUP(TEXT($B$3,"yyyymmdd")&amp;"_"&amp;TEXT(454,"0000"),RawData!$A$2:$F$1441,4,FALSE),"")</f>
        <v>00</v>
      </c>
      <c r="BL465" s="19">
        <f>TIME(0,0,0)+454/1440</f>
        <v>0.31527777777777777</v>
      </c>
      <c r="BM465" s="4">
        <f>IFERROR(VLOOKUP(TEXT($B$3,"yyyymmdd")&amp;"_"&amp;TEXT(454,"0000"),RawData!$A$2:$F$1441,5,FALSE),"")</f>
        <v>0</v>
      </c>
      <c r="BN465" s="4">
        <f t="shared" si="8"/>
        <v>0</v>
      </c>
    </row>
    <row r="466" spans="63:66" x14ac:dyDescent="0.6">
      <c r="BK466" s="4" t="str">
        <f>IFERROR(VLOOKUP(TEXT($B$3,"yyyymmdd")&amp;"_"&amp;TEXT(455,"0000"),RawData!$A$2:$F$1441,4,FALSE),"")</f>
        <v>00</v>
      </c>
      <c r="BL466" s="19">
        <f>TIME(0,0,0)+455/1440</f>
        <v>0.31597222222222221</v>
      </c>
      <c r="BM466" s="4">
        <f>IFERROR(VLOOKUP(TEXT($B$3,"yyyymmdd")&amp;"_"&amp;TEXT(455,"0000"),RawData!$A$2:$F$1441,5,FALSE),"")</f>
        <v>0</v>
      </c>
      <c r="BN466" s="4">
        <f t="shared" si="8"/>
        <v>0</v>
      </c>
    </row>
    <row r="467" spans="63:66" x14ac:dyDescent="0.6">
      <c r="BK467" s="4" t="str">
        <f>IFERROR(VLOOKUP(TEXT($B$3,"yyyymmdd")&amp;"_"&amp;TEXT(456,"0000"),RawData!$A$2:$F$1441,4,FALSE),"")</f>
        <v>00</v>
      </c>
      <c r="BL467" s="19">
        <f>TIME(0,0,0)+456/1440</f>
        <v>0.31666666666666665</v>
      </c>
      <c r="BM467" s="4">
        <f>IFERROR(VLOOKUP(TEXT($B$3,"yyyymmdd")&amp;"_"&amp;TEXT(456,"0000"),RawData!$A$2:$F$1441,5,FALSE),"")</f>
        <v>0</v>
      </c>
      <c r="BN467" s="4">
        <f t="shared" si="8"/>
        <v>0</v>
      </c>
    </row>
    <row r="468" spans="63:66" x14ac:dyDescent="0.6">
      <c r="BK468" s="4" t="str">
        <f>IFERROR(VLOOKUP(TEXT($B$3,"yyyymmdd")&amp;"_"&amp;TEXT(457,"0000"),RawData!$A$2:$F$1441,4,FALSE),"")</f>
        <v>00</v>
      </c>
      <c r="BL468" s="19">
        <f>TIME(0,0,0)+457/1440</f>
        <v>0.31736111111111109</v>
      </c>
      <c r="BM468" s="4">
        <f>IFERROR(VLOOKUP(TEXT($B$3,"yyyymmdd")&amp;"_"&amp;TEXT(457,"0000"),RawData!$A$2:$F$1441,5,FALSE),"")</f>
        <v>0</v>
      </c>
      <c r="BN468" s="4">
        <f t="shared" si="8"/>
        <v>0</v>
      </c>
    </row>
    <row r="469" spans="63:66" x14ac:dyDescent="0.6">
      <c r="BK469" s="4" t="str">
        <f>IFERROR(VLOOKUP(TEXT($B$3,"yyyymmdd")&amp;"_"&amp;TEXT(458,"0000"),RawData!$A$2:$F$1441,4,FALSE),"")</f>
        <v>00</v>
      </c>
      <c r="BL469" s="19">
        <f>TIME(0,0,0)+458/1440</f>
        <v>0.31805555555555554</v>
      </c>
      <c r="BM469" s="4">
        <f>IFERROR(VLOOKUP(TEXT($B$3,"yyyymmdd")&amp;"_"&amp;TEXT(458,"0000"),RawData!$A$2:$F$1441,5,FALSE),"")</f>
        <v>0</v>
      </c>
      <c r="BN469" s="4">
        <f t="shared" si="8"/>
        <v>0</v>
      </c>
    </row>
    <row r="470" spans="63:66" x14ac:dyDescent="0.6">
      <c r="BK470" s="4" t="str">
        <f>IFERROR(VLOOKUP(TEXT($B$3,"yyyymmdd")&amp;"_"&amp;TEXT(459,"0000"),RawData!$A$2:$F$1441,4,FALSE),"")</f>
        <v>00</v>
      </c>
      <c r="BL470" s="19">
        <f>TIME(0,0,0)+459/1440</f>
        <v>0.31874999999999998</v>
      </c>
      <c r="BM470" s="4">
        <f>IFERROR(VLOOKUP(TEXT($B$3,"yyyymmdd")&amp;"_"&amp;TEXT(459,"0000"),RawData!$A$2:$F$1441,5,FALSE),"")</f>
        <v>0</v>
      </c>
      <c r="BN470" s="4">
        <f t="shared" si="8"/>
        <v>0</v>
      </c>
    </row>
    <row r="471" spans="63:66" x14ac:dyDescent="0.6">
      <c r="BK471" s="4" t="str">
        <f>IFERROR(VLOOKUP(TEXT($B$3,"yyyymmdd")&amp;"_"&amp;TEXT(460,"0000"),RawData!$A$2:$F$1441,4,FALSE),"")</f>
        <v>00</v>
      </c>
      <c r="BL471" s="19">
        <f>TIME(0,0,0)+460/1440</f>
        <v>0.31944444444444442</v>
      </c>
      <c r="BM471" s="4">
        <f>IFERROR(VLOOKUP(TEXT($B$3,"yyyymmdd")&amp;"_"&amp;TEXT(460,"0000"),RawData!$A$2:$F$1441,5,FALSE),"")</f>
        <v>0</v>
      </c>
      <c r="BN471" s="4">
        <f t="shared" si="8"/>
        <v>0</v>
      </c>
    </row>
    <row r="472" spans="63:66" x14ac:dyDescent="0.6">
      <c r="BK472" s="4" t="str">
        <f>IFERROR(VLOOKUP(TEXT($B$3,"yyyymmdd")&amp;"_"&amp;TEXT(461,"0000"),RawData!$A$2:$F$1441,4,FALSE),"")</f>
        <v>00</v>
      </c>
      <c r="BL472" s="19">
        <f>TIME(0,0,0)+461/1440</f>
        <v>0.32013888888888886</v>
      </c>
      <c r="BM472" s="4">
        <f>IFERROR(VLOOKUP(TEXT($B$3,"yyyymmdd")&amp;"_"&amp;TEXT(461,"0000"),RawData!$A$2:$F$1441,5,FALSE),"")</f>
        <v>0</v>
      </c>
      <c r="BN472" s="4">
        <f t="shared" si="8"/>
        <v>0</v>
      </c>
    </row>
    <row r="473" spans="63:66" x14ac:dyDescent="0.6">
      <c r="BK473" s="4" t="str">
        <f>IFERROR(VLOOKUP(TEXT($B$3,"yyyymmdd")&amp;"_"&amp;TEXT(462,"0000"),RawData!$A$2:$F$1441,4,FALSE),"")</f>
        <v>00</v>
      </c>
      <c r="BL473" s="19">
        <f>TIME(0,0,0)+462/1440</f>
        <v>0.32083333333333336</v>
      </c>
      <c r="BM473" s="4">
        <f>IFERROR(VLOOKUP(TEXT($B$3,"yyyymmdd")&amp;"_"&amp;TEXT(462,"0000"),RawData!$A$2:$F$1441,5,FALSE),"")</f>
        <v>0</v>
      </c>
      <c r="BN473" s="4">
        <f t="shared" si="8"/>
        <v>0</v>
      </c>
    </row>
    <row r="474" spans="63:66" x14ac:dyDescent="0.6">
      <c r="BK474" s="4" t="str">
        <f>IFERROR(VLOOKUP(TEXT($B$3,"yyyymmdd")&amp;"_"&amp;TEXT(463,"0000"),RawData!$A$2:$F$1441,4,FALSE),"")</f>
        <v>00</v>
      </c>
      <c r="BL474" s="19">
        <f>TIME(0,0,0)+463/1440</f>
        <v>0.3215277777777778</v>
      </c>
      <c r="BM474" s="4">
        <f>IFERROR(VLOOKUP(TEXT($B$3,"yyyymmdd")&amp;"_"&amp;TEXT(463,"0000"),RawData!$A$2:$F$1441,5,FALSE),"")</f>
        <v>0</v>
      </c>
      <c r="BN474" s="4">
        <f t="shared" si="8"/>
        <v>0</v>
      </c>
    </row>
    <row r="475" spans="63:66" x14ac:dyDescent="0.6">
      <c r="BK475" s="4" t="str">
        <f>IFERROR(VLOOKUP(TEXT($B$3,"yyyymmdd")&amp;"_"&amp;TEXT(464,"0000"),RawData!$A$2:$F$1441,4,FALSE),"")</f>
        <v>00</v>
      </c>
      <c r="BL475" s="19">
        <f>TIME(0,0,0)+464/1440</f>
        <v>0.32222222222222224</v>
      </c>
      <c r="BM475" s="4">
        <f>IFERROR(VLOOKUP(TEXT($B$3,"yyyymmdd")&amp;"_"&amp;TEXT(464,"0000"),RawData!$A$2:$F$1441,5,FALSE),"")</f>
        <v>0</v>
      </c>
      <c r="BN475" s="4">
        <f t="shared" si="8"/>
        <v>0</v>
      </c>
    </row>
    <row r="476" spans="63:66" x14ac:dyDescent="0.6">
      <c r="BK476" s="4" t="str">
        <f>IFERROR(VLOOKUP(TEXT($B$3,"yyyymmdd")&amp;"_"&amp;TEXT(465,"0000"),RawData!$A$2:$F$1441,4,FALSE),"")</f>
        <v>00</v>
      </c>
      <c r="BL476" s="19">
        <f>TIME(0,0,0)+465/1440</f>
        <v>0.32291666666666669</v>
      </c>
      <c r="BM476" s="4">
        <f>IFERROR(VLOOKUP(TEXT($B$3,"yyyymmdd")&amp;"_"&amp;TEXT(465,"0000"),RawData!$A$2:$F$1441,5,FALSE),"")</f>
        <v>0</v>
      </c>
      <c r="BN476" s="4">
        <f t="shared" si="8"/>
        <v>0</v>
      </c>
    </row>
    <row r="477" spans="63:66" x14ac:dyDescent="0.6">
      <c r="BK477" s="4" t="str">
        <f>IFERROR(VLOOKUP(TEXT($B$3,"yyyymmdd")&amp;"_"&amp;TEXT(466,"0000"),RawData!$A$2:$F$1441,4,FALSE),"")</f>
        <v>00</v>
      </c>
      <c r="BL477" s="19">
        <f>TIME(0,0,0)+466/1440</f>
        <v>0.32361111111111113</v>
      </c>
      <c r="BM477" s="4">
        <f>IFERROR(VLOOKUP(TEXT($B$3,"yyyymmdd")&amp;"_"&amp;TEXT(466,"0000"),RawData!$A$2:$F$1441,5,FALSE),"")</f>
        <v>0</v>
      </c>
      <c r="BN477" s="4">
        <f t="shared" si="8"/>
        <v>0</v>
      </c>
    </row>
    <row r="478" spans="63:66" x14ac:dyDescent="0.6">
      <c r="BK478" s="4" t="str">
        <f>IFERROR(VLOOKUP(TEXT($B$3,"yyyymmdd")&amp;"_"&amp;TEXT(467,"0000"),RawData!$A$2:$F$1441,4,FALSE),"")</f>
        <v>00</v>
      </c>
      <c r="BL478" s="19">
        <f>TIME(0,0,0)+467/1440</f>
        <v>0.32430555555555557</v>
      </c>
      <c r="BM478" s="4">
        <f>IFERROR(VLOOKUP(TEXT($B$3,"yyyymmdd")&amp;"_"&amp;TEXT(467,"0000"),RawData!$A$2:$F$1441,5,FALSE),"")</f>
        <v>0</v>
      </c>
      <c r="BN478" s="4">
        <f t="shared" si="8"/>
        <v>0</v>
      </c>
    </row>
    <row r="479" spans="63:66" x14ac:dyDescent="0.6">
      <c r="BK479" s="4" t="str">
        <f>IFERROR(VLOOKUP(TEXT($B$3,"yyyymmdd")&amp;"_"&amp;TEXT(468,"0000"),RawData!$A$2:$F$1441,4,FALSE),"")</f>
        <v>00</v>
      </c>
      <c r="BL479" s="19">
        <f>TIME(0,0,0)+468/1440</f>
        <v>0.32500000000000001</v>
      </c>
      <c r="BM479" s="4">
        <f>IFERROR(VLOOKUP(TEXT($B$3,"yyyymmdd")&amp;"_"&amp;TEXT(468,"0000"),RawData!$A$2:$F$1441,5,FALSE),"")</f>
        <v>0</v>
      </c>
      <c r="BN479" s="4">
        <f t="shared" si="8"/>
        <v>0</v>
      </c>
    </row>
    <row r="480" spans="63:66" x14ac:dyDescent="0.6">
      <c r="BK480" s="4" t="str">
        <f>IFERROR(VLOOKUP(TEXT($B$3,"yyyymmdd")&amp;"_"&amp;TEXT(469,"0000"),RawData!$A$2:$F$1441,4,FALSE),"")</f>
        <v>00</v>
      </c>
      <c r="BL480" s="19">
        <f>TIME(0,0,0)+469/1440</f>
        <v>0.32569444444444445</v>
      </c>
      <c r="BM480" s="4">
        <f>IFERROR(VLOOKUP(TEXT($B$3,"yyyymmdd")&amp;"_"&amp;TEXT(469,"0000"),RawData!$A$2:$F$1441,5,FALSE),"")</f>
        <v>0</v>
      </c>
      <c r="BN480" s="4">
        <f t="shared" si="8"/>
        <v>0</v>
      </c>
    </row>
    <row r="481" spans="63:66" x14ac:dyDescent="0.6">
      <c r="BK481" s="4" t="str">
        <f>IFERROR(VLOOKUP(TEXT($B$3,"yyyymmdd")&amp;"_"&amp;TEXT(470,"0000"),RawData!$A$2:$F$1441,4,FALSE),"")</f>
        <v>00</v>
      </c>
      <c r="BL481" s="19">
        <f>TIME(0,0,0)+470/1440</f>
        <v>0.3263888888888889</v>
      </c>
      <c r="BM481" s="4">
        <f>IFERROR(VLOOKUP(TEXT($B$3,"yyyymmdd")&amp;"_"&amp;TEXT(470,"0000"),RawData!$A$2:$F$1441,5,FALSE),"")</f>
        <v>0</v>
      </c>
      <c r="BN481" s="4">
        <f t="shared" si="8"/>
        <v>0</v>
      </c>
    </row>
    <row r="482" spans="63:66" x14ac:dyDescent="0.6">
      <c r="BK482" s="4" t="str">
        <f>IFERROR(VLOOKUP(TEXT($B$3,"yyyymmdd")&amp;"_"&amp;TEXT(471,"0000"),RawData!$A$2:$F$1441,4,FALSE),"")</f>
        <v>00</v>
      </c>
      <c r="BL482" s="19">
        <f>TIME(0,0,0)+471/1440</f>
        <v>0.32708333333333334</v>
      </c>
      <c r="BM482" s="4">
        <f>IFERROR(VLOOKUP(TEXT($B$3,"yyyymmdd")&amp;"_"&amp;TEXT(471,"0000"),RawData!$A$2:$F$1441,5,FALSE),"")</f>
        <v>0</v>
      </c>
      <c r="BN482" s="4">
        <f t="shared" si="8"/>
        <v>0</v>
      </c>
    </row>
    <row r="483" spans="63:66" x14ac:dyDescent="0.6">
      <c r="BK483" s="4" t="str">
        <f>IFERROR(VLOOKUP(TEXT($B$3,"yyyymmdd")&amp;"_"&amp;TEXT(472,"0000"),RawData!$A$2:$F$1441,4,FALSE),"")</f>
        <v>00</v>
      </c>
      <c r="BL483" s="19">
        <f>TIME(0,0,0)+472/1440</f>
        <v>0.32777777777777778</v>
      </c>
      <c r="BM483" s="4">
        <f>IFERROR(VLOOKUP(TEXT($B$3,"yyyymmdd")&amp;"_"&amp;TEXT(472,"0000"),RawData!$A$2:$F$1441,5,FALSE),"")</f>
        <v>0</v>
      </c>
      <c r="BN483" s="4">
        <f t="shared" si="8"/>
        <v>0</v>
      </c>
    </row>
    <row r="484" spans="63:66" x14ac:dyDescent="0.6">
      <c r="BK484" s="4" t="str">
        <f>IFERROR(VLOOKUP(TEXT($B$3,"yyyymmdd")&amp;"_"&amp;TEXT(473,"0000"),RawData!$A$2:$F$1441,4,FALSE),"")</f>
        <v>00</v>
      </c>
      <c r="BL484" s="19">
        <f>TIME(0,0,0)+473/1440</f>
        <v>0.32847222222222222</v>
      </c>
      <c r="BM484" s="4">
        <f>IFERROR(VLOOKUP(TEXT($B$3,"yyyymmdd")&amp;"_"&amp;TEXT(473,"0000"),RawData!$A$2:$F$1441,5,FALSE),"")</f>
        <v>0</v>
      </c>
      <c r="BN484" s="4">
        <f t="shared" si="8"/>
        <v>0</v>
      </c>
    </row>
    <row r="485" spans="63:66" x14ac:dyDescent="0.6">
      <c r="BK485" s="4" t="str">
        <f>IFERROR(VLOOKUP(TEXT($B$3,"yyyymmdd")&amp;"_"&amp;TEXT(474,"0000"),RawData!$A$2:$F$1441,4,FALSE),"")</f>
        <v>00</v>
      </c>
      <c r="BL485" s="19">
        <f>TIME(0,0,0)+474/1440</f>
        <v>0.32916666666666666</v>
      </c>
      <c r="BM485" s="4">
        <f>IFERROR(VLOOKUP(TEXT($B$3,"yyyymmdd")&amp;"_"&amp;TEXT(474,"0000"),RawData!$A$2:$F$1441,5,FALSE),"")</f>
        <v>0</v>
      </c>
      <c r="BN485" s="4">
        <f t="shared" si="8"/>
        <v>0</v>
      </c>
    </row>
    <row r="486" spans="63:66" x14ac:dyDescent="0.6">
      <c r="BK486" s="4" t="str">
        <f>IFERROR(VLOOKUP(TEXT($B$3,"yyyymmdd")&amp;"_"&amp;TEXT(475,"0000"),RawData!$A$2:$F$1441,4,FALSE),"")</f>
        <v>00</v>
      </c>
      <c r="BL486" s="19">
        <f>TIME(0,0,0)+475/1440</f>
        <v>0.3298611111111111</v>
      </c>
      <c r="BM486" s="4">
        <f>IFERROR(VLOOKUP(TEXT($B$3,"yyyymmdd")&amp;"_"&amp;TEXT(475,"0000"),RawData!$A$2:$F$1441,5,FALSE),"")</f>
        <v>0</v>
      </c>
      <c r="BN486" s="4">
        <f t="shared" si="8"/>
        <v>0</v>
      </c>
    </row>
    <row r="487" spans="63:66" x14ac:dyDescent="0.6">
      <c r="BK487" s="4" t="str">
        <f>IFERROR(VLOOKUP(TEXT($B$3,"yyyymmdd")&amp;"_"&amp;TEXT(476,"0000"),RawData!$A$2:$F$1441,4,FALSE),"")</f>
        <v>00</v>
      </c>
      <c r="BL487" s="19">
        <f>TIME(0,0,0)+476/1440</f>
        <v>0.33055555555555555</v>
      </c>
      <c r="BM487" s="4">
        <f>IFERROR(VLOOKUP(TEXT($B$3,"yyyymmdd")&amp;"_"&amp;TEXT(476,"0000"),RawData!$A$2:$F$1441,5,FALSE),"")</f>
        <v>0</v>
      </c>
      <c r="BN487" s="4">
        <f t="shared" si="8"/>
        <v>0</v>
      </c>
    </row>
    <row r="488" spans="63:66" x14ac:dyDescent="0.6">
      <c r="BK488" s="4" t="str">
        <f>IFERROR(VLOOKUP(TEXT($B$3,"yyyymmdd")&amp;"_"&amp;TEXT(477,"0000"),RawData!$A$2:$F$1441,4,FALSE),"")</f>
        <v>00</v>
      </c>
      <c r="BL488" s="19">
        <f>TIME(0,0,0)+477/1440</f>
        <v>0.33124999999999999</v>
      </c>
      <c r="BM488" s="4">
        <f>IFERROR(VLOOKUP(TEXT($B$3,"yyyymmdd")&amp;"_"&amp;TEXT(477,"0000"),RawData!$A$2:$F$1441,5,FALSE),"")</f>
        <v>0</v>
      </c>
      <c r="BN488" s="4">
        <f t="shared" si="8"/>
        <v>0</v>
      </c>
    </row>
    <row r="489" spans="63:66" x14ac:dyDescent="0.6">
      <c r="BK489" s="4" t="str">
        <f>IFERROR(VLOOKUP(TEXT($B$3,"yyyymmdd")&amp;"_"&amp;TEXT(478,"0000"),RawData!$A$2:$F$1441,4,FALSE),"")</f>
        <v>00</v>
      </c>
      <c r="BL489" s="19">
        <f>TIME(0,0,0)+478/1440</f>
        <v>0.33194444444444443</v>
      </c>
      <c r="BM489" s="4">
        <f>IFERROR(VLOOKUP(TEXT($B$3,"yyyymmdd")&amp;"_"&amp;TEXT(478,"0000"),RawData!$A$2:$F$1441,5,FALSE),"")</f>
        <v>0</v>
      </c>
      <c r="BN489" s="4">
        <f t="shared" si="8"/>
        <v>0</v>
      </c>
    </row>
    <row r="490" spans="63:66" x14ac:dyDescent="0.6">
      <c r="BK490" s="4" t="str">
        <f>IFERROR(VLOOKUP(TEXT($B$3,"yyyymmdd")&amp;"_"&amp;TEXT(479,"0000"),RawData!$A$2:$F$1441,4,FALSE),"")</f>
        <v>00</v>
      </c>
      <c r="BL490" s="19">
        <f>TIME(0,0,0)+479/1440</f>
        <v>0.33263888888888887</v>
      </c>
      <c r="BM490" s="4">
        <f>IFERROR(VLOOKUP(TEXT($B$3,"yyyymmdd")&amp;"_"&amp;TEXT(479,"0000"),RawData!$A$2:$F$1441,5,FALSE),"")</f>
        <v>0</v>
      </c>
      <c r="BN490" s="4">
        <f t="shared" si="8"/>
        <v>0</v>
      </c>
    </row>
    <row r="491" spans="63:66" x14ac:dyDescent="0.6">
      <c r="BK491" s="4" t="str">
        <f>IFERROR(VLOOKUP(TEXT($B$3,"yyyymmdd")&amp;"_"&amp;TEXT(480,"0000"),RawData!$A$2:$F$1441,4,FALSE),"")</f>
        <v>00</v>
      </c>
      <c r="BL491" s="19">
        <f>TIME(0,0,0)+480/1440</f>
        <v>0.33333333333333331</v>
      </c>
      <c r="BM491" s="4">
        <f>IFERROR(VLOOKUP(TEXT($B$3,"yyyymmdd")&amp;"_"&amp;TEXT(480,"0000"),RawData!$A$2:$F$1441,5,FALSE),"")</f>
        <v>0</v>
      </c>
      <c r="BN491" s="4">
        <f t="shared" si="8"/>
        <v>0</v>
      </c>
    </row>
    <row r="492" spans="63:66" x14ac:dyDescent="0.6">
      <c r="BK492" s="4" t="str">
        <f>IFERROR(VLOOKUP(TEXT($B$3,"yyyymmdd")&amp;"_"&amp;TEXT(481,"0000"),RawData!$A$2:$F$1441,4,FALSE),"")</f>
        <v>00</v>
      </c>
      <c r="BL492" s="19">
        <f>TIME(0,0,0)+481/1440</f>
        <v>0.33402777777777776</v>
      </c>
      <c r="BM492" s="4">
        <f>IFERROR(VLOOKUP(TEXT($B$3,"yyyymmdd")&amp;"_"&amp;TEXT(481,"0000"),RawData!$A$2:$F$1441,5,FALSE),"")</f>
        <v>0</v>
      </c>
      <c r="BN492" s="4">
        <f t="shared" si="8"/>
        <v>0</v>
      </c>
    </row>
    <row r="493" spans="63:66" x14ac:dyDescent="0.6">
      <c r="BK493" s="4" t="str">
        <f>IFERROR(VLOOKUP(TEXT($B$3,"yyyymmdd")&amp;"_"&amp;TEXT(482,"0000"),RawData!$A$2:$F$1441,4,FALSE),"")</f>
        <v>00</v>
      </c>
      <c r="BL493" s="19">
        <f>TIME(0,0,0)+482/1440</f>
        <v>0.3347222222222222</v>
      </c>
      <c r="BM493" s="4">
        <f>IFERROR(VLOOKUP(TEXT($B$3,"yyyymmdd")&amp;"_"&amp;TEXT(482,"0000"),RawData!$A$2:$F$1441,5,FALSE),"")</f>
        <v>0</v>
      </c>
      <c r="BN493" s="4">
        <f t="shared" si="8"/>
        <v>0</v>
      </c>
    </row>
    <row r="494" spans="63:66" x14ac:dyDescent="0.6">
      <c r="BK494" s="4" t="str">
        <f>IFERROR(VLOOKUP(TEXT($B$3,"yyyymmdd")&amp;"_"&amp;TEXT(483,"0000"),RawData!$A$2:$F$1441,4,FALSE),"")</f>
        <v>00</v>
      </c>
      <c r="BL494" s="19">
        <f>TIME(0,0,0)+483/1440</f>
        <v>0.33541666666666664</v>
      </c>
      <c r="BM494" s="4">
        <f>IFERROR(VLOOKUP(TEXT($B$3,"yyyymmdd")&amp;"_"&amp;TEXT(483,"0000"),RawData!$A$2:$F$1441,5,FALSE),"")</f>
        <v>0</v>
      </c>
      <c r="BN494" s="4">
        <f t="shared" si="8"/>
        <v>0</v>
      </c>
    </row>
    <row r="495" spans="63:66" x14ac:dyDescent="0.6">
      <c r="BK495" s="4" t="str">
        <f>IFERROR(VLOOKUP(TEXT($B$3,"yyyymmdd")&amp;"_"&amp;TEXT(484,"0000"),RawData!$A$2:$F$1441,4,FALSE),"")</f>
        <v>00</v>
      </c>
      <c r="BL495" s="19">
        <f>TIME(0,0,0)+484/1440</f>
        <v>0.33611111111111114</v>
      </c>
      <c r="BM495" s="4">
        <f>IFERROR(VLOOKUP(TEXT($B$3,"yyyymmdd")&amp;"_"&amp;TEXT(484,"0000"),RawData!$A$2:$F$1441,5,FALSE),"")</f>
        <v>0</v>
      </c>
      <c r="BN495" s="4">
        <f t="shared" si="8"/>
        <v>0</v>
      </c>
    </row>
    <row r="496" spans="63:66" x14ac:dyDescent="0.6">
      <c r="BK496" s="4" t="str">
        <f>IFERROR(VLOOKUP(TEXT($B$3,"yyyymmdd")&amp;"_"&amp;TEXT(485,"0000"),RawData!$A$2:$F$1441,4,FALSE),"")</f>
        <v>00</v>
      </c>
      <c r="BL496" s="19">
        <f>TIME(0,0,0)+485/1440</f>
        <v>0.33680555555555558</v>
      </c>
      <c r="BM496" s="4">
        <f>IFERROR(VLOOKUP(TEXT($B$3,"yyyymmdd")&amp;"_"&amp;TEXT(485,"0000"),RawData!$A$2:$F$1441,5,FALSE),"")</f>
        <v>0</v>
      </c>
      <c r="BN496" s="4">
        <f t="shared" ref="BN496:BN559" si="9">IF(BK490="","",IF(BK490&lt;&gt;BK489,1,0))</f>
        <v>0</v>
      </c>
    </row>
    <row r="497" spans="63:66" x14ac:dyDescent="0.6">
      <c r="BK497" s="4" t="str">
        <f>IFERROR(VLOOKUP(TEXT($B$3,"yyyymmdd")&amp;"_"&amp;TEXT(486,"0000"),RawData!$A$2:$F$1441,4,FALSE),"")</f>
        <v>00</v>
      </c>
      <c r="BL497" s="19">
        <f>TIME(0,0,0)+486/1440</f>
        <v>0.33750000000000002</v>
      </c>
      <c r="BM497" s="4">
        <f>IFERROR(VLOOKUP(TEXT($B$3,"yyyymmdd")&amp;"_"&amp;TEXT(486,"0000"),RawData!$A$2:$F$1441,5,FALSE),"")</f>
        <v>0</v>
      </c>
      <c r="BN497" s="4">
        <f t="shared" si="9"/>
        <v>0</v>
      </c>
    </row>
    <row r="498" spans="63:66" x14ac:dyDescent="0.6">
      <c r="BK498" s="4" t="str">
        <f>IFERROR(VLOOKUP(TEXT($B$3,"yyyymmdd")&amp;"_"&amp;TEXT(487,"0000"),RawData!$A$2:$F$1441,4,FALSE),"")</f>
        <v>00</v>
      </c>
      <c r="BL498" s="19">
        <f>TIME(0,0,0)+487/1440</f>
        <v>0.33819444444444446</v>
      </c>
      <c r="BM498" s="4">
        <f>IFERROR(VLOOKUP(TEXT($B$3,"yyyymmdd")&amp;"_"&amp;TEXT(487,"0000"),RawData!$A$2:$F$1441,5,FALSE),"")</f>
        <v>0</v>
      </c>
      <c r="BN498" s="4">
        <f t="shared" si="9"/>
        <v>0</v>
      </c>
    </row>
    <row r="499" spans="63:66" x14ac:dyDescent="0.6">
      <c r="BK499" s="4" t="str">
        <f>IFERROR(VLOOKUP(TEXT($B$3,"yyyymmdd")&amp;"_"&amp;TEXT(488,"0000"),RawData!$A$2:$F$1441,4,FALSE),"")</f>
        <v>00</v>
      </c>
      <c r="BL499" s="19">
        <f>TIME(0,0,0)+488/1440</f>
        <v>0.33888888888888891</v>
      </c>
      <c r="BM499" s="4">
        <f>IFERROR(VLOOKUP(TEXT($B$3,"yyyymmdd")&amp;"_"&amp;TEXT(488,"0000"),RawData!$A$2:$F$1441,5,FALSE),"")</f>
        <v>0</v>
      </c>
      <c r="BN499" s="4">
        <f t="shared" si="9"/>
        <v>0</v>
      </c>
    </row>
    <row r="500" spans="63:66" x14ac:dyDescent="0.6">
      <c r="BK500" s="4" t="str">
        <f>IFERROR(VLOOKUP(TEXT($B$3,"yyyymmdd")&amp;"_"&amp;TEXT(489,"0000"),RawData!$A$2:$F$1441,4,FALSE),"")</f>
        <v>00</v>
      </c>
      <c r="BL500" s="19">
        <f>TIME(0,0,0)+489/1440</f>
        <v>0.33958333333333335</v>
      </c>
      <c r="BM500" s="4">
        <f>IFERROR(VLOOKUP(TEXT($B$3,"yyyymmdd")&amp;"_"&amp;TEXT(489,"0000"),RawData!$A$2:$F$1441,5,FALSE),"")</f>
        <v>0</v>
      </c>
      <c r="BN500" s="4">
        <f t="shared" si="9"/>
        <v>0</v>
      </c>
    </row>
    <row r="501" spans="63:66" x14ac:dyDescent="0.6">
      <c r="BK501" s="4" t="str">
        <f>IFERROR(VLOOKUP(TEXT($B$3,"yyyymmdd")&amp;"_"&amp;TEXT(490,"0000"),RawData!$A$2:$F$1441,4,FALSE),"")</f>
        <v>00</v>
      </c>
      <c r="BL501" s="19">
        <f>TIME(0,0,0)+490/1440</f>
        <v>0.34027777777777779</v>
      </c>
      <c r="BM501" s="4">
        <f>IFERROR(VLOOKUP(TEXT($B$3,"yyyymmdd")&amp;"_"&amp;TEXT(490,"0000"),RawData!$A$2:$F$1441,5,FALSE),"")</f>
        <v>0</v>
      </c>
      <c r="BN501" s="4">
        <f t="shared" si="9"/>
        <v>0</v>
      </c>
    </row>
    <row r="502" spans="63:66" x14ac:dyDescent="0.6">
      <c r="BK502" s="4" t="str">
        <f>IFERROR(VLOOKUP(TEXT($B$3,"yyyymmdd")&amp;"_"&amp;TEXT(491,"0000"),RawData!$A$2:$F$1441,4,FALSE),"")</f>
        <v>00</v>
      </c>
      <c r="BL502" s="19">
        <f>TIME(0,0,0)+491/1440</f>
        <v>0.34097222222222223</v>
      </c>
      <c r="BM502" s="4">
        <f>IFERROR(VLOOKUP(TEXT($B$3,"yyyymmdd")&amp;"_"&amp;TEXT(491,"0000"),RawData!$A$2:$F$1441,5,FALSE),"")</f>
        <v>0</v>
      </c>
      <c r="BN502" s="4">
        <f t="shared" si="9"/>
        <v>0</v>
      </c>
    </row>
    <row r="503" spans="63:66" x14ac:dyDescent="0.6">
      <c r="BK503" s="4" t="str">
        <f>IFERROR(VLOOKUP(TEXT($B$3,"yyyymmdd")&amp;"_"&amp;TEXT(492,"0000"),RawData!$A$2:$F$1441,4,FALSE),"")</f>
        <v>00</v>
      </c>
      <c r="BL503" s="19">
        <f>TIME(0,0,0)+492/1440</f>
        <v>0.34166666666666667</v>
      </c>
      <c r="BM503" s="4">
        <f>IFERROR(VLOOKUP(TEXT($B$3,"yyyymmdd")&amp;"_"&amp;TEXT(492,"0000"),RawData!$A$2:$F$1441,5,FALSE),"")</f>
        <v>0</v>
      </c>
      <c r="BN503" s="4">
        <f t="shared" si="9"/>
        <v>0</v>
      </c>
    </row>
    <row r="504" spans="63:66" x14ac:dyDescent="0.6">
      <c r="BK504" s="4" t="str">
        <f>IFERROR(VLOOKUP(TEXT($B$3,"yyyymmdd")&amp;"_"&amp;TEXT(493,"0000"),RawData!$A$2:$F$1441,4,FALSE),"")</f>
        <v>00</v>
      </c>
      <c r="BL504" s="19">
        <f>TIME(0,0,0)+493/1440</f>
        <v>0.34236111111111112</v>
      </c>
      <c r="BM504" s="4">
        <f>IFERROR(VLOOKUP(TEXT($B$3,"yyyymmdd")&amp;"_"&amp;TEXT(493,"0000"),RawData!$A$2:$F$1441,5,FALSE),"")</f>
        <v>0</v>
      </c>
      <c r="BN504" s="4">
        <f t="shared" si="9"/>
        <v>0</v>
      </c>
    </row>
    <row r="505" spans="63:66" x14ac:dyDescent="0.6">
      <c r="BK505" s="4" t="str">
        <f>IFERROR(VLOOKUP(TEXT($B$3,"yyyymmdd")&amp;"_"&amp;TEXT(494,"0000"),RawData!$A$2:$F$1441,4,FALSE),"")</f>
        <v>00</v>
      </c>
      <c r="BL505" s="19">
        <f>TIME(0,0,0)+494/1440</f>
        <v>0.34305555555555556</v>
      </c>
      <c r="BM505" s="4">
        <f>IFERROR(VLOOKUP(TEXT($B$3,"yyyymmdd")&amp;"_"&amp;TEXT(494,"0000"),RawData!$A$2:$F$1441,5,FALSE),"")</f>
        <v>0</v>
      </c>
      <c r="BN505" s="4">
        <f t="shared" si="9"/>
        <v>0</v>
      </c>
    </row>
    <row r="506" spans="63:66" x14ac:dyDescent="0.6">
      <c r="BK506" s="4" t="str">
        <f>IFERROR(VLOOKUP(TEXT($B$3,"yyyymmdd")&amp;"_"&amp;TEXT(495,"0000"),RawData!$A$2:$F$1441,4,FALSE),"")</f>
        <v>00</v>
      </c>
      <c r="BL506" s="19">
        <f>TIME(0,0,0)+495/1440</f>
        <v>0.34375</v>
      </c>
      <c r="BM506" s="4">
        <f>IFERROR(VLOOKUP(TEXT($B$3,"yyyymmdd")&amp;"_"&amp;TEXT(495,"0000"),RawData!$A$2:$F$1441,5,FALSE),"")</f>
        <v>0</v>
      </c>
      <c r="BN506" s="4">
        <f t="shared" si="9"/>
        <v>0</v>
      </c>
    </row>
    <row r="507" spans="63:66" x14ac:dyDescent="0.6">
      <c r="BK507" s="4" t="str">
        <f>IFERROR(VLOOKUP(TEXT($B$3,"yyyymmdd")&amp;"_"&amp;TEXT(496,"0000"),RawData!$A$2:$F$1441,4,FALSE),"")</f>
        <v>00</v>
      </c>
      <c r="BL507" s="19">
        <f>TIME(0,0,0)+496/1440</f>
        <v>0.34444444444444444</v>
      </c>
      <c r="BM507" s="4">
        <f>IFERROR(VLOOKUP(TEXT($B$3,"yyyymmdd")&amp;"_"&amp;TEXT(496,"0000"),RawData!$A$2:$F$1441,5,FALSE),"")</f>
        <v>0</v>
      </c>
      <c r="BN507" s="4">
        <f t="shared" si="9"/>
        <v>0</v>
      </c>
    </row>
    <row r="508" spans="63:66" x14ac:dyDescent="0.6">
      <c r="BK508" s="4" t="str">
        <f>IFERROR(VLOOKUP(TEXT($B$3,"yyyymmdd")&amp;"_"&amp;TEXT(497,"0000"),RawData!$A$2:$F$1441,4,FALSE),"")</f>
        <v>00</v>
      </c>
      <c r="BL508" s="19">
        <f>TIME(0,0,0)+497/1440</f>
        <v>0.34513888888888888</v>
      </c>
      <c r="BM508" s="4">
        <f>IFERROR(VLOOKUP(TEXT($B$3,"yyyymmdd")&amp;"_"&amp;TEXT(497,"0000"),RawData!$A$2:$F$1441,5,FALSE),"")</f>
        <v>0</v>
      </c>
      <c r="BN508" s="4">
        <f t="shared" si="9"/>
        <v>0</v>
      </c>
    </row>
    <row r="509" spans="63:66" x14ac:dyDescent="0.6">
      <c r="BK509" s="4" t="str">
        <f>IFERROR(VLOOKUP(TEXT($B$3,"yyyymmdd")&amp;"_"&amp;TEXT(498,"0000"),RawData!$A$2:$F$1441,4,FALSE),"")</f>
        <v>00</v>
      </c>
      <c r="BL509" s="19">
        <f>TIME(0,0,0)+498/1440</f>
        <v>0.34583333333333333</v>
      </c>
      <c r="BM509" s="4">
        <f>IFERROR(VLOOKUP(TEXT($B$3,"yyyymmdd")&amp;"_"&amp;TEXT(498,"0000"),RawData!$A$2:$F$1441,5,FALSE),"")</f>
        <v>0</v>
      </c>
      <c r="BN509" s="4">
        <f t="shared" si="9"/>
        <v>0</v>
      </c>
    </row>
    <row r="510" spans="63:66" x14ac:dyDescent="0.6">
      <c r="BK510" s="4" t="str">
        <f>IFERROR(VLOOKUP(TEXT($B$3,"yyyymmdd")&amp;"_"&amp;TEXT(499,"0000"),RawData!$A$2:$F$1441,4,FALSE),"")</f>
        <v>00</v>
      </c>
      <c r="BL510" s="19">
        <f>TIME(0,0,0)+499/1440</f>
        <v>0.34652777777777777</v>
      </c>
      <c r="BM510" s="4">
        <f>IFERROR(VLOOKUP(TEXT($B$3,"yyyymmdd")&amp;"_"&amp;TEXT(499,"0000"),RawData!$A$2:$F$1441,5,FALSE),"")</f>
        <v>0</v>
      </c>
      <c r="BN510" s="4">
        <f t="shared" si="9"/>
        <v>0</v>
      </c>
    </row>
    <row r="511" spans="63:66" x14ac:dyDescent="0.6">
      <c r="BK511" s="4" t="str">
        <f>IFERROR(VLOOKUP(TEXT($B$3,"yyyymmdd")&amp;"_"&amp;TEXT(500,"0000"),RawData!$A$2:$F$1441,4,FALSE),"")</f>
        <v>00</v>
      </c>
      <c r="BL511" s="19">
        <f>TIME(0,0,0)+500/1440</f>
        <v>0.34722222222222221</v>
      </c>
      <c r="BM511" s="4">
        <f>IFERROR(VLOOKUP(TEXT($B$3,"yyyymmdd")&amp;"_"&amp;TEXT(500,"0000"),RawData!$A$2:$F$1441,5,FALSE),"")</f>
        <v>0</v>
      </c>
      <c r="BN511" s="4">
        <f t="shared" si="9"/>
        <v>0</v>
      </c>
    </row>
    <row r="512" spans="63:66" x14ac:dyDescent="0.6">
      <c r="BK512" s="4" t="str">
        <f>IFERROR(VLOOKUP(TEXT($B$3,"yyyymmdd")&amp;"_"&amp;TEXT(501,"0000"),RawData!$A$2:$F$1441,4,FALSE),"")</f>
        <v>00</v>
      </c>
      <c r="BL512" s="19">
        <f>TIME(0,0,0)+501/1440</f>
        <v>0.34791666666666665</v>
      </c>
      <c r="BM512" s="4">
        <f>IFERROR(VLOOKUP(TEXT($B$3,"yyyymmdd")&amp;"_"&amp;TEXT(501,"0000"),RawData!$A$2:$F$1441,5,FALSE),"")</f>
        <v>0</v>
      </c>
      <c r="BN512" s="4">
        <f t="shared" si="9"/>
        <v>0</v>
      </c>
    </row>
    <row r="513" spans="63:66" x14ac:dyDescent="0.6">
      <c r="BK513" s="4" t="str">
        <f>IFERROR(VLOOKUP(TEXT($B$3,"yyyymmdd")&amp;"_"&amp;TEXT(502,"0000"),RawData!$A$2:$F$1441,4,FALSE),"")</f>
        <v>00</v>
      </c>
      <c r="BL513" s="19">
        <f>TIME(0,0,0)+502/1440</f>
        <v>0.34861111111111109</v>
      </c>
      <c r="BM513" s="4">
        <f>IFERROR(VLOOKUP(TEXT($B$3,"yyyymmdd")&amp;"_"&amp;TEXT(502,"0000"),RawData!$A$2:$F$1441,5,FALSE),"")</f>
        <v>0</v>
      </c>
      <c r="BN513" s="4">
        <f t="shared" si="9"/>
        <v>0</v>
      </c>
    </row>
    <row r="514" spans="63:66" x14ac:dyDescent="0.6">
      <c r="BK514" s="4" t="str">
        <f>IFERROR(VLOOKUP(TEXT($B$3,"yyyymmdd")&amp;"_"&amp;TEXT(503,"0000"),RawData!$A$2:$F$1441,4,FALSE),"")</f>
        <v>00</v>
      </c>
      <c r="BL514" s="19">
        <f>TIME(0,0,0)+503/1440</f>
        <v>0.34930555555555554</v>
      </c>
      <c r="BM514" s="4">
        <f>IFERROR(VLOOKUP(TEXT($B$3,"yyyymmdd")&amp;"_"&amp;TEXT(503,"0000"),RawData!$A$2:$F$1441,5,FALSE),"")</f>
        <v>0</v>
      </c>
      <c r="BN514" s="4">
        <f t="shared" si="9"/>
        <v>0</v>
      </c>
    </row>
    <row r="515" spans="63:66" x14ac:dyDescent="0.6">
      <c r="BK515" s="4" t="str">
        <f>IFERROR(VLOOKUP(TEXT($B$3,"yyyymmdd")&amp;"_"&amp;TEXT(504,"0000"),RawData!$A$2:$F$1441,4,FALSE),"")</f>
        <v>00</v>
      </c>
      <c r="BL515" s="19">
        <f>TIME(0,0,0)+504/1440</f>
        <v>0.35</v>
      </c>
      <c r="BM515" s="4">
        <f>IFERROR(VLOOKUP(TEXT($B$3,"yyyymmdd")&amp;"_"&amp;TEXT(504,"0000"),RawData!$A$2:$F$1441,5,FALSE),"")</f>
        <v>0</v>
      </c>
      <c r="BN515" s="4">
        <f t="shared" si="9"/>
        <v>0</v>
      </c>
    </row>
    <row r="516" spans="63:66" x14ac:dyDescent="0.6">
      <c r="BK516" s="4" t="str">
        <f>IFERROR(VLOOKUP(TEXT($B$3,"yyyymmdd")&amp;"_"&amp;TEXT(505,"0000"),RawData!$A$2:$F$1441,4,FALSE),"")</f>
        <v>00</v>
      </c>
      <c r="BL516" s="19">
        <f>TIME(0,0,0)+505/1440</f>
        <v>0.35069444444444442</v>
      </c>
      <c r="BM516" s="4">
        <f>IFERROR(VLOOKUP(TEXT($B$3,"yyyymmdd")&amp;"_"&amp;TEXT(505,"0000"),RawData!$A$2:$F$1441,5,FALSE),"")</f>
        <v>0</v>
      </c>
      <c r="BN516" s="4">
        <f t="shared" si="9"/>
        <v>0</v>
      </c>
    </row>
    <row r="517" spans="63:66" x14ac:dyDescent="0.6">
      <c r="BK517" s="4" t="str">
        <f>IFERROR(VLOOKUP(TEXT($B$3,"yyyymmdd")&amp;"_"&amp;TEXT(506,"0000"),RawData!$A$2:$F$1441,4,FALSE),"")</f>
        <v>00</v>
      </c>
      <c r="BL517" s="19">
        <f>TIME(0,0,0)+506/1440</f>
        <v>0.35138888888888886</v>
      </c>
      <c r="BM517" s="4">
        <f>IFERROR(VLOOKUP(TEXT($B$3,"yyyymmdd")&amp;"_"&amp;TEXT(506,"0000"),RawData!$A$2:$F$1441,5,FALSE),"")</f>
        <v>0</v>
      </c>
      <c r="BN517" s="4">
        <f t="shared" si="9"/>
        <v>0</v>
      </c>
    </row>
    <row r="518" spans="63:66" x14ac:dyDescent="0.6">
      <c r="BK518" s="4" t="str">
        <f>IFERROR(VLOOKUP(TEXT($B$3,"yyyymmdd")&amp;"_"&amp;TEXT(507,"0000"),RawData!$A$2:$F$1441,4,FALSE),"")</f>
        <v>00</v>
      </c>
      <c r="BL518" s="19">
        <f>TIME(0,0,0)+507/1440</f>
        <v>0.35208333333333336</v>
      </c>
      <c r="BM518" s="4">
        <f>IFERROR(VLOOKUP(TEXT($B$3,"yyyymmdd")&amp;"_"&amp;TEXT(507,"0000"),RawData!$A$2:$F$1441,5,FALSE),"")</f>
        <v>0</v>
      </c>
      <c r="BN518" s="4">
        <f t="shared" si="9"/>
        <v>0</v>
      </c>
    </row>
    <row r="519" spans="63:66" x14ac:dyDescent="0.6">
      <c r="BK519" s="4" t="str">
        <f>IFERROR(VLOOKUP(TEXT($B$3,"yyyymmdd")&amp;"_"&amp;TEXT(508,"0000"),RawData!$A$2:$F$1441,4,FALSE),"")</f>
        <v>00</v>
      </c>
      <c r="BL519" s="19">
        <f>TIME(0,0,0)+508/1440</f>
        <v>0.3527777777777778</v>
      </c>
      <c r="BM519" s="4">
        <f>IFERROR(VLOOKUP(TEXT($B$3,"yyyymmdd")&amp;"_"&amp;TEXT(508,"0000"),RawData!$A$2:$F$1441,5,FALSE),"")</f>
        <v>0</v>
      </c>
      <c r="BN519" s="4">
        <f t="shared" si="9"/>
        <v>0</v>
      </c>
    </row>
    <row r="520" spans="63:66" x14ac:dyDescent="0.6">
      <c r="BK520" s="4" t="str">
        <f>IFERROR(VLOOKUP(TEXT($B$3,"yyyymmdd")&amp;"_"&amp;TEXT(509,"0000"),RawData!$A$2:$F$1441,4,FALSE),"")</f>
        <v>00</v>
      </c>
      <c r="BL520" s="19">
        <f>TIME(0,0,0)+509/1440</f>
        <v>0.35347222222222224</v>
      </c>
      <c r="BM520" s="4">
        <f>IFERROR(VLOOKUP(TEXT($B$3,"yyyymmdd")&amp;"_"&amp;TEXT(509,"0000"),RawData!$A$2:$F$1441,5,FALSE),"")</f>
        <v>0</v>
      </c>
      <c r="BN520" s="4">
        <f t="shared" si="9"/>
        <v>0</v>
      </c>
    </row>
    <row r="521" spans="63:66" x14ac:dyDescent="0.6">
      <c r="BK521" s="4" t="str">
        <f>IFERROR(VLOOKUP(TEXT($B$3,"yyyymmdd")&amp;"_"&amp;TEXT(510,"0000"),RawData!$A$2:$F$1441,4,FALSE),"")</f>
        <v>00</v>
      </c>
      <c r="BL521" s="19">
        <f>TIME(0,0,0)+510/1440</f>
        <v>0.35416666666666669</v>
      </c>
      <c r="BM521" s="4">
        <f>IFERROR(VLOOKUP(TEXT($B$3,"yyyymmdd")&amp;"_"&amp;TEXT(510,"0000"),RawData!$A$2:$F$1441,5,FALSE),"")</f>
        <v>0</v>
      </c>
      <c r="BN521" s="4">
        <f t="shared" si="9"/>
        <v>0</v>
      </c>
    </row>
    <row r="522" spans="63:66" x14ac:dyDescent="0.6">
      <c r="BK522" s="4" t="str">
        <f>IFERROR(VLOOKUP(TEXT($B$3,"yyyymmdd")&amp;"_"&amp;TEXT(511,"0000"),RawData!$A$2:$F$1441,4,FALSE),"")</f>
        <v>00</v>
      </c>
      <c r="BL522" s="19">
        <f>TIME(0,0,0)+511/1440</f>
        <v>0.35486111111111113</v>
      </c>
      <c r="BM522" s="4">
        <f>IFERROR(VLOOKUP(TEXT($B$3,"yyyymmdd")&amp;"_"&amp;TEXT(511,"0000"),RawData!$A$2:$F$1441,5,FALSE),"")</f>
        <v>0</v>
      </c>
      <c r="BN522" s="4">
        <f t="shared" si="9"/>
        <v>0</v>
      </c>
    </row>
    <row r="523" spans="63:66" x14ac:dyDescent="0.6">
      <c r="BK523" s="4" t="str">
        <f>IFERROR(VLOOKUP(TEXT($B$3,"yyyymmdd")&amp;"_"&amp;TEXT(512,"0000"),RawData!$A$2:$F$1441,4,FALSE),"")</f>
        <v>00</v>
      </c>
      <c r="BL523" s="19">
        <f>TIME(0,0,0)+512/1440</f>
        <v>0.35555555555555557</v>
      </c>
      <c r="BM523" s="4">
        <f>IFERROR(VLOOKUP(TEXT($B$3,"yyyymmdd")&amp;"_"&amp;TEXT(512,"0000"),RawData!$A$2:$F$1441,5,FALSE),"")</f>
        <v>0</v>
      </c>
      <c r="BN523" s="4">
        <f t="shared" si="9"/>
        <v>0</v>
      </c>
    </row>
    <row r="524" spans="63:66" x14ac:dyDescent="0.6">
      <c r="BK524" s="4" t="str">
        <f>IFERROR(VLOOKUP(TEXT($B$3,"yyyymmdd")&amp;"_"&amp;TEXT(513,"0000"),RawData!$A$2:$F$1441,4,FALSE),"")</f>
        <v>00</v>
      </c>
      <c r="BL524" s="19">
        <f>TIME(0,0,0)+513/1440</f>
        <v>0.35625000000000001</v>
      </c>
      <c r="BM524" s="4">
        <f>IFERROR(VLOOKUP(TEXT($B$3,"yyyymmdd")&amp;"_"&amp;TEXT(513,"0000"),RawData!$A$2:$F$1441,5,FALSE),"")</f>
        <v>0</v>
      </c>
      <c r="BN524" s="4">
        <f t="shared" si="9"/>
        <v>0</v>
      </c>
    </row>
    <row r="525" spans="63:66" x14ac:dyDescent="0.6">
      <c r="BK525" s="4" t="str">
        <f>IFERROR(VLOOKUP(TEXT($B$3,"yyyymmdd")&amp;"_"&amp;TEXT(514,"0000"),RawData!$A$2:$F$1441,4,FALSE),"")</f>
        <v>00</v>
      </c>
      <c r="BL525" s="19">
        <f>TIME(0,0,0)+514/1440</f>
        <v>0.35694444444444445</v>
      </c>
      <c r="BM525" s="4">
        <f>IFERROR(VLOOKUP(TEXT($B$3,"yyyymmdd")&amp;"_"&amp;TEXT(514,"0000"),RawData!$A$2:$F$1441,5,FALSE),"")</f>
        <v>0</v>
      </c>
      <c r="BN525" s="4">
        <f t="shared" si="9"/>
        <v>0</v>
      </c>
    </row>
    <row r="526" spans="63:66" x14ac:dyDescent="0.6">
      <c r="BK526" s="4" t="str">
        <f>IFERROR(VLOOKUP(TEXT($B$3,"yyyymmdd")&amp;"_"&amp;TEXT(515,"0000"),RawData!$A$2:$F$1441,4,FALSE),"")</f>
        <v>00</v>
      </c>
      <c r="BL526" s="19">
        <f>TIME(0,0,0)+515/1440</f>
        <v>0.3576388888888889</v>
      </c>
      <c r="BM526" s="4">
        <f>IFERROR(VLOOKUP(TEXT($B$3,"yyyymmdd")&amp;"_"&amp;TEXT(515,"0000"),RawData!$A$2:$F$1441,5,FALSE),"")</f>
        <v>0</v>
      </c>
      <c r="BN526" s="4">
        <f t="shared" si="9"/>
        <v>0</v>
      </c>
    </row>
    <row r="527" spans="63:66" x14ac:dyDescent="0.6">
      <c r="BK527" s="4" t="str">
        <f>IFERROR(VLOOKUP(TEXT($B$3,"yyyymmdd")&amp;"_"&amp;TEXT(516,"0000"),RawData!$A$2:$F$1441,4,FALSE),"")</f>
        <v>00</v>
      </c>
      <c r="BL527" s="19">
        <f>TIME(0,0,0)+516/1440</f>
        <v>0.35833333333333334</v>
      </c>
      <c r="BM527" s="4">
        <f>IFERROR(VLOOKUP(TEXT($B$3,"yyyymmdd")&amp;"_"&amp;TEXT(516,"0000"),RawData!$A$2:$F$1441,5,FALSE),"")</f>
        <v>0</v>
      </c>
      <c r="BN527" s="4">
        <f t="shared" si="9"/>
        <v>0</v>
      </c>
    </row>
    <row r="528" spans="63:66" x14ac:dyDescent="0.6">
      <c r="BK528" s="4" t="str">
        <f>IFERROR(VLOOKUP(TEXT($B$3,"yyyymmdd")&amp;"_"&amp;TEXT(517,"0000"),RawData!$A$2:$F$1441,4,FALSE),"")</f>
        <v>00</v>
      </c>
      <c r="BL528" s="19">
        <f>TIME(0,0,0)+517/1440</f>
        <v>0.35902777777777778</v>
      </c>
      <c r="BM528" s="4">
        <f>IFERROR(VLOOKUP(TEXT($B$3,"yyyymmdd")&amp;"_"&amp;TEXT(517,"0000"),RawData!$A$2:$F$1441,5,FALSE),"")</f>
        <v>0</v>
      </c>
      <c r="BN528" s="4">
        <f t="shared" si="9"/>
        <v>0</v>
      </c>
    </row>
    <row r="529" spans="63:66" x14ac:dyDescent="0.6">
      <c r="BK529" s="4" t="str">
        <f>IFERROR(VLOOKUP(TEXT($B$3,"yyyymmdd")&amp;"_"&amp;TEXT(518,"0000"),RawData!$A$2:$F$1441,4,FALSE),"")</f>
        <v>00</v>
      </c>
      <c r="BL529" s="19">
        <f>TIME(0,0,0)+518/1440</f>
        <v>0.35972222222222222</v>
      </c>
      <c r="BM529" s="4">
        <f>IFERROR(VLOOKUP(TEXT($B$3,"yyyymmdd")&amp;"_"&amp;TEXT(518,"0000"),RawData!$A$2:$F$1441,5,FALSE),"")</f>
        <v>0</v>
      </c>
      <c r="BN529" s="4">
        <f t="shared" si="9"/>
        <v>0</v>
      </c>
    </row>
    <row r="530" spans="63:66" x14ac:dyDescent="0.6">
      <c r="BK530" s="4" t="str">
        <f>IFERROR(VLOOKUP(TEXT($B$3,"yyyymmdd")&amp;"_"&amp;TEXT(519,"0000"),RawData!$A$2:$F$1441,4,FALSE),"")</f>
        <v>00</v>
      </c>
      <c r="BL530" s="19">
        <f>TIME(0,0,0)+519/1440</f>
        <v>0.36041666666666666</v>
      </c>
      <c r="BM530" s="4">
        <f>IFERROR(VLOOKUP(TEXT($B$3,"yyyymmdd")&amp;"_"&amp;TEXT(519,"0000"),RawData!$A$2:$F$1441,5,FALSE),"")</f>
        <v>0</v>
      </c>
      <c r="BN530" s="4">
        <f t="shared" si="9"/>
        <v>0</v>
      </c>
    </row>
    <row r="531" spans="63:66" x14ac:dyDescent="0.6">
      <c r="BK531" s="4" t="str">
        <f>IFERROR(VLOOKUP(TEXT($B$3,"yyyymmdd")&amp;"_"&amp;TEXT(520,"0000"),RawData!$A$2:$F$1441,4,FALSE),"")</f>
        <v>00</v>
      </c>
      <c r="BL531" s="19">
        <f>TIME(0,0,0)+520/1440</f>
        <v>0.3611111111111111</v>
      </c>
      <c r="BM531" s="4">
        <f>IFERROR(VLOOKUP(TEXT($B$3,"yyyymmdd")&amp;"_"&amp;TEXT(520,"0000"),RawData!$A$2:$F$1441,5,FALSE),"")</f>
        <v>0</v>
      </c>
      <c r="BN531" s="4">
        <f t="shared" si="9"/>
        <v>0</v>
      </c>
    </row>
    <row r="532" spans="63:66" x14ac:dyDescent="0.6">
      <c r="BK532" s="4" t="str">
        <f>IFERROR(VLOOKUP(TEXT($B$3,"yyyymmdd")&amp;"_"&amp;TEXT(521,"0000"),RawData!$A$2:$F$1441,4,FALSE),"")</f>
        <v>00</v>
      </c>
      <c r="BL532" s="19">
        <f>TIME(0,0,0)+521/1440</f>
        <v>0.36180555555555555</v>
      </c>
      <c r="BM532" s="4">
        <f>IFERROR(VLOOKUP(TEXT($B$3,"yyyymmdd")&amp;"_"&amp;TEXT(521,"0000"),RawData!$A$2:$F$1441,5,FALSE),"")</f>
        <v>0</v>
      </c>
      <c r="BN532" s="4">
        <f t="shared" si="9"/>
        <v>0</v>
      </c>
    </row>
    <row r="533" spans="63:66" x14ac:dyDescent="0.6">
      <c r="BK533" s="4" t="str">
        <f>IFERROR(VLOOKUP(TEXT($B$3,"yyyymmdd")&amp;"_"&amp;TEXT(522,"0000"),RawData!$A$2:$F$1441,4,FALSE),"")</f>
        <v>00</v>
      </c>
      <c r="BL533" s="19">
        <f>TIME(0,0,0)+522/1440</f>
        <v>0.36249999999999999</v>
      </c>
      <c r="BM533" s="4">
        <f>IFERROR(VLOOKUP(TEXT($B$3,"yyyymmdd")&amp;"_"&amp;TEXT(522,"0000"),RawData!$A$2:$F$1441,5,FALSE),"")</f>
        <v>0</v>
      </c>
      <c r="BN533" s="4">
        <f t="shared" si="9"/>
        <v>0</v>
      </c>
    </row>
    <row r="534" spans="63:66" x14ac:dyDescent="0.6">
      <c r="BK534" s="4" t="str">
        <f>IFERROR(VLOOKUP(TEXT($B$3,"yyyymmdd")&amp;"_"&amp;TEXT(523,"0000"),RawData!$A$2:$F$1441,4,FALSE),"")</f>
        <v>00</v>
      </c>
      <c r="BL534" s="19">
        <f>TIME(0,0,0)+523/1440</f>
        <v>0.36319444444444443</v>
      </c>
      <c r="BM534" s="4">
        <f>IFERROR(VLOOKUP(TEXT($B$3,"yyyymmdd")&amp;"_"&amp;TEXT(523,"0000"),RawData!$A$2:$F$1441,5,FALSE),"")</f>
        <v>0</v>
      </c>
      <c r="BN534" s="4">
        <f t="shared" si="9"/>
        <v>0</v>
      </c>
    </row>
    <row r="535" spans="63:66" x14ac:dyDescent="0.6">
      <c r="BK535" s="4" t="str">
        <f>IFERROR(VLOOKUP(TEXT($B$3,"yyyymmdd")&amp;"_"&amp;TEXT(524,"0000"),RawData!$A$2:$F$1441,4,FALSE),"")</f>
        <v>00</v>
      </c>
      <c r="BL535" s="19">
        <f>TIME(0,0,0)+524/1440</f>
        <v>0.36388888888888887</v>
      </c>
      <c r="BM535" s="4">
        <f>IFERROR(VLOOKUP(TEXT($B$3,"yyyymmdd")&amp;"_"&amp;TEXT(524,"0000"),RawData!$A$2:$F$1441,5,FALSE),"")</f>
        <v>0</v>
      </c>
      <c r="BN535" s="4">
        <f t="shared" si="9"/>
        <v>0</v>
      </c>
    </row>
    <row r="536" spans="63:66" x14ac:dyDescent="0.6">
      <c r="BK536" s="4" t="str">
        <f>IFERROR(VLOOKUP(TEXT($B$3,"yyyymmdd")&amp;"_"&amp;TEXT(525,"0000"),RawData!$A$2:$F$1441,4,FALSE),"")</f>
        <v>00</v>
      </c>
      <c r="BL536" s="19">
        <f>TIME(0,0,0)+525/1440</f>
        <v>0.36458333333333331</v>
      </c>
      <c r="BM536" s="4">
        <f>IFERROR(VLOOKUP(TEXT($B$3,"yyyymmdd")&amp;"_"&amp;TEXT(525,"0000"),RawData!$A$2:$F$1441,5,FALSE),"")</f>
        <v>0</v>
      </c>
      <c r="BN536" s="4">
        <f t="shared" si="9"/>
        <v>0</v>
      </c>
    </row>
    <row r="537" spans="63:66" x14ac:dyDescent="0.6">
      <c r="BK537" s="4" t="str">
        <f>IFERROR(VLOOKUP(TEXT($B$3,"yyyymmdd")&amp;"_"&amp;TEXT(526,"0000"),RawData!$A$2:$F$1441,4,FALSE),"")</f>
        <v>00</v>
      </c>
      <c r="BL537" s="19">
        <f>TIME(0,0,0)+526/1440</f>
        <v>0.36527777777777776</v>
      </c>
      <c r="BM537" s="4">
        <f>IFERROR(VLOOKUP(TEXT($B$3,"yyyymmdd")&amp;"_"&amp;TEXT(526,"0000"),RawData!$A$2:$F$1441,5,FALSE),"")</f>
        <v>0</v>
      </c>
      <c r="BN537" s="4">
        <f t="shared" si="9"/>
        <v>0</v>
      </c>
    </row>
    <row r="538" spans="63:66" x14ac:dyDescent="0.6">
      <c r="BK538" s="4" t="str">
        <f>IFERROR(VLOOKUP(TEXT($B$3,"yyyymmdd")&amp;"_"&amp;TEXT(527,"0000"),RawData!$A$2:$F$1441,4,FALSE),"")</f>
        <v>00</v>
      </c>
      <c r="BL538" s="19">
        <f>TIME(0,0,0)+527/1440</f>
        <v>0.3659722222222222</v>
      </c>
      <c r="BM538" s="4">
        <f>IFERROR(VLOOKUP(TEXT($B$3,"yyyymmdd")&amp;"_"&amp;TEXT(527,"0000"),RawData!$A$2:$F$1441,5,FALSE),"")</f>
        <v>0</v>
      </c>
      <c r="BN538" s="4">
        <f t="shared" si="9"/>
        <v>0</v>
      </c>
    </row>
    <row r="539" spans="63:66" x14ac:dyDescent="0.6">
      <c r="BK539" s="4" t="str">
        <f>IFERROR(VLOOKUP(TEXT($B$3,"yyyymmdd")&amp;"_"&amp;TEXT(528,"0000"),RawData!$A$2:$F$1441,4,FALSE),"")</f>
        <v>00</v>
      </c>
      <c r="BL539" s="19">
        <f>TIME(0,0,0)+528/1440</f>
        <v>0.36666666666666664</v>
      </c>
      <c r="BM539" s="4">
        <f>IFERROR(VLOOKUP(TEXT($B$3,"yyyymmdd")&amp;"_"&amp;TEXT(528,"0000"),RawData!$A$2:$F$1441,5,FALSE),"")</f>
        <v>0</v>
      </c>
      <c r="BN539" s="4">
        <f t="shared" si="9"/>
        <v>0</v>
      </c>
    </row>
    <row r="540" spans="63:66" x14ac:dyDescent="0.6">
      <c r="BK540" s="4" t="str">
        <f>IFERROR(VLOOKUP(TEXT($B$3,"yyyymmdd")&amp;"_"&amp;TEXT(529,"0000"),RawData!$A$2:$F$1441,4,FALSE),"")</f>
        <v>00</v>
      </c>
      <c r="BL540" s="19">
        <f>TIME(0,0,0)+529/1440</f>
        <v>0.36736111111111114</v>
      </c>
      <c r="BM540" s="4">
        <f>IFERROR(VLOOKUP(TEXT($B$3,"yyyymmdd")&amp;"_"&amp;TEXT(529,"0000"),RawData!$A$2:$F$1441,5,FALSE),"")</f>
        <v>0</v>
      </c>
      <c r="BN540" s="4">
        <f t="shared" si="9"/>
        <v>0</v>
      </c>
    </row>
    <row r="541" spans="63:66" x14ac:dyDescent="0.6">
      <c r="BK541" s="4" t="str">
        <f>IFERROR(VLOOKUP(TEXT($B$3,"yyyymmdd")&amp;"_"&amp;TEXT(530,"0000"),RawData!$A$2:$F$1441,4,FALSE),"")</f>
        <v>00</v>
      </c>
      <c r="BL541" s="19">
        <f>TIME(0,0,0)+530/1440</f>
        <v>0.36805555555555558</v>
      </c>
      <c r="BM541" s="4">
        <f>IFERROR(VLOOKUP(TEXT($B$3,"yyyymmdd")&amp;"_"&amp;TEXT(530,"0000"),RawData!$A$2:$F$1441,5,FALSE),"")</f>
        <v>0</v>
      </c>
      <c r="BN541" s="4">
        <f t="shared" si="9"/>
        <v>0</v>
      </c>
    </row>
    <row r="542" spans="63:66" x14ac:dyDescent="0.6">
      <c r="BK542" s="4" t="str">
        <f>IFERROR(VLOOKUP(TEXT($B$3,"yyyymmdd")&amp;"_"&amp;TEXT(531,"0000"),RawData!$A$2:$F$1441,4,FALSE),"")</f>
        <v>00</v>
      </c>
      <c r="BL542" s="19">
        <f>TIME(0,0,0)+531/1440</f>
        <v>0.36875000000000002</v>
      </c>
      <c r="BM542" s="4">
        <f>IFERROR(VLOOKUP(TEXT($B$3,"yyyymmdd")&amp;"_"&amp;TEXT(531,"0000"),RawData!$A$2:$F$1441,5,FALSE),"")</f>
        <v>0</v>
      </c>
      <c r="BN542" s="4">
        <f t="shared" si="9"/>
        <v>0</v>
      </c>
    </row>
    <row r="543" spans="63:66" x14ac:dyDescent="0.6">
      <c r="BK543" s="4" t="str">
        <f>IFERROR(VLOOKUP(TEXT($B$3,"yyyymmdd")&amp;"_"&amp;TEXT(532,"0000"),RawData!$A$2:$F$1441,4,FALSE),"")</f>
        <v>00</v>
      </c>
      <c r="BL543" s="19">
        <f>TIME(0,0,0)+532/1440</f>
        <v>0.36944444444444446</v>
      </c>
      <c r="BM543" s="4">
        <f>IFERROR(VLOOKUP(TEXT($B$3,"yyyymmdd")&amp;"_"&amp;TEXT(532,"0000"),RawData!$A$2:$F$1441,5,FALSE),"")</f>
        <v>0</v>
      </c>
      <c r="BN543" s="4">
        <f t="shared" si="9"/>
        <v>0</v>
      </c>
    </row>
    <row r="544" spans="63:66" x14ac:dyDescent="0.6">
      <c r="BK544" s="4" t="str">
        <f>IFERROR(VLOOKUP(TEXT($B$3,"yyyymmdd")&amp;"_"&amp;TEXT(533,"0000"),RawData!$A$2:$F$1441,4,FALSE),"")</f>
        <v>00</v>
      </c>
      <c r="BL544" s="19">
        <f>TIME(0,0,0)+533/1440</f>
        <v>0.37013888888888891</v>
      </c>
      <c r="BM544" s="4">
        <f>IFERROR(VLOOKUP(TEXT($B$3,"yyyymmdd")&amp;"_"&amp;TEXT(533,"0000"),RawData!$A$2:$F$1441,5,FALSE),"")</f>
        <v>0</v>
      </c>
      <c r="BN544" s="4">
        <f t="shared" si="9"/>
        <v>0</v>
      </c>
    </row>
    <row r="545" spans="63:66" x14ac:dyDescent="0.6">
      <c r="BK545" s="4" t="str">
        <f>IFERROR(VLOOKUP(TEXT($B$3,"yyyymmdd")&amp;"_"&amp;TEXT(534,"0000"),RawData!$A$2:$F$1441,4,FALSE),"")</f>
        <v>00</v>
      </c>
      <c r="BL545" s="19">
        <f>TIME(0,0,0)+534/1440</f>
        <v>0.37083333333333335</v>
      </c>
      <c r="BM545" s="4">
        <f>IFERROR(VLOOKUP(TEXT($B$3,"yyyymmdd")&amp;"_"&amp;TEXT(534,"0000"),RawData!$A$2:$F$1441,5,FALSE),"")</f>
        <v>0</v>
      </c>
      <c r="BN545" s="4">
        <f t="shared" si="9"/>
        <v>0</v>
      </c>
    </row>
    <row r="546" spans="63:66" x14ac:dyDescent="0.6">
      <c r="BK546" s="4" t="str">
        <f>IFERROR(VLOOKUP(TEXT($B$3,"yyyymmdd")&amp;"_"&amp;TEXT(535,"0000"),RawData!$A$2:$F$1441,4,FALSE),"")</f>
        <v>00</v>
      </c>
      <c r="BL546" s="19">
        <f>TIME(0,0,0)+535/1440</f>
        <v>0.37152777777777779</v>
      </c>
      <c r="BM546" s="4">
        <f>IFERROR(VLOOKUP(TEXT($B$3,"yyyymmdd")&amp;"_"&amp;TEXT(535,"0000"),RawData!$A$2:$F$1441,5,FALSE),"")</f>
        <v>0</v>
      </c>
      <c r="BN546" s="4">
        <f t="shared" si="9"/>
        <v>0</v>
      </c>
    </row>
    <row r="547" spans="63:66" x14ac:dyDescent="0.6">
      <c r="BK547" s="4" t="str">
        <f>IFERROR(VLOOKUP(TEXT($B$3,"yyyymmdd")&amp;"_"&amp;TEXT(536,"0000"),RawData!$A$2:$F$1441,4,FALSE),"")</f>
        <v>00</v>
      </c>
      <c r="BL547" s="19">
        <f>TIME(0,0,0)+536/1440</f>
        <v>0.37222222222222223</v>
      </c>
      <c r="BM547" s="4">
        <f>IFERROR(VLOOKUP(TEXT($B$3,"yyyymmdd")&amp;"_"&amp;TEXT(536,"0000"),RawData!$A$2:$F$1441,5,FALSE),"")</f>
        <v>0</v>
      </c>
      <c r="BN547" s="4">
        <f t="shared" si="9"/>
        <v>0</v>
      </c>
    </row>
    <row r="548" spans="63:66" x14ac:dyDescent="0.6">
      <c r="BK548" s="4" t="str">
        <f>IFERROR(VLOOKUP(TEXT($B$3,"yyyymmdd")&amp;"_"&amp;TEXT(537,"0000"),RawData!$A$2:$F$1441,4,FALSE),"")</f>
        <v>00</v>
      </c>
      <c r="BL548" s="19">
        <f>TIME(0,0,0)+537/1440</f>
        <v>0.37291666666666667</v>
      </c>
      <c r="BM548" s="4">
        <f>IFERROR(VLOOKUP(TEXT($B$3,"yyyymmdd")&amp;"_"&amp;TEXT(537,"0000"),RawData!$A$2:$F$1441,5,FALSE),"")</f>
        <v>0</v>
      </c>
      <c r="BN548" s="4">
        <f t="shared" si="9"/>
        <v>0</v>
      </c>
    </row>
    <row r="549" spans="63:66" x14ac:dyDescent="0.6">
      <c r="BK549" s="4" t="str">
        <f>IFERROR(VLOOKUP(TEXT($B$3,"yyyymmdd")&amp;"_"&amp;TEXT(538,"0000"),RawData!$A$2:$F$1441,4,FALSE),"")</f>
        <v>00</v>
      </c>
      <c r="BL549" s="19">
        <f>TIME(0,0,0)+538/1440</f>
        <v>0.37361111111111112</v>
      </c>
      <c r="BM549" s="4">
        <f>IFERROR(VLOOKUP(TEXT($B$3,"yyyymmdd")&amp;"_"&amp;TEXT(538,"0000"),RawData!$A$2:$F$1441,5,FALSE),"")</f>
        <v>0</v>
      </c>
      <c r="BN549" s="4">
        <f t="shared" si="9"/>
        <v>0</v>
      </c>
    </row>
    <row r="550" spans="63:66" x14ac:dyDescent="0.6">
      <c r="BK550" s="4" t="str">
        <f>IFERROR(VLOOKUP(TEXT($B$3,"yyyymmdd")&amp;"_"&amp;TEXT(539,"0000"),RawData!$A$2:$F$1441,4,FALSE),"")</f>
        <v>00</v>
      </c>
      <c r="BL550" s="19">
        <f>TIME(0,0,0)+539/1440</f>
        <v>0.37430555555555556</v>
      </c>
      <c r="BM550" s="4">
        <f>IFERROR(VLOOKUP(TEXT($B$3,"yyyymmdd")&amp;"_"&amp;TEXT(539,"0000"),RawData!$A$2:$F$1441,5,FALSE),"")</f>
        <v>0</v>
      </c>
      <c r="BN550" s="4">
        <f t="shared" si="9"/>
        <v>0</v>
      </c>
    </row>
    <row r="551" spans="63:66" x14ac:dyDescent="0.6">
      <c r="BK551" s="4" t="str">
        <f>IFERROR(VLOOKUP(TEXT($B$3,"yyyymmdd")&amp;"_"&amp;TEXT(540,"0000"),RawData!$A$2:$F$1441,4,FALSE),"")</f>
        <v>00</v>
      </c>
      <c r="BL551" s="19">
        <f>TIME(0,0,0)+540/1440</f>
        <v>0.375</v>
      </c>
      <c r="BM551" s="4">
        <f>IFERROR(VLOOKUP(TEXT($B$3,"yyyymmdd")&amp;"_"&amp;TEXT(540,"0000"),RawData!$A$2:$F$1441,5,FALSE),"")</f>
        <v>0</v>
      </c>
      <c r="BN551" s="4">
        <f t="shared" si="9"/>
        <v>0</v>
      </c>
    </row>
    <row r="552" spans="63:66" x14ac:dyDescent="0.6">
      <c r="BK552" s="4" t="str">
        <f>IFERROR(VLOOKUP(TEXT($B$3,"yyyymmdd")&amp;"_"&amp;TEXT(541,"0000"),RawData!$A$2:$F$1441,4,FALSE),"")</f>
        <v>00</v>
      </c>
      <c r="BL552" s="19">
        <f>TIME(0,0,0)+541/1440</f>
        <v>0.37569444444444444</v>
      </c>
      <c r="BM552" s="4">
        <f>IFERROR(VLOOKUP(TEXT($B$3,"yyyymmdd")&amp;"_"&amp;TEXT(541,"0000"),RawData!$A$2:$F$1441,5,FALSE),"")</f>
        <v>0</v>
      </c>
      <c r="BN552" s="4">
        <f t="shared" si="9"/>
        <v>0</v>
      </c>
    </row>
    <row r="553" spans="63:66" x14ac:dyDescent="0.6">
      <c r="BK553" s="4" t="str">
        <f>IFERROR(VLOOKUP(TEXT($B$3,"yyyymmdd")&amp;"_"&amp;TEXT(542,"0000"),RawData!$A$2:$F$1441,4,FALSE),"")</f>
        <v>00</v>
      </c>
      <c r="BL553" s="19">
        <f>TIME(0,0,0)+542/1440</f>
        <v>0.37638888888888888</v>
      </c>
      <c r="BM553" s="4">
        <f>IFERROR(VLOOKUP(TEXT($B$3,"yyyymmdd")&amp;"_"&amp;TEXT(542,"0000"),RawData!$A$2:$F$1441,5,FALSE),"")</f>
        <v>0</v>
      </c>
      <c r="BN553" s="4">
        <f t="shared" si="9"/>
        <v>0</v>
      </c>
    </row>
    <row r="554" spans="63:66" x14ac:dyDescent="0.6">
      <c r="BK554" s="4" t="str">
        <f>IFERROR(VLOOKUP(TEXT($B$3,"yyyymmdd")&amp;"_"&amp;TEXT(543,"0000"),RawData!$A$2:$F$1441,4,FALSE),"")</f>
        <v>00</v>
      </c>
      <c r="BL554" s="19">
        <f>TIME(0,0,0)+543/1440</f>
        <v>0.37708333333333333</v>
      </c>
      <c r="BM554" s="4">
        <f>IFERROR(VLOOKUP(TEXT($B$3,"yyyymmdd")&amp;"_"&amp;TEXT(543,"0000"),RawData!$A$2:$F$1441,5,FALSE),"")</f>
        <v>0</v>
      </c>
      <c r="BN554" s="4">
        <f t="shared" si="9"/>
        <v>0</v>
      </c>
    </row>
    <row r="555" spans="63:66" x14ac:dyDescent="0.6">
      <c r="BK555" s="4" t="str">
        <f>IFERROR(VLOOKUP(TEXT($B$3,"yyyymmdd")&amp;"_"&amp;TEXT(544,"0000"),RawData!$A$2:$F$1441,4,FALSE),"")</f>
        <v>00</v>
      </c>
      <c r="BL555" s="19">
        <f>TIME(0,0,0)+544/1440</f>
        <v>0.37777777777777777</v>
      </c>
      <c r="BM555" s="4">
        <f>IFERROR(VLOOKUP(TEXT($B$3,"yyyymmdd")&amp;"_"&amp;TEXT(544,"0000"),RawData!$A$2:$F$1441,5,FALSE),"")</f>
        <v>0</v>
      </c>
      <c r="BN555" s="4">
        <f t="shared" si="9"/>
        <v>0</v>
      </c>
    </row>
    <row r="556" spans="63:66" x14ac:dyDescent="0.6">
      <c r="BK556" s="4" t="str">
        <f>IFERROR(VLOOKUP(TEXT($B$3,"yyyymmdd")&amp;"_"&amp;TEXT(545,"0000"),RawData!$A$2:$F$1441,4,FALSE),"")</f>
        <v>00</v>
      </c>
      <c r="BL556" s="19">
        <f>TIME(0,0,0)+545/1440</f>
        <v>0.37847222222222221</v>
      </c>
      <c r="BM556" s="4">
        <f>IFERROR(VLOOKUP(TEXT($B$3,"yyyymmdd")&amp;"_"&amp;TEXT(545,"0000"),RawData!$A$2:$F$1441,5,FALSE),"")</f>
        <v>0</v>
      </c>
      <c r="BN556" s="4">
        <f t="shared" si="9"/>
        <v>0</v>
      </c>
    </row>
    <row r="557" spans="63:66" x14ac:dyDescent="0.6">
      <c r="BK557" s="4" t="str">
        <f>IFERROR(VLOOKUP(TEXT($B$3,"yyyymmdd")&amp;"_"&amp;TEXT(546,"0000"),RawData!$A$2:$F$1441,4,FALSE),"")</f>
        <v>00</v>
      </c>
      <c r="BL557" s="19">
        <f>TIME(0,0,0)+546/1440</f>
        <v>0.37916666666666665</v>
      </c>
      <c r="BM557" s="4">
        <f>IFERROR(VLOOKUP(TEXT($B$3,"yyyymmdd")&amp;"_"&amp;TEXT(546,"0000"),RawData!$A$2:$F$1441,5,FALSE),"")</f>
        <v>0</v>
      </c>
      <c r="BN557" s="4">
        <f t="shared" si="9"/>
        <v>0</v>
      </c>
    </row>
    <row r="558" spans="63:66" x14ac:dyDescent="0.6">
      <c r="BK558" s="4" t="str">
        <f>IFERROR(VLOOKUP(TEXT($B$3,"yyyymmdd")&amp;"_"&amp;TEXT(547,"0000"),RawData!$A$2:$F$1441,4,FALSE),"")</f>
        <v>00</v>
      </c>
      <c r="BL558" s="19">
        <f>TIME(0,0,0)+547/1440</f>
        <v>0.37986111111111109</v>
      </c>
      <c r="BM558" s="4">
        <f>IFERROR(VLOOKUP(TEXT($B$3,"yyyymmdd")&amp;"_"&amp;TEXT(547,"0000"),RawData!$A$2:$F$1441,5,FALSE),"")</f>
        <v>0</v>
      </c>
      <c r="BN558" s="4">
        <f t="shared" si="9"/>
        <v>0</v>
      </c>
    </row>
    <row r="559" spans="63:66" x14ac:dyDescent="0.6">
      <c r="BK559" s="4" t="str">
        <f>IFERROR(VLOOKUP(TEXT($B$3,"yyyymmdd")&amp;"_"&amp;TEXT(548,"0000"),RawData!$A$2:$F$1441,4,FALSE),"")</f>
        <v>00</v>
      </c>
      <c r="BL559" s="19">
        <f>TIME(0,0,0)+548/1440</f>
        <v>0.38055555555555554</v>
      </c>
      <c r="BM559" s="4">
        <f>IFERROR(VLOOKUP(TEXT($B$3,"yyyymmdd")&amp;"_"&amp;TEXT(548,"0000"),RawData!$A$2:$F$1441,5,FALSE),"")</f>
        <v>0</v>
      </c>
      <c r="BN559" s="4">
        <f t="shared" si="9"/>
        <v>0</v>
      </c>
    </row>
    <row r="560" spans="63:66" x14ac:dyDescent="0.6">
      <c r="BK560" s="4" t="str">
        <f>IFERROR(VLOOKUP(TEXT($B$3,"yyyymmdd")&amp;"_"&amp;TEXT(549,"0000"),RawData!$A$2:$F$1441,4,FALSE),"")</f>
        <v>00</v>
      </c>
      <c r="BL560" s="19">
        <f>TIME(0,0,0)+549/1440</f>
        <v>0.38124999999999998</v>
      </c>
      <c r="BM560" s="4">
        <f>IFERROR(VLOOKUP(TEXT($B$3,"yyyymmdd")&amp;"_"&amp;TEXT(549,"0000"),RawData!$A$2:$F$1441,5,FALSE),"")</f>
        <v>0</v>
      </c>
      <c r="BN560" s="4">
        <f t="shared" ref="BN560:BN623" si="10">IF(BK554="","",IF(BK554&lt;&gt;BK553,1,0))</f>
        <v>0</v>
      </c>
    </row>
    <row r="561" spans="63:66" x14ac:dyDescent="0.6">
      <c r="BK561" s="4" t="str">
        <f>IFERROR(VLOOKUP(TEXT($B$3,"yyyymmdd")&amp;"_"&amp;TEXT(550,"0000"),RawData!$A$2:$F$1441,4,FALSE),"")</f>
        <v>00</v>
      </c>
      <c r="BL561" s="19">
        <f>TIME(0,0,0)+550/1440</f>
        <v>0.38194444444444442</v>
      </c>
      <c r="BM561" s="4">
        <f>IFERROR(VLOOKUP(TEXT($B$3,"yyyymmdd")&amp;"_"&amp;TEXT(550,"0000"),RawData!$A$2:$F$1441,5,FALSE),"")</f>
        <v>0</v>
      </c>
      <c r="BN561" s="4">
        <f t="shared" si="10"/>
        <v>0</v>
      </c>
    </row>
    <row r="562" spans="63:66" x14ac:dyDescent="0.6">
      <c r="BK562" s="4" t="str">
        <f>IFERROR(VLOOKUP(TEXT($B$3,"yyyymmdd")&amp;"_"&amp;TEXT(551,"0000"),RawData!$A$2:$F$1441,4,FALSE),"")</f>
        <v>00</v>
      </c>
      <c r="BL562" s="19">
        <f>TIME(0,0,0)+551/1440</f>
        <v>0.38263888888888886</v>
      </c>
      <c r="BM562" s="4">
        <f>IFERROR(VLOOKUP(TEXT($B$3,"yyyymmdd")&amp;"_"&amp;TEXT(551,"0000"),RawData!$A$2:$F$1441,5,FALSE),"")</f>
        <v>0</v>
      </c>
      <c r="BN562" s="4">
        <f t="shared" si="10"/>
        <v>0</v>
      </c>
    </row>
    <row r="563" spans="63:66" x14ac:dyDescent="0.6">
      <c r="BK563" s="4" t="str">
        <f>IFERROR(VLOOKUP(TEXT($B$3,"yyyymmdd")&amp;"_"&amp;TEXT(552,"0000"),RawData!$A$2:$F$1441,4,FALSE),"")</f>
        <v>00</v>
      </c>
      <c r="BL563" s="19">
        <f>TIME(0,0,0)+552/1440</f>
        <v>0.38333333333333336</v>
      </c>
      <c r="BM563" s="4">
        <f>IFERROR(VLOOKUP(TEXT($B$3,"yyyymmdd")&amp;"_"&amp;TEXT(552,"0000"),RawData!$A$2:$F$1441,5,FALSE),"")</f>
        <v>0</v>
      </c>
      <c r="BN563" s="4">
        <f t="shared" si="10"/>
        <v>0</v>
      </c>
    </row>
    <row r="564" spans="63:66" x14ac:dyDescent="0.6">
      <c r="BK564" s="4" t="str">
        <f>IFERROR(VLOOKUP(TEXT($B$3,"yyyymmdd")&amp;"_"&amp;TEXT(553,"0000"),RawData!$A$2:$F$1441,4,FALSE),"")</f>
        <v>00</v>
      </c>
      <c r="BL564" s="19">
        <f>TIME(0,0,0)+553/1440</f>
        <v>0.3840277777777778</v>
      </c>
      <c r="BM564" s="4">
        <f>IFERROR(VLOOKUP(TEXT($B$3,"yyyymmdd")&amp;"_"&amp;TEXT(553,"0000"),RawData!$A$2:$F$1441,5,FALSE),"")</f>
        <v>0</v>
      </c>
      <c r="BN564" s="4">
        <f t="shared" si="10"/>
        <v>0</v>
      </c>
    </row>
    <row r="565" spans="63:66" x14ac:dyDescent="0.6">
      <c r="BK565" s="4" t="str">
        <f>IFERROR(VLOOKUP(TEXT($B$3,"yyyymmdd")&amp;"_"&amp;TEXT(554,"0000"),RawData!$A$2:$F$1441,4,FALSE),"")</f>
        <v>00</v>
      </c>
      <c r="BL565" s="19">
        <f>TIME(0,0,0)+554/1440</f>
        <v>0.38472222222222224</v>
      </c>
      <c r="BM565" s="4">
        <f>IFERROR(VLOOKUP(TEXT($B$3,"yyyymmdd")&amp;"_"&amp;TEXT(554,"0000"),RawData!$A$2:$F$1441,5,FALSE),"")</f>
        <v>0</v>
      </c>
      <c r="BN565" s="4">
        <f t="shared" si="10"/>
        <v>0</v>
      </c>
    </row>
    <row r="566" spans="63:66" x14ac:dyDescent="0.6">
      <c r="BK566" s="4" t="str">
        <f>IFERROR(VLOOKUP(TEXT($B$3,"yyyymmdd")&amp;"_"&amp;TEXT(555,"0000"),RawData!$A$2:$F$1441,4,FALSE),"")</f>
        <v>00</v>
      </c>
      <c r="BL566" s="19">
        <f>TIME(0,0,0)+555/1440</f>
        <v>0.38541666666666669</v>
      </c>
      <c r="BM566" s="4">
        <f>IFERROR(VLOOKUP(TEXT($B$3,"yyyymmdd")&amp;"_"&amp;TEXT(555,"0000"),RawData!$A$2:$F$1441,5,FALSE),"")</f>
        <v>0</v>
      </c>
      <c r="BN566" s="4">
        <f t="shared" si="10"/>
        <v>0</v>
      </c>
    </row>
    <row r="567" spans="63:66" x14ac:dyDescent="0.6">
      <c r="BK567" s="4" t="str">
        <f>IFERROR(VLOOKUP(TEXT($B$3,"yyyymmdd")&amp;"_"&amp;TEXT(556,"0000"),RawData!$A$2:$F$1441,4,FALSE),"")</f>
        <v>00</v>
      </c>
      <c r="BL567" s="19">
        <f>TIME(0,0,0)+556/1440</f>
        <v>0.38611111111111113</v>
      </c>
      <c r="BM567" s="4">
        <f>IFERROR(VLOOKUP(TEXT($B$3,"yyyymmdd")&amp;"_"&amp;TEXT(556,"0000"),RawData!$A$2:$F$1441,5,FALSE),"")</f>
        <v>0</v>
      </c>
      <c r="BN567" s="4">
        <f t="shared" si="10"/>
        <v>0</v>
      </c>
    </row>
    <row r="568" spans="63:66" x14ac:dyDescent="0.6">
      <c r="BK568" s="4" t="str">
        <f>IFERROR(VLOOKUP(TEXT($B$3,"yyyymmdd")&amp;"_"&amp;TEXT(557,"0000"),RawData!$A$2:$F$1441,4,FALSE),"")</f>
        <v>00</v>
      </c>
      <c r="BL568" s="19">
        <f>TIME(0,0,0)+557/1440</f>
        <v>0.38680555555555557</v>
      </c>
      <c r="BM568" s="4">
        <f>IFERROR(VLOOKUP(TEXT($B$3,"yyyymmdd")&amp;"_"&amp;TEXT(557,"0000"),RawData!$A$2:$F$1441,5,FALSE),"")</f>
        <v>0</v>
      </c>
      <c r="BN568" s="4">
        <f t="shared" si="10"/>
        <v>0</v>
      </c>
    </row>
    <row r="569" spans="63:66" x14ac:dyDescent="0.6">
      <c r="BK569" s="4" t="str">
        <f>IFERROR(VLOOKUP(TEXT($B$3,"yyyymmdd")&amp;"_"&amp;TEXT(558,"0000"),RawData!$A$2:$F$1441,4,FALSE),"")</f>
        <v>00</v>
      </c>
      <c r="BL569" s="19">
        <f>TIME(0,0,0)+558/1440</f>
        <v>0.38750000000000001</v>
      </c>
      <c r="BM569" s="4">
        <f>IFERROR(VLOOKUP(TEXT($B$3,"yyyymmdd")&amp;"_"&amp;TEXT(558,"0000"),RawData!$A$2:$F$1441,5,FALSE),"")</f>
        <v>0</v>
      </c>
      <c r="BN569" s="4">
        <f t="shared" si="10"/>
        <v>0</v>
      </c>
    </row>
    <row r="570" spans="63:66" x14ac:dyDescent="0.6">
      <c r="BK570" s="4" t="str">
        <f>IFERROR(VLOOKUP(TEXT($B$3,"yyyymmdd")&amp;"_"&amp;TEXT(559,"0000"),RawData!$A$2:$F$1441,4,FALSE),"")</f>
        <v>00</v>
      </c>
      <c r="BL570" s="19">
        <f>TIME(0,0,0)+559/1440</f>
        <v>0.38819444444444445</v>
      </c>
      <c r="BM570" s="4">
        <f>IFERROR(VLOOKUP(TEXT($B$3,"yyyymmdd")&amp;"_"&amp;TEXT(559,"0000"),RawData!$A$2:$F$1441,5,FALSE),"")</f>
        <v>0</v>
      </c>
      <c r="BN570" s="4">
        <f t="shared" si="10"/>
        <v>0</v>
      </c>
    </row>
    <row r="571" spans="63:66" x14ac:dyDescent="0.6">
      <c r="BK571" s="4" t="str">
        <f>IFERROR(VLOOKUP(TEXT($B$3,"yyyymmdd")&amp;"_"&amp;TEXT(560,"0000"),RawData!$A$2:$F$1441,4,FALSE),"")</f>
        <v>00</v>
      </c>
      <c r="BL571" s="19">
        <f>TIME(0,0,0)+560/1440</f>
        <v>0.3888888888888889</v>
      </c>
      <c r="BM571" s="4">
        <f>IFERROR(VLOOKUP(TEXT($B$3,"yyyymmdd")&amp;"_"&amp;TEXT(560,"0000"),RawData!$A$2:$F$1441,5,FALSE),"")</f>
        <v>0</v>
      </c>
      <c r="BN571" s="4">
        <f t="shared" si="10"/>
        <v>0</v>
      </c>
    </row>
    <row r="572" spans="63:66" x14ac:dyDescent="0.6">
      <c r="BK572" s="4" t="str">
        <f>IFERROR(VLOOKUP(TEXT($B$3,"yyyymmdd")&amp;"_"&amp;TEXT(561,"0000"),RawData!$A$2:$F$1441,4,FALSE),"")</f>
        <v>00</v>
      </c>
      <c r="BL572" s="19">
        <f>TIME(0,0,0)+561/1440</f>
        <v>0.38958333333333334</v>
      </c>
      <c r="BM572" s="4">
        <f>IFERROR(VLOOKUP(TEXT($B$3,"yyyymmdd")&amp;"_"&amp;TEXT(561,"0000"),RawData!$A$2:$F$1441,5,FALSE),"")</f>
        <v>0</v>
      </c>
      <c r="BN572" s="4">
        <f t="shared" si="10"/>
        <v>0</v>
      </c>
    </row>
    <row r="573" spans="63:66" x14ac:dyDescent="0.6">
      <c r="BK573" s="4" t="str">
        <f>IFERROR(VLOOKUP(TEXT($B$3,"yyyymmdd")&amp;"_"&amp;TEXT(562,"0000"),RawData!$A$2:$F$1441,4,FALSE),"")</f>
        <v>00</v>
      </c>
      <c r="BL573" s="19">
        <f>TIME(0,0,0)+562/1440</f>
        <v>0.39027777777777778</v>
      </c>
      <c r="BM573" s="4">
        <f>IFERROR(VLOOKUP(TEXT($B$3,"yyyymmdd")&amp;"_"&amp;TEXT(562,"0000"),RawData!$A$2:$F$1441,5,FALSE),"")</f>
        <v>0</v>
      </c>
      <c r="BN573" s="4">
        <f t="shared" si="10"/>
        <v>0</v>
      </c>
    </row>
    <row r="574" spans="63:66" x14ac:dyDescent="0.6">
      <c r="BK574" s="4" t="str">
        <f>IFERROR(VLOOKUP(TEXT($B$3,"yyyymmdd")&amp;"_"&amp;TEXT(563,"0000"),RawData!$A$2:$F$1441,4,FALSE),"")</f>
        <v>00</v>
      </c>
      <c r="BL574" s="19">
        <f>TIME(0,0,0)+563/1440</f>
        <v>0.39097222222222222</v>
      </c>
      <c r="BM574" s="4">
        <f>IFERROR(VLOOKUP(TEXT($B$3,"yyyymmdd")&amp;"_"&amp;TEXT(563,"0000"),RawData!$A$2:$F$1441,5,FALSE),"")</f>
        <v>0</v>
      </c>
      <c r="BN574" s="4">
        <f t="shared" si="10"/>
        <v>0</v>
      </c>
    </row>
    <row r="575" spans="63:66" x14ac:dyDescent="0.6">
      <c r="BK575" s="4" t="str">
        <f>IFERROR(VLOOKUP(TEXT($B$3,"yyyymmdd")&amp;"_"&amp;TEXT(564,"0000"),RawData!$A$2:$F$1441,4,FALSE),"")</f>
        <v>00</v>
      </c>
      <c r="BL575" s="19">
        <f>TIME(0,0,0)+564/1440</f>
        <v>0.39166666666666666</v>
      </c>
      <c r="BM575" s="4">
        <f>IFERROR(VLOOKUP(TEXT($B$3,"yyyymmdd")&amp;"_"&amp;TEXT(564,"0000"),RawData!$A$2:$F$1441,5,FALSE),"")</f>
        <v>0</v>
      </c>
      <c r="BN575" s="4">
        <f t="shared" si="10"/>
        <v>0</v>
      </c>
    </row>
    <row r="576" spans="63:66" x14ac:dyDescent="0.6">
      <c r="BK576" s="4" t="str">
        <f>IFERROR(VLOOKUP(TEXT($B$3,"yyyymmdd")&amp;"_"&amp;TEXT(565,"0000"),RawData!$A$2:$F$1441,4,FALSE),"")</f>
        <v>00</v>
      </c>
      <c r="BL576" s="19">
        <f>TIME(0,0,0)+565/1440</f>
        <v>0.3923611111111111</v>
      </c>
      <c r="BM576" s="4">
        <f>IFERROR(VLOOKUP(TEXT($B$3,"yyyymmdd")&amp;"_"&amp;TEXT(565,"0000"),RawData!$A$2:$F$1441,5,FALSE),"")</f>
        <v>0</v>
      </c>
      <c r="BN576" s="4">
        <f t="shared" si="10"/>
        <v>0</v>
      </c>
    </row>
    <row r="577" spans="63:66" x14ac:dyDescent="0.6">
      <c r="BK577" s="4" t="str">
        <f>IFERROR(VLOOKUP(TEXT($B$3,"yyyymmdd")&amp;"_"&amp;TEXT(566,"0000"),RawData!$A$2:$F$1441,4,FALSE),"")</f>
        <v>00</v>
      </c>
      <c r="BL577" s="19">
        <f>TIME(0,0,0)+566/1440</f>
        <v>0.39305555555555555</v>
      </c>
      <c r="BM577" s="4">
        <f>IFERROR(VLOOKUP(TEXT($B$3,"yyyymmdd")&amp;"_"&amp;TEXT(566,"0000"),RawData!$A$2:$F$1441,5,FALSE),"")</f>
        <v>0</v>
      </c>
      <c r="BN577" s="4">
        <f t="shared" si="10"/>
        <v>0</v>
      </c>
    </row>
    <row r="578" spans="63:66" x14ac:dyDescent="0.6">
      <c r="BK578" s="4" t="str">
        <f>IFERROR(VLOOKUP(TEXT($B$3,"yyyymmdd")&amp;"_"&amp;TEXT(567,"0000"),RawData!$A$2:$F$1441,4,FALSE),"")</f>
        <v>00</v>
      </c>
      <c r="BL578" s="19">
        <f>TIME(0,0,0)+567/1440</f>
        <v>0.39374999999999999</v>
      </c>
      <c r="BM578" s="4">
        <f>IFERROR(VLOOKUP(TEXT($B$3,"yyyymmdd")&amp;"_"&amp;TEXT(567,"0000"),RawData!$A$2:$F$1441,5,FALSE),"")</f>
        <v>0</v>
      </c>
      <c r="BN578" s="4">
        <f t="shared" si="10"/>
        <v>0</v>
      </c>
    </row>
    <row r="579" spans="63:66" x14ac:dyDescent="0.6">
      <c r="BK579" s="4" t="str">
        <f>IFERROR(VLOOKUP(TEXT($B$3,"yyyymmdd")&amp;"_"&amp;TEXT(568,"0000"),RawData!$A$2:$F$1441,4,FALSE),"")</f>
        <v>0A</v>
      </c>
      <c r="BL579" s="19">
        <f>TIME(0,0,0)+568/1440</f>
        <v>0.39444444444444443</v>
      </c>
      <c r="BM579" s="4">
        <f>IFERROR(VLOOKUP(TEXT($B$3,"yyyymmdd")&amp;"_"&amp;TEXT(568,"0000"),RawData!$A$2:$F$1441,5,FALSE),"")</f>
        <v>1.368050411</v>
      </c>
      <c r="BN579" s="4">
        <f t="shared" si="10"/>
        <v>0</v>
      </c>
    </row>
    <row r="580" spans="63:66" x14ac:dyDescent="0.6">
      <c r="BK580" s="4" t="str">
        <f>IFERROR(VLOOKUP(TEXT($B$3,"yyyymmdd")&amp;"_"&amp;TEXT(569,"0000"),RawData!$A$2:$F$1441,4,FALSE),"")</f>
        <v>1E</v>
      </c>
      <c r="BL580" s="19">
        <f>TIME(0,0,0)+569/1440</f>
        <v>0.39513888888888887</v>
      </c>
      <c r="BM580" s="4">
        <f>IFERROR(VLOOKUP(TEXT($B$3,"yyyymmdd")&amp;"_"&amp;TEXT(569,"0000"),RawData!$A$2:$F$1441,5,FALSE),"")</f>
        <v>0</v>
      </c>
      <c r="BN580" s="4">
        <f t="shared" si="10"/>
        <v>0</v>
      </c>
    </row>
    <row r="581" spans="63:66" x14ac:dyDescent="0.6">
      <c r="BK581" s="4" t="str">
        <f>IFERROR(VLOOKUP(TEXT($B$3,"yyyymmdd")&amp;"_"&amp;TEXT(570,"0000"),RawData!$A$2:$F$1441,4,FALSE),"")</f>
        <v>14</v>
      </c>
      <c r="BL581" s="19">
        <f>TIME(0,0,0)+570/1440</f>
        <v>0.39583333333333331</v>
      </c>
      <c r="BM581" s="4">
        <f>IFERROR(VLOOKUP(TEXT($B$3,"yyyymmdd")&amp;"_"&amp;TEXT(570,"0000"),RawData!$A$2:$F$1441,5,FALSE),"")</f>
        <v>0</v>
      </c>
      <c r="BN581" s="4">
        <f t="shared" si="10"/>
        <v>0</v>
      </c>
    </row>
    <row r="582" spans="63:66" x14ac:dyDescent="0.6">
      <c r="BK582" s="4" t="str">
        <f>IFERROR(VLOOKUP(TEXT($B$3,"yyyymmdd")&amp;"_"&amp;TEXT(571,"0000"),RawData!$A$2:$F$1441,4,FALSE),"")</f>
        <v>14</v>
      </c>
      <c r="BL582" s="19">
        <f>TIME(0,0,0)+571/1440</f>
        <v>0.39652777777777776</v>
      </c>
      <c r="BM582" s="4">
        <f>IFERROR(VLOOKUP(TEXT($B$3,"yyyymmdd")&amp;"_"&amp;TEXT(571,"0000"),RawData!$A$2:$F$1441,5,FALSE),"")</f>
        <v>0</v>
      </c>
      <c r="BN582" s="4">
        <f t="shared" si="10"/>
        <v>0</v>
      </c>
    </row>
    <row r="583" spans="63:66" x14ac:dyDescent="0.6">
      <c r="BK583" s="4" t="str">
        <f>IFERROR(VLOOKUP(TEXT($B$3,"yyyymmdd")&amp;"_"&amp;TEXT(572,"0000"),RawData!$A$2:$F$1441,4,FALSE),"")</f>
        <v>14</v>
      </c>
      <c r="BL583" s="19">
        <f>TIME(0,0,0)+572/1440</f>
        <v>0.3972222222222222</v>
      </c>
      <c r="BM583" s="4">
        <f>IFERROR(VLOOKUP(TEXT($B$3,"yyyymmdd")&amp;"_"&amp;TEXT(572,"0000"),RawData!$A$2:$F$1441,5,FALSE),"")</f>
        <v>0</v>
      </c>
      <c r="BN583" s="4">
        <f t="shared" si="10"/>
        <v>0</v>
      </c>
    </row>
    <row r="584" spans="63:66" x14ac:dyDescent="0.6">
      <c r="BK584" s="4" t="str">
        <f>IFERROR(VLOOKUP(TEXT($B$3,"yyyymmdd")&amp;"_"&amp;TEXT(573,"0000"),RawData!$A$2:$F$1441,4,FALSE),"")</f>
        <v>14</v>
      </c>
      <c r="BL584" s="19">
        <f>TIME(0,0,0)+573/1440</f>
        <v>0.39791666666666664</v>
      </c>
      <c r="BM584" s="4">
        <f>IFERROR(VLOOKUP(TEXT($B$3,"yyyymmdd")&amp;"_"&amp;TEXT(573,"0000"),RawData!$A$2:$F$1441,5,FALSE),"")</f>
        <v>0</v>
      </c>
      <c r="BN584" s="4">
        <f t="shared" si="10"/>
        <v>0</v>
      </c>
    </row>
    <row r="585" spans="63:66" x14ac:dyDescent="0.6">
      <c r="BK585" s="4" t="str">
        <f>IFERROR(VLOOKUP(TEXT($B$3,"yyyymmdd")&amp;"_"&amp;TEXT(574,"0000"),RawData!$A$2:$F$1441,4,FALSE),"")</f>
        <v>14</v>
      </c>
      <c r="BL585" s="19">
        <f>TIME(0,0,0)+574/1440</f>
        <v>0.39861111111111114</v>
      </c>
      <c r="BM585" s="4">
        <f>IFERROR(VLOOKUP(TEXT($B$3,"yyyymmdd")&amp;"_"&amp;TEXT(574,"0000"),RawData!$A$2:$F$1441,5,FALSE),"")</f>
        <v>0</v>
      </c>
      <c r="BN585" s="4">
        <f t="shared" si="10"/>
        <v>1</v>
      </c>
    </row>
    <row r="586" spans="63:66" x14ac:dyDescent="0.6">
      <c r="BK586" s="4" t="str">
        <f>IFERROR(VLOOKUP(TEXT($B$3,"yyyymmdd")&amp;"_"&amp;TEXT(575,"0000"),RawData!$A$2:$F$1441,4,FALSE),"")</f>
        <v>14</v>
      </c>
      <c r="BL586" s="19">
        <f>TIME(0,0,0)+575/1440</f>
        <v>0.39930555555555558</v>
      </c>
      <c r="BM586" s="4">
        <f>IFERROR(VLOOKUP(TEXT($B$3,"yyyymmdd")&amp;"_"&amp;TEXT(575,"0000"),RawData!$A$2:$F$1441,5,FALSE),"")</f>
        <v>0</v>
      </c>
      <c r="BN586" s="4">
        <f t="shared" si="10"/>
        <v>1</v>
      </c>
    </row>
    <row r="587" spans="63:66" x14ac:dyDescent="0.6">
      <c r="BK587" s="4" t="str">
        <f>IFERROR(VLOOKUP(TEXT($B$3,"yyyymmdd")&amp;"_"&amp;TEXT(576,"0000"),RawData!$A$2:$F$1441,4,FALSE),"")</f>
        <v>14</v>
      </c>
      <c r="BL587" s="19">
        <f>TIME(0,0,0)+576/1440</f>
        <v>0.4</v>
      </c>
      <c r="BM587" s="4">
        <f>IFERROR(VLOOKUP(TEXT($B$3,"yyyymmdd")&amp;"_"&amp;TEXT(576,"0000"),RawData!$A$2:$F$1441,5,FALSE),"")</f>
        <v>0</v>
      </c>
      <c r="BN587" s="4">
        <f t="shared" si="10"/>
        <v>1</v>
      </c>
    </row>
    <row r="588" spans="63:66" x14ac:dyDescent="0.6">
      <c r="BK588" s="4" t="str">
        <f>IFERROR(VLOOKUP(TEXT($B$3,"yyyymmdd")&amp;"_"&amp;TEXT(577,"0000"),RawData!$A$2:$F$1441,4,FALSE),"")</f>
        <v>14</v>
      </c>
      <c r="BL588" s="19">
        <f>TIME(0,0,0)+577/1440</f>
        <v>0.40069444444444446</v>
      </c>
      <c r="BM588" s="4">
        <f>IFERROR(VLOOKUP(TEXT($B$3,"yyyymmdd")&amp;"_"&amp;TEXT(577,"0000"),RawData!$A$2:$F$1441,5,FALSE),"")</f>
        <v>0</v>
      </c>
      <c r="BN588" s="4">
        <f t="shared" si="10"/>
        <v>0</v>
      </c>
    </row>
    <row r="589" spans="63:66" x14ac:dyDescent="0.6">
      <c r="BK589" s="4" t="str">
        <f>IFERROR(VLOOKUP(TEXT($B$3,"yyyymmdd")&amp;"_"&amp;TEXT(578,"0000"),RawData!$A$2:$F$1441,4,FALSE),"")</f>
        <v>14</v>
      </c>
      <c r="BL589" s="19">
        <f>TIME(0,0,0)+578/1440</f>
        <v>0.40138888888888891</v>
      </c>
      <c r="BM589" s="4">
        <f>IFERROR(VLOOKUP(TEXT($B$3,"yyyymmdd")&amp;"_"&amp;TEXT(578,"0000"),RawData!$A$2:$F$1441,5,FALSE),"")</f>
        <v>0</v>
      </c>
      <c r="BN589" s="4">
        <f t="shared" si="10"/>
        <v>0</v>
      </c>
    </row>
    <row r="590" spans="63:66" x14ac:dyDescent="0.6">
      <c r="BK590" s="4" t="str">
        <f>IFERROR(VLOOKUP(TEXT($B$3,"yyyymmdd")&amp;"_"&amp;TEXT(579,"0000"),RawData!$A$2:$F$1441,4,FALSE),"")</f>
        <v>14</v>
      </c>
      <c r="BL590" s="19">
        <f>TIME(0,0,0)+579/1440</f>
        <v>0.40208333333333335</v>
      </c>
      <c r="BM590" s="4">
        <f>IFERROR(VLOOKUP(TEXT($B$3,"yyyymmdd")&amp;"_"&amp;TEXT(579,"0000"),RawData!$A$2:$F$1441,5,FALSE),"")</f>
        <v>0</v>
      </c>
      <c r="BN590" s="4">
        <f t="shared" si="10"/>
        <v>0</v>
      </c>
    </row>
    <row r="591" spans="63:66" x14ac:dyDescent="0.6">
      <c r="BK591" s="4" t="str">
        <f>IFERROR(VLOOKUP(TEXT($B$3,"yyyymmdd")&amp;"_"&amp;TEXT(580,"0000"),RawData!$A$2:$F$1441,4,FALSE),"")</f>
        <v>14</v>
      </c>
      <c r="BL591" s="19">
        <f>TIME(0,0,0)+580/1440</f>
        <v>0.40277777777777779</v>
      </c>
      <c r="BM591" s="4">
        <f>IFERROR(VLOOKUP(TEXT($B$3,"yyyymmdd")&amp;"_"&amp;TEXT(580,"0000"),RawData!$A$2:$F$1441,5,FALSE),"")</f>
        <v>0</v>
      </c>
      <c r="BN591" s="4">
        <f t="shared" si="10"/>
        <v>0</v>
      </c>
    </row>
    <row r="592" spans="63:66" x14ac:dyDescent="0.6">
      <c r="BK592" s="4" t="str">
        <f>IFERROR(VLOOKUP(TEXT($B$3,"yyyymmdd")&amp;"_"&amp;TEXT(581,"0000"),RawData!$A$2:$F$1441,4,FALSE),"")</f>
        <v>14</v>
      </c>
      <c r="BL592" s="19">
        <f>TIME(0,0,0)+581/1440</f>
        <v>0.40347222222222223</v>
      </c>
      <c r="BM592" s="4">
        <f>IFERROR(VLOOKUP(TEXT($B$3,"yyyymmdd")&amp;"_"&amp;TEXT(581,"0000"),RawData!$A$2:$F$1441,5,FALSE),"")</f>
        <v>0</v>
      </c>
      <c r="BN592" s="4">
        <f t="shared" si="10"/>
        <v>0</v>
      </c>
    </row>
    <row r="593" spans="63:66" x14ac:dyDescent="0.6">
      <c r="BK593" s="4" t="str">
        <f>IFERROR(VLOOKUP(TEXT($B$3,"yyyymmdd")&amp;"_"&amp;TEXT(582,"0000"),RawData!$A$2:$F$1441,4,FALSE),"")</f>
        <v>14</v>
      </c>
      <c r="BL593" s="19">
        <f>TIME(0,0,0)+582/1440</f>
        <v>0.40416666666666667</v>
      </c>
      <c r="BM593" s="4">
        <f>IFERROR(VLOOKUP(TEXT($B$3,"yyyymmdd")&amp;"_"&amp;TEXT(582,"0000"),RawData!$A$2:$F$1441,5,FALSE),"")</f>
        <v>0</v>
      </c>
      <c r="BN593" s="4">
        <f t="shared" si="10"/>
        <v>0</v>
      </c>
    </row>
    <row r="594" spans="63:66" x14ac:dyDescent="0.6">
      <c r="BK594" s="4" t="str">
        <f>IFERROR(VLOOKUP(TEXT($B$3,"yyyymmdd")&amp;"_"&amp;TEXT(583,"0000"),RawData!$A$2:$F$1441,4,FALSE),"")</f>
        <v>14</v>
      </c>
      <c r="BL594" s="19">
        <f>TIME(0,0,0)+583/1440</f>
        <v>0.40486111111111112</v>
      </c>
      <c r="BM594" s="4">
        <f>IFERROR(VLOOKUP(TEXT($B$3,"yyyymmdd")&amp;"_"&amp;TEXT(583,"0000"),RawData!$A$2:$F$1441,5,FALSE),"")</f>
        <v>0</v>
      </c>
      <c r="BN594" s="4">
        <f t="shared" si="10"/>
        <v>0</v>
      </c>
    </row>
    <row r="595" spans="63:66" x14ac:dyDescent="0.6">
      <c r="BK595" s="4" t="str">
        <f>IFERROR(VLOOKUP(TEXT($B$3,"yyyymmdd")&amp;"_"&amp;TEXT(584,"0000"),RawData!$A$2:$F$1441,4,FALSE),"")</f>
        <v>00</v>
      </c>
      <c r="BL595" s="19">
        <f>TIME(0,0,0)+584/1440</f>
        <v>0.40555555555555556</v>
      </c>
      <c r="BM595" s="4">
        <f>IFERROR(VLOOKUP(TEXT($B$3,"yyyymmdd")&amp;"_"&amp;TEXT(584,"0000"),RawData!$A$2:$F$1441,5,FALSE),"")</f>
        <v>0</v>
      </c>
      <c r="BN595" s="4">
        <f t="shared" si="10"/>
        <v>0</v>
      </c>
    </row>
    <row r="596" spans="63:66" x14ac:dyDescent="0.6">
      <c r="BK596" s="4" t="str">
        <f>IFERROR(VLOOKUP(TEXT($B$3,"yyyymmdd")&amp;"_"&amp;TEXT(585,"0000"),RawData!$A$2:$F$1441,4,FALSE),"")</f>
        <v>00</v>
      </c>
      <c r="BL596" s="19">
        <f>TIME(0,0,0)+585/1440</f>
        <v>0.40625</v>
      </c>
      <c r="BM596" s="4">
        <f>IFERROR(VLOOKUP(TEXT($B$3,"yyyymmdd")&amp;"_"&amp;TEXT(585,"0000"),RawData!$A$2:$F$1441,5,FALSE),"")</f>
        <v>0</v>
      </c>
      <c r="BN596" s="4">
        <f t="shared" si="10"/>
        <v>0</v>
      </c>
    </row>
    <row r="597" spans="63:66" x14ac:dyDescent="0.6">
      <c r="BK597" s="4" t="str">
        <f>IFERROR(VLOOKUP(TEXT($B$3,"yyyymmdd")&amp;"_"&amp;TEXT(586,"0000"),RawData!$A$2:$F$1441,4,FALSE),"")</f>
        <v>1E</v>
      </c>
      <c r="BL597" s="19">
        <f>TIME(0,0,0)+586/1440</f>
        <v>0.40694444444444444</v>
      </c>
      <c r="BM597" s="4">
        <f>IFERROR(VLOOKUP(TEXT($B$3,"yyyymmdd")&amp;"_"&amp;TEXT(586,"0000"),RawData!$A$2:$F$1441,5,FALSE),"")</f>
        <v>0</v>
      </c>
      <c r="BN597" s="4">
        <f t="shared" si="10"/>
        <v>0</v>
      </c>
    </row>
    <row r="598" spans="63:66" x14ac:dyDescent="0.6">
      <c r="BK598" s="4" t="str">
        <f>IFERROR(VLOOKUP(TEXT($B$3,"yyyymmdd")&amp;"_"&amp;TEXT(587,"0000"),RawData!$A$2:$F$1441,4,FALSE),"")</f>
        <v>00</v>
      </c>
      <c r="BL598" s="19">
        <f>TIME(0,0,0)+587/1440</f>
        <v>0.40763888888888888</v>
      </c>
      <c r="BM598" s="4">
        <f>IFERROR(VLOOKUP(TEXT($B$3,"yyyymmdd")&amp;"_"&amp;TEXT(587,"0000"),RawData!$A$2:$F$1441,5,FALSE),"")</f>
        <v>0</v>
      </c>
      <c r="BN598" s="4">
        <f t="shared" si="10"/>
        <v>0</v>
      </c>
    </row>
    <row r="599" spans="63:66" x14ac:dyDescent="0.6">
      <c r="BK599" s="4" t="str">
        <f>IFERROR(VLOOKUP(TEXT($B$3,"yyyymmdd")&amp;"_"&amp;TEXT(588,"0000"),RawData!$A$2:$F$1441,4,FALSE),"")</f>
        <v>00</v>
      </c>
      <c r="BL599" s="19">
        <f>TIME(0,0,0)+588/1440</f>
        <v>0.40833333333333333</v>
      </c>
      <c r="BM599" s="4">
        <f>IFERROR(VLOOKUP(TEXT($B$3,"yyyymmdd")&amp;"_"&amp;TEXT(588,"0000"),RawData!$A$2:$F$1441,5,FALSE),"")</f>
        <v>0</v>
      </c>
      <c r="BN599" s="4">
        <f t="shared" si="10"/>
        <v>0</v>
      </c>
    </row>
    <row r="600" spans="63:66" x14ac:dyDescent="0.6">
      <c r="BK600" s="4" t="str">
        <f>IFERROR(VLOOKUP(TEXT($B$3,"yyyymmdd")&amp;"_"&amp;TEXT(589,"0000"),RawData!$A$2:$F$1441,4,FALSE),"")</f>
        <v>14</v>
      </c>
      <c r="BL600" s="19">
        <f>TIME(0,0,0)+589/1440</f>
        <v>0.40902777777777777</v>
      </c>
      <c r="BM600" s="4">
        <f>IFERROR(VLOOKUP(TEXT($B$3,"yyyymmdd")&amp;"_"&amp;TEXT(589,"0000"),RawData!$A$2:$F$1441,5,FALSE),"")</f>
        <v>0</v>
      </c>
      <c r="BN600" s="4">
        <f t="shared" si="10"/>
        <v>0</v>
      </c>
    </row>
    <row r="601" spans="63:66" x14ac:dyDescent="0.6">
      <c r="BK601" s="4" t="str">
        <f>IFERROR(VLOOKUP(TEXT($B$3,"yyyymmdd")&amp;"_"&amp;TEXT(590,"0000"),RawData!$A$2:$F$1441,4,FALSE),"")</f>
        <v>14</v>
      </c>
      <c r="BL601" s="19">
        <f>TIME(0,0,0)+590/1440</f>
        <v>0.40972222222222221</v>
      </c>
      <c r="BM601" s="4">
        <f>IFERROR(VLOOKUP(TEXT($B$3,"yyyymmdd")&amp;"_"&amp;TEXT(590,"0000"),RawData!$A$2:$F$1441,5,FALSE),"")</f>
        <v>0</v>
      </c>
      <c r="BN601" s="4">
        <f t="shared" si="10"/>
        <v>1</v>
      </c>
    </row>
    <row r="602" spans="63:66" x14ac:dyDescent="0.6">
      <c r="BK602" s="4" t="str">
        <f>IFERROR(VLOOKUP(TEXT($B$3,"yyyymmdd")&amp;"_"&amp;TEXT(591,"0000"),RawData!$A$2:$F$1441,4,FALSE),"")</f>
        <v>14</v>
      </c>
      <c r="BL602" s="19">
        <f>TIME(0,0,0)+591/1440</f>
        <v>0.41041666666666665</v>
      </c>
      <c r="BM602" s="4">
        <f>IFERROR(VLOOKUP(TEXT($B$3,"yyyymmdd")&amp;"_"&amp;TEXT(591,"0000"),RawData!$A$2:$F$1441,5,FALSE),"")</f>
        <v>0</v>
      </c>
      <c r="BN602" s="4">
        <f t="shared" si="10"/>
        <v>0</v>
      </c>
    </row>
    <row r="603" spans="63:66" x14ac:dyDescent="0.6">
      <c r="BK603" s="4" t="str">
        <f>IFERROR(VLOOKUP(TEXT($B$3,"yyyymmdd")&amp;"_"&amp;TEXT(592,"0000"),RawData!$A$2:$F$1441,4,FALSE),"")</f>
        <v>14</v>
      </c>
      <c r="BL603" s="19">
        <f>TIME(0,0,0)+592/1440</f>
        <v>0.41111111111111109</v>
      </c>
      <c r="BM603" s="4">
        <f>IFERROR(VLOOKUP(TEXT($B$3,"yyyymmdd")&amp;"_"&amp;TEXT(592,"0000"),RawData!$A$2:$F$1441,5,FALSE),"")</f>
        <v>0</v>
      </c>
      <c r="BN603" s="4">
        <f t="shared" si="10"/>
        <v>1</v>
      </c>
    </row>
    <row r="604" spans="63:66" x14ac:dyDescent="0.6">
      <c r="BK604" s="4" t="str">
        <f>IFERROR(VLOOKUP(TEXT($B$3,"yyyymmdd")&amp;"_"&amp;TEXT(593,"0000"),RawData!$A$2:$F$1441,4,FALSE),"")</f>
        <v>14</v>
      </c>
      <c r="BL604" s="19">
        <f>TIME(0,0,0)+593/1440</f>
        <v>0.41180555555555554</v>
      </c>
      <c r="BM604" s="4">
        <f>IFERROR(VLOOKUP(TEXT($B$3,"yyyymmdd")&amp;"_"&amp;TEXT(593,"0000"),RawData!$A$2:$F$1441,5,FALSE),"")</f>
        <v>0</v>
      </c>
      <c r="BN604" s="4">
        <f t="shared" si="10"/>
        <v>1</v>
      </c>
    </row>
    <row r="605" spans="63:66" x14ac:dyDescent="0.6">
      <c r="BK605" s="4" t="str">
        <f>IFERROR(VLOOKUP(TEXT($B$3,"yyyymmdd")&amp;"_"&amp;TEXT(594,"0000"),RawData!$A$2:$F$1441,4,FALSE),"")</f>
        <v>14</v>
      </c>
      <c r="BL605" s="19">
        <f>TIME(0,0,0)+594/1440</f>
        <v>0.41249999999999998</v>
      </c>
      <c r="BM605" s="4">
        <f>IFERROR(VLOOKUP(TEXT($B$3,"yyyymmdd")&amp;"_"&amp;TEXT(594,"0000"),RawData!$A$2:$F$1441,5,FALSE),"")</f>
        <v>0</v>
      </c>
      <c r="BN605" s="4">
        <f t="shared" si="10"/>
        <v>0</v>
      </c>
    </row>
    <row r="606" spans="63:66" x14ac:dyDescent="0.6">
      <c r="BK606" s="4" t="str">
        <f>IFERROR(VLOOKUP(TEXT($B$3,"yyyymmdd")&amp;"_"&amp;TEXT(595,"0000"),RawData!$A$2:$F$1441,4,FALSE),"")</f>
        <v>14</v>
      </c>
      <c r="BL606" s="19">
        <f>TIME(0,0,0)+595/1440</f>
        <v>0.41319444444444442</v>
      </c>
      <c r="BM606" s="4">
        <f>IFERROR(VLOOKUP(TEXT($B$3,"yyyymmdd")&amp;"_"&amp;TEXT(595,"0000"),RawData!$A$2:$F$1441,5,FALSE),"")</f>
        <v>0</v>
      </c>
      <c r="BN606" s="4">
        <f t="shared" si="10"/>
        <v>1</v>
      </c>
    </row>
    <row r="607" spans="63:66" x14ac:dyDescent="0.6">
      <c r="BK607" s="4" t="str">
        <f>IFERROR(VLOOKUP(TEXT($B$3,"yyyymmdd")&amp;"_"&amp;TEXT(596,"0000"),RawData!$A$2:$F$1441,4,FALSE),"")</f>
        <v>14</v>
      </c>
      <c r="BL607" s="19">
        <f>TIME(0,0,0)+596/1440</f>
        <v>0.41388888888888886</v>
      </c>
      <c r="BM607" s="4">
        <f>IFERROR(VLOOKUP(TEXT($B$3,"yyyymmdd")&amp;"_"&amp;TEXT(596,"0000"),RawData!$A$2:$F$1441,5,FALSE),"")</f>
        <v>0</v>
      </c>
      <c r="BN607" s="4">
        <f t="shared" si="10"/>
        <v>0</v>
      </c>
    </row>
    <row r="608" spans="63:66" x14ac:dyDescent="0.6">
      <c r="BK608" s="4" t="str">
        <f>IFERROR(VLOOKUP(TEXT($B$3,"yyyymmdd")&amp;"_"&amp;TEXT(597,"0000"),RawData!$A$2:$F$1441,4,FALSE),"")</f>
        <v>14</v>
      </c>
      <c r="BL608" s="19">
        <f>TIME(0,0,0)+597/1440</f>
        <v>0.41458333333333336</v>
      </c>
      <c r="BM608" s="4">
        <f>IFERROR(VLOOKUP(TEXT($B$3,"yyyymmdd")&amp;"_"&amp;TEXT(597,"0000"),RawData!$A$2:$F$1441,5,FALSE),"")</f>
        <v>0</v>
      </c>
      <c r="BN608" s="4">
        <f t="shared" si="10"/>
        <v>0</v>
      </c>
    </row>
    <row r="609" spans="63:66" x14ac:dyDescent="0.6">
      <c r="BK609" s="4" t="str">
        <f>IFERROR(VLOOKUP(TEXT($B$3,"yyyymmdd")&amp;"_"&amp;TEXT(598,"0000"),RawData!$A$2:$F$1441,4,FALSE),"")</f>
        <v>14</v>
      </c>
      <c r="BL609" s="19">
        <f>TIME(0,0,0)+598/1440</f>
        <v>0.4152777777777778</v>
      </c>
      <c r="BM609" s="4">
        <f>IFERROR(VLOOKUP(TEXT($B$3,"yyyymmdd")&amp;"_"&amp;TEXT(598,"0000"),RawData!$A$2:$F$1441,5,FALSE),"")</f>
        <v>0</v>
      </c>
      <c r="BN609" s="4">
        <f t="shared" si="10"/>
        <v>0</v>
      </c>
    </row>
    <row r="610" spans="63:66" x14ac:dyDescent="0.6">
      <c r="BK610" s="4" t="str">
        <f>IFERROR(VLOOKUP(TEXT($B$3,"yyyymmdd")&amp;"_"&amp;TEXT(599,"0000"),RawData!$A$2:$F$1441,4,FALSE),"")</f>
        <v>14</v>
      </c>
      <c r="BL610" s="19">
        <f>TIME(0,0,0)+599/1440</f>
        <v>0.41597222222222224</v>
      </c>
      <c r="BM610" s="4">
        <f>IFERROR(VLOOKUP(TEXT($B$3,"yyyymmdd")&amp;"_"&amp;TEXT(599,"0000"),RawData!$A$2:$F$1441,5,FALSE),"")</f>
        <v>0</v>
      </c>
      <c r="BN610" s="4">
        <f t="shared" si="10"/>
        <v>0</v>
      </c>
    </row>
    <row r="611" spans="63:66" x14ac:dyDescent="0.6">
      <c r="BK611" s="4" t="str">
        <f>IFERROR(VLOOKUP(TEXT($B$3,"yyyymmdd")&amp;"_"&amp;TEXT(600,"0000"),RawData!$A$2:$F$1441,4,FALSE),"")</f>
        <v>14</v>
      </c>
      <c r="BL611" s="19">
        <f>TIME(0,0,0)+600/1440</f>
        <v>0.41666666666666669</v>
      </c>
      <c r="BM611" s="4">
        <f>IFERROR(VLOOKUP(TEXT($B$3,"yyyymmdd")&amp;"_"&amp;TEXT(600,"0000"),RawData!$A$2:$F$1441,5,FALSE),"")</f>
        <v>0</v>
      </c>
      <c r="BN611" s="4">
        <f t="shared" si="10"/>
        <v>0</v>
      </c>
    </row>
    <row r="612" spans="63:66" x14ac:dyDescent="0.6">
      <c r="BK612" s="4" t="str">
        <f>IFERROR(VLOOKUP(TEXT($B$3,"yyyymmdd")&amp;"_"&amp;TEXT(601,"0000"),RawData!$A$2:$F$1441,4,FALSE),"")</f>
        <v>1E</v>
      </c>
      <c r="BL612" s="19">
        <f>TIME(0,0,0)+601/1440</f>
        <v>0.41736111111111113</v>
      </c>
      <c r="BM612" s="4">
        <f>IFERROR(VLOOKUP(TEXT($B$3,"yyyymmdd")&amp;"_"&amp;TEXT(601,"0000"),RawData!$A$2:$F$1441,5,FALSE),"")</f>
        <v>0</v>
      </c>
      <c r="BN612" s="4">
        <f t="shared" si="10"/>
        <v>0</v>
      </c>
    </row>
    <row r="613" spans="63:66" x14ac:dyDescent="0.6">
      <c r="BK613" s="4" t="str">
        <f>IFERROR(VLOOKUP(TEXT($B$3,"yyyymmdd")&amp;"_"&amp;TEXT(602,"0000"),RawData!$A$2:$F$1441,4,FALSE),"")</f>
        <v>00</v>
      </c>
      <c r="BL613" s="19">
        <f>TIME(0,0,0)+602/1440</f>
        <v>0.41805555555555557</v>
      </c>
      <c r="BM613" s="4">
        <f>IFERROR(VLOOKUP(TEXT($B$3,"yyyymmdd")&amp;"_"&amp;TEXT(602,"0000"),RawData!$A$2:$F$1441,5,FALSE),"")</f>
        <v>0</v>
      </c>
      <c r="BN613" s="4">
        <f t="shared" si="10"/>
        <v>0</v>
      </c>
    </row>
    <row r="614" spans="63:66" x14ac:dyDescent="0.6">
      <c r="BK614" s="4" t="str">
        <f>IFERROR(VLOOKUP(TEXT($B$3,"yyyymmdd")&amp;"_"&amp;TEXT(603,"0000"),RawData!$A$2:$F$1441,4,FALSE),"")</f>
        <v>00</v>
      </c>
      <c r="BL614" s="19">
        <f>TIME(0,0,0)+603/1440</f>
        <v>0.41875000000000001</v>
      </c>
      <c r="BM614" s="4">
        <f>IFERROR(VLOOKUP(TEXT($B$3,"yyyymmdd")&amp;"_"&amp;TEXT(603,"0000"),RawData!$A$2:$F$1441,5,FALSE),"")</f>
        <v>0</v>
      </c>
      <c r="BN614" s="4">
        <f t="shared" si="10"/>
        <v>0</v>
      </c>
    </row>
    <row r="615" spans="63:66" x14ac:dyDescent="0.6">
      <c r="BK615" s="4" t="str">
        <f>IFERROR(VLOOKUP(TEXT($B$3,"yyyymmdd")&amp;"_"&amp;TEXT(604,"0000"),RawData!$A$2:$F$1441,4,FALSE),"")</f>
        <v>00</v>
      </c>
      <c r="BL615" s="19">
        <f>TIME(0,0,0)+604/1440</f>
        <v>0.41944444444444445</v>
      </c>
      <c r="BM615" s="4">
        <f>IFERROR(VLOOKUP(TEXT($B$3,"yyyymmdd")&amp;"_"&amp;TEXT(604,"0000"),RawData!$A$2:$F$1441,5,FALSE),"")</f>
        <v>0</v>
      </c>
      <c r="BN615" s="4">
        <f t="shared" si="10"/>
        <v>0</v>
      </c>
    </row>
    <row r="616" spans="63:66" x14ac:dyDescent="0.6">
      <c r="BK616" s="4" t="str">
        <f>IFERROR(VLOOKUP(TEXT($B$3,"yyyymmdd")&amp;"_"&amp;TEXT(605,"0000"),RawData!$A$2:$F$1441,4,FALSE),"")</f>
        <v>00</v>
      </c>
      <c r="BL616" s="19">
        <f>TIME(0,0,0)+605/1440</f>
        <v>0.4201388888888889</v>
      </c>
      <c r="BM616" s="4">
        <f>IFERROR(VLOOKUP(TEXT($B$3,"yyyymmdd")&amp;"_"&amp;TEXT(605,"0000"),RawData!$A$2:$F$1441,5,FALSE),"")</f>
        <v>0</v>
      </c>
      <c r="BN616" s="4">
        <f t="shared" si="10"/>
        <v>0</v>
      </c>
    </row>
    <row r="617" spans="63:66" x14ac:dyDescent="0.6">
      <c r="BK617" s="4" t="str">
        <f>IFERROR(VLOOKUP(TEXT($B$3,"yyyymmdd")&amp;"_"&amp;TEXT(606,"0000"),RawData!$A$2:$F$1441,4,FALSE),"")</f>
        <v>00</v>
      </c>
      <c r="BL617" s="19">
        <f>TIME(0,0,0)+606/1440</f>
        <v>0.42083333333333334</v>
      </c>
      <c r="BM617" s="4">
        <f>IFERROR(VLOOKUP(TEXT($B$3,"yyyymmdd")&amp;"_"&amp;TEXT(606,"0000"),RawData!$A$2:$F$1441,5,FALSE),"")</f>
        <v>0</v>
      </c>
      <c r="BN617" s="4">
        <f t="shared" si="10"/>
        <v>0</v>
      </c>
    </row>
    <row r="618" spans="63:66" x14ac:dyDescent="0.6">
      <c r="BK618" s="4" t="str">
        <f>IFERROR(VLOOKUP(TEXT($B$3,"yyyymmdd")&amp;"_"&amp;TEXT(607,"0000"),RawData!$A$2:$F$1441,4,FALSE),"")</f>
        <v>00</v>
      </c>
      <c r="BL618" s="19">
        <f>TIME(0,0,0)+607/1440</f>
        <v>0.42152777777777778</v>
      </c>
      <c r="BM618" s="4">
        <f>IFERROR(VLOOKUP(TEXT($B$3,"yyyymmdd")&amp;"_"&amp;TEXT(607,"0000"),RawData!$A$2:$F$1441,5,FALSE),"")</f>
        <v>0</v>
      </c>
      <c r="BN618" s="4">
        <f t="shared" si="10"/>
        <v>1</v>
      </c>
    </row>
    <row r="619" spans="63:66" x14ac:dyDescent="0.6">
      <c r="BK619" s="4" t="str">
        <f>IFERROR(VLOOKUP(TEXT($B$3,"yyyymmdd")&amp;"_"&amp;TEXT(608,"0000"),RawData!$A$2:$F$1441,4,FALSE),"")</f>
        <v>00</v>
      </c>
      <c r="BL619" s="19">
        <f>TIME(0,0,0)+608/1440</f>
        <v>0.42222222222222222</v>
      </c>
      <c r="BM619" s="4">
        <f>IFERROR(VLOOKUP(TEXT($B$3,"yyyymmdd")&amp;"_"&amp;TEXT(608,"0000"),RawData!$A$2:$F$1441,5,FALSE),"")</f>
        <v>0</v>
      </c>
      <c r="BN619" s="4">
        <f t="shared" si="10"/>
        <v>1</v>
      </c>
    </row>
    <row r="620" spans="63:66" x14ac:dyDescent="0.6">
      <c r="BK620" s="4" t="str">
        <f>IFERROR(VLOOKUP(TEXT($B$3,"yyyymmdd")&amp;"_"&amp;TEXT(609,"0000"),RawData!$A$2:$F$1441,4,FALSE),"")</f>
        <v>00</v>
      </c>
      <c r="BL620" s="19">
        <f>TIME(0,0,0)+609/1440</f>
        <v>0.42291666666666666</v>
      </c>
      <c r="BM620" s="4">
        <f>IFERROR(VLOOKUP(TEXT($B$3,"yyyymmdd")&amp;"_"&amp;TEXT(609,"0000"),RawData!$A$2:$F$1441,5,FALSE),"")</f>
        <v>0</v>
      </c>
      <c r="BN620" s="4">
        <f t="shared" si="10"/>
        <v>0</v>
      </c>
    </row>
    <row r="621" spans="63:66" x14ac:dyDescent="0.6">
      <c r="BK621" s="4" t="str">
        <f>IFERROR(VLOOKUP(TEXT($B$3,"yyyymmdd")&amp;"_"&amp;TEXT(610,"0000"),RawData!$A$2:$F$1441,4,FALSE),"")</f>
        <v>00</v>
      </c>
      <c r="BL621" s="19">
        <f>TIME(0,0,0)+610/1440</f>
        <v>0.4236111111111111</v>
      </c>
      <c r="BM621" s="4">
        <f>IFERROR(VLOOKUP(TEXT($B$3,"yyyymmdd")&amp;"_"&amp;TEXT(610,"0000"),RawData!$A$2:$F$1441,5,FALSE),"")</f>
        <v>0</v>
      </c>
      <c r="BN621" s="4">
        <f t="shared" si="10"/>
        <v>0</v>
      </c>
    </row>
    <row r="622" spans="63:66" x14ac:dyDescent="0.6">
      <c r="BK622" s="4" t="str">
        <f>IFERROR(VLOOKUP(TEXT($B$3,"yyyymmdd")&amp;"_"&amp;TEXT(611,"0000"),RawData!$A$2:$F$1441,4,FALSE),"")</f>
        <v>0A</v>
      </c>
      <c r="BL622" s="19">
        <f>TIME(0,0,0)+611/1440</f>
        <v>0.42430555555555555</v>
      </c>
      <c r="BM622" s="4">
        <f>IFERROR(VLOOKUP(TEXT($B$3,"yyyymmdd")&amp;"_"&amp;TEXT(611,"0000"),RawData!$A$2:$F$1441,5,FALSE),"")</f>
        <v>0</v>
      </c>
      <c r="BN622" s="4">
        <f t="shared" si="10"/>
        <v>0</v>
      </c>
    </row>
    <row r="623" spans="63:66" x14ac:dyDescent="0.6">
      <c r="BK623" s="4" t="str">
        <f>IFERROR(VLOOKUP(TEXT($B$3,"yyyymmdd")&amp;"_"&amp;TEXT(612,"0000"),RawData!$A$2:$F$1441,4,FALSE),"")</f>
        <v>1E</v>
      </c>
      <c r="BL623" s="19">
        <f>TIME(0,0,0)+612/1440</f>
        <v>0.42499999999999999</v>
      </c>
      <c r="BM623" s="4">
        <f>IFERROR(VLOOKUP(TEXT($B$3,"yyyymmdd")&amp;"_"&amp;TEXT(612,"0000"),RawData!$A$2:$F$1441,5,FALSE),"")</f>
        <v>0</v>
      </c>
      <c r="BN623" s="4">
        <f t="shared" si="10"/>
        <v>0</v>
      </c>
    </row>
    <row r="624" spans="63:66" x14ac:dyDescent="0.6">
      <c r="BK624" s="4" t="str">
        <f>IFERROR(VLOOKUP(TEXT($B$3,"yyyymmdd")&amp;"_"&amp;TEXT(613,"0000"),RawData!$A$2:$F$1441,4,FALSE),"")</f>
        <v>1E</v>
      </c>
      <c r="BL624" s="19">
        <f>TIME(0,0,0)+613/1440</f>
        <v>0.42569444444444443</v>
      </c>
      <c r="BM624" s="4">
        <f>IFERROR(VLOOKUP(TEXT($B$3,"yyyymmdd")&amp;"_"&amp;TEXT(613,"0000"),RawData!$A$2:$F$1441,5,FALSE),"")</f>
        <v>0</v>
      </c>
      <c r="BN624" s="4">
        <f t="shared" ref="BN624:BN687" si="11">IF(BK618="","",IF(BK618&lt;&gt;BK617,1,0))</f>
        <v>0</v>
      </c>
    </row>
    <row r="625" spans="63:66" x14ac:dyDescent="0.6">
      <c r="BK625" s="4" t="str">
        <f>IFERROR(VLOOKUP(TEXT($B$3,"yyyymmdd")&amp;"_"&amp;TEXT(614,"0000"),RawData!$A$2:$F$1441,4,FALSE),"")</f>
        <v>0A</v>
      </c>
      <c r="BL625" s="19">
        <f>TIME(0,0,0)+614/1440</f>
        <v>0.42638888888888887</v>
      </c>
      <c r="BM625" s="4">
        <f>IFERROR(VLOOKUP(TEXT($B$3,"yyyymmdd")&amp;"_"&amp;TEXT(614,"0000"),RawData!$A$2:$F$1441,5,FALSE),"")</f>
        <v>0</v>
      </c>
      <c r="BN625" s="4">
        <f t="shared" si="11"/>
        <v>0</v>
      </c>
    </row>
    <row r="626" spans="63:66" x14ac:dyDescent="0.6">
      <c r="BK626" s="4" t="str">
        <f>IFERROR(VLOOKUP(TEXT($B$3,"yyyymmdd")&amp;"_"&amp;TEXT(615,"0000"),RawData!$A$2:$F$1441,4,FALSE),"")</f>
        <v>0A</v>
      </c>
      <c r="BL626" s="19">
        <f>TIME(0,0,0)+615/1440</f>
        <v>0.42708333333333331</v>
      </c>
      <c r="BM626" s="4">
        <f>IFERROR(VLOOKUP(TEXT($B$3,"yyyymmdd")&amp;"_"&amp;TEXT(615,"0000"),RawData!$A$2:$F$1441,5,FALSE),"")</f>
        <v>0</v>
      </c>
      <c r="BN626" s="4">
        <f t="shared" si="11"/>
        <v>0</v>
      </c>
    </row>
    <row r="627" spans="63:66" x14ac:dyDescent="0.6">
      <c r="BK627" s="4" t="str">
        <f>IFERROR(VLOOKUP(TEXT($B$3,"yyyymmdd")&amp;"_"&amp;TEXT(616,"0000"),RawData!$A$2:$F$1441,4,FALSE),"")</f>
        <v>0A</v>
      </c>
      <c r="BL627" s="19">
        <f>TIME(0,0,0)+616/1440</f>
        <v>0.42777777777777776</v>
      </c>
      <c r="BM627" s="4">
        <f>IFERROR(VLOOKUP(TEXT($B$3,"yyyymmdd")&amp;"_"&amp;TEXT(616,"0000"),RawData!$A$2:$F$1441,5,FALSE),"")</f>
        <v>0</v>
      </c>
      <c r="BN627" s="4">
        <f t="shared" si="11"/>
        <v>0</v>
      </c>
    </row>
    <row r="628" spans="63:66" x14ac:dyDescent="0.6">
      <c r="BK628" s="4" t="str">
        <f>IFERROR(VLOOKUP(TEXT($B$3,"yyyymmdd")&amp;"_"&amp;TEXT(617,"0000"),RawData!$A$2:$F$1441,4,FALSE),"")</f>
        <v>0A</v>
      </c>
      <c r="BL628" s="19">
        <f>TIME(0,0,0)+617/1440</f>
        <v>0.4284722222222222</v>
      </c>
      <c r="BM628" s="4">
        <f>IFERROR(VLOOKUP(TEXT($B$3,"yyyymmdd")&amp;"_"&amp;TEXT(617,"0000"),RawData!$A$2:$F$1441,5,FALSE),"")</f>
        <v>0</v>
      </c>
      <c r="BN628" s="4">
        <f t="shared" si="11"/>
        <v>1</v>
      </c>
    </row>
    <row r="629" spans="63:66" x14ac:dyDescent="0.6">
      <c r="BK629" s="4" t="str">
        <f>IFERROR(VLOOKUP(TEXT($B$3,"yyyymmdd")&amp;"_"&amp;TEXT(618,"0000"),RawData!$A$2:$F$1441,4,FALSE),"")</f>
        <v>0A</v>
      </c>
      <c r="BL629" s="19">
        <f>TIME(0,0,0)+618/1440</f>
        <v>0.42916666666666664</v>
      </c>
      <c r="BM629" s="4">
        <f>IFERROR(VLOOKUP(TEXT($B$3,"yyyymmdd")&amp;"_"&amp;TEXT(618,"0000"),RawData!$A$2:$F$1441,5,FALSE),"")</f>
        <v>0</v>
      </c>
      <c r="BN629" s="4">
        <f t="shared" si="11"/>
        <v>1</v>
      </c>
    </row>
    <row r="630" spans="63:66" x14ac:dyDescent="0.6">
      <c r="BK630" s="4" t="str">
        <f>IFERROR(VLOOKUP(TEXT($B$3,"yyyymmdd")&amp;"_"&amp;TEXT(619,"0000"),RawData!$A$2:$F$1441,4,FALSE),"")</f>
        <v>0A</v>
      </c>
      <c r="BL630" s="19">
        <f>TIME(0,0,0)+619/1440</f>
        <v>0.42986111111111114</v>
      </c>
      <c r="BM630" s="4">
        <f>IFERROR(VLOOKUP(TEXT($B$3,"yyyymmdd")&amp;"_"&amp;TEXT(619,"0000"),RawData!$A$2:$F$1441,5,FALSE),"")</f>
        <v>0</v>
      </c>
      <c r="BN630" s="4">
        <f t="shared" si="11"/>
        <v>0</v>
      </c>
    </row>
    <row r="631" spans="63:66" x14ac:dyDescent="0.6">
      <c r="BK631" s="4" t="str">
        <f>IFERROR(VLOOKUP(TEXT($B$3,"yyyymmdd")&amp;"_"&amp;TEXT(620,"0000"),RawData!$A$2:$F$1441,4,FALSE),"")</f>
        <v>0A</v>
      </c>
      <c r="BL631" s="19">
        <f>TIME(0,0,0)+620/1440</f>
        <v>0.43055555555555558</v>
      </c>
      <c r="BM631" s="4">
        <f>IFERROR(VLOOKUP(TEXT($B$3,"yyyymmdd")&amp;"_"&amp;TEXT(620,"0000"),RawData!$A$2:$F$1441,5,FALSE),"")</f>
        <v>0</v>
      </c>
      <c r="BN631" s="4">
        <f t="shared" si="11"/>
        <v>1</v>
      </c>
    </row>
    <row r="632" spans="63:66" x14ac:dyDescent="0.6">
      <c r="BK632" s="4" t="str">
        <f>IFERROR(VLOOKUP(TEXT($B$3,"yyyymmdd")&amp;"_"&amp;TEXT(621,"0000"),RawData!$A$2:$F$1441,4,FALSE),"")</f>
        <v>0A</v>
      </c>
      <c r="BL632" s="19">
        <f>TIME(0,0,0)+621/1440</f>
        <v>0.43125000000000002</v>
      </c>
      <c r="BM632" s="4">
        <f>IFERROR(VLOOKUP(TEXT($B$3,"yyyymmdd")&amp;"_"&amp;TEXT(621,"0000"),RawData!$A$2:$F$1441,5,FALSE),"")</f>
        <v>0</v>
      </c>
      <c r="BN632" s="4">
        <f t="shared" si="11"/>
        <v>0</v>
      </c>
    </row>
    <row r="633" spans="63:66" x14ac:dyDescent="0.6">
      <c r="BK633" s="4" t="str">
        <f>IFERROR(VLOOKUP(TEXT($B$3,"yyyymmdd")&amp;"_"&amp;TEXT(622,"0000"),RawData!$A$2:$F$1441,4,FALSE),"")</f>
        <v>0A</v>
      </c>
      <c r="BL633" s="19">
        <f>TIME(0,0,0)+622/1440</f>
        <v>0.43194444444444446</v>
      </c>
      <c r="BM633" s="4">
        <f>IFERROR(VLOOKUP(TEXT($B$3,"yyyymmdd")&amp;"_"&amp;TEXT(622,"0000"),RawData!$A$2:$F$1441,5,FALSE),"")</f>
        <v>0</v>
      </c>
      <c r="BN633" s="4">
        <f t="shared" si="11"/>
        <v>0</v>
      </c>
    </row>
    <row r="634" spans="63:66" x14ac:dyDescent="0.6">
      <c r="BK634" s="4" t="str">
        <f>IFERROR(VLOOKUP(TEXT($B$3,"yyyymmdd")&amp;"_"&amp;TEXT(623,"0000"),RawData!$A$2:$F$1441,4,FALSE),"")</f>
        <v>0A</v>
      </c>
      <c r="BL634" s="19">
        <f>TIME(0,0,0)+623/1440</f>
        <v>0.43263888888888891</v>
      </c>
      <c r="BM634" s="4">
        <f>IFERROR(VLOOKUP(TEXT($B$3,"yyyymmdd")&amp;"_"&amp;TEXT(623,"0000"),RawData!$A$2:$F$1441,5,FALSE),"")</f>
        <v>0</v>
      </c>
      <c r="BN634" s="4">
        <f t="shared" si="11"/>
        <v>0</v>
      </c>
    </row>
    <row r="635" spans="63:66" x14ac:dyDescent="0.6">
      <c r="BK635" s="4" t="str">
        <f>IFERROR(VLOOKUP(TEXT($B$3,"yyyymmdd")&amp;"_"&amp;TEXT(624,"0000"),RawData!$A$2:$F$1441,4,FALSE),"")</f>
        <v>0A</v>
      </c>
      <c r="BL635" s="19">
        <f>TIME(0,0,0)+624/1440</f>
        <v>0.43333333333333335</v>
      </c>
      <c r="BM635" s="4">
        <f>IFERROR(VLOOKUP(TEXT($B$3,"yyyymmdd")&amp;"_"&amp;TEXT(624,"0000"),RawData!$A$2:$F$1441,5,FALSE),"")</f>
        <v>0</v>
      </c>
      <c r="BN635" s="4">
        <f t="shared" si="11"/>
        <v>0</v>
      </c>
    </row>
    <row r="636" spans="63:66" x14ac:dyDescent="0.6">
      <c r="BK636" s="4" t="str">
        <f>IFERROR(VLOOKUP(TEXT($B$3,"yyyymmdd")&amp;"_"&amp;TEXT(625,"0000"),RawData!$A$2:$F$1441,4,FALSE),"")</f>
        <v>01</v>
      </c>
      <c r="BL636" s="19">
        <f>TIME(0,0,0)+625/1440</f>
        <v>0.43402777777777779</v>
      </c>
      <c r="BM636" s="4">
        <f>IFERROR(VLOOKUP(TEXT($B$3,"yyyymmdd")&amp;"_"&amp;TEXT(625,"0000"),RawData!$A$2:$F$1441,5,FALSE),"")</f>
        <v>0.10603757799999999</v>
      </c>
      <c r="BN636" s="4">
        <f t="shared" si="11"/>
        <v>0</v>
      </c>
    </row>
    <row r="637" spans="63:66" x14ac:dyDescent="0.6">
      <c r="BK637" s="4" t="str">
        <f>IFERROR(VLOOKUP(TEXT($B$3,"yyyymmdd")&amp;"_"&amp;TEXT(626,"0000"),RawData!$A$2:$F$1441,4,FALSE),"")</f>
        <v>00</v>
      </c>
      <c r="BL637" s="19">
        <f>TIME(0,0,0)+626/1440</f>
        <v>0.43472222222222223</v>
      </c>
      <c r="BM637" s="4">
        <f>IFERROR(VLOOKUP(TEXT($B$3,"yyyymmdd")&amp;"_"&amp;TEXT(626,"0000"),RawData!$A$2:$F$1441,5,FALSE),"")</f>
        <v>1.932421505</v>
      </c>
      <c r="BN637" s="4">
        <f t="shared" si="11"/>
        <v>0</v>
      </c>
    </row>
    <row r="638" spans="63:66" x14ac:dyDescent="0.6">
      <c r="BK638" s="4" t="str">
        <f>IFERROR(VLOOKUP(TEXT($B$3,"yyyymmdd")&amp;"_"&amp;TEXT(627,"0000"),RawData!$A$2:$F$1441,4,FALSE),"")</f>
        <v>1E</v>
      </c>
      <c r="BL638" s="19">
        <f>TIME(0,0,0)+627/1440</f>
        <v>0.43541666666666667</v>
      </c>
      <c r="BM638" s="4">
        <f>IFERROR(VLOOKUP(TEXT($B$3,"yyyymmdd")&amp;"_"&amp;TEXT(627,"0000"),RawData!$A$2:$F$1441,5,FALSE),"")</f>
        <v>3.1300000000000002E-4</v>
      </c>
      <c r="BN638" s="4">
        <f t="shared" si="11"/>
        <v>0</v>
      </c>
    </row>
    <row r="639" spans="63:66" x14ac:dyDescent="0.6">
      <c r="BK639" s="4" t="str">
        <f>IFERROR(VLOOKUP(TEXT($B$3,"yyyymmdd")&amp;"_"&amp;TEXT(628,"0000"),RawData!$A$2:$F$1441,4,FALSE),"")</f>
        <v>1E</v>
      </c>
      <c r="BL639" s="19">
        <f>TIME(0,0,0)+628/1440</f>
        <v>0.43611111111111112</v>
      </c>
      <c r="BM639" s="4">
        <f>IFERROR(VLOOKUP(TEXT($B$3,"yyyymmdd")&amp;"_"&amp;TEXT(628,"0000"),RawData!$A$2:$F$1441,5,FALSE),"")</f>
        <v>0</v>
      </c>
      <c r="BN639" s="4">
        <f t="shared" si="11"/>
        <v>0</v>
      </c>
    </row>
    <row r="640" spans="63:66" x14ac:dyDescent="0.6">
      <c r="BK640" s="4" t="str">
        <f>IFERROR(VLOOKUP(TEXT($B$3,"yyyymmdd")&amp;"_"&amp;TEXT(629,"0000"),RawData!$A$2:$F$1441,4,FALSE),"")</f>
        <v>0A</v>
      </c>
      <c r="BL640" s="19">
        <f>TIME(0,0,0)+629/1440</f>
        <v>0.43680555555555556</v>
      </c>
      <c r="BM640" s="4">
        <f>IFERROR(VLOOKUP(TEXT($B$3,"yyyymmdd")&amp;"_"&amp;TEXT(629,"0000"),RawData!$A$2:$F$1441,5,FALSE),"")</f>
        <v>0</v>
      </c>
      <c r="BN640" s="4">
        <f t="shared" si="11"/>
        <v>0</v>
      </c>
    </row>
    <row r="641" spans="63:66" x14ac:dyDescent="0.6">
      <c r="BK641" s="4" t="str">
        <f>IFERROR(VLOOKUP(TEXT($B$3,"yyyymmdd")&amp;"_"&amp;TEXT(630,"0000"),RawData!$A$2:$F$1441,4,FALSE),"")</f>
        <v>0A</v>
      </c>
      <c r="BL641" s="19">
        <f>TIME(0,0,0)+630/1440</f>
        <v>0.4375</v>
      </c>
      <c r="BM641" s="4">
        <f>IFERROR(VLOOKUP(TEXT($B$3,"yyyymmdd")&amp;"_"&amp;TEXT(630,"0000"),RawData!$A$2:$F$1441,5,FALSE),"")</f>
        <v>0</v>
      </c>
      <c r="BN641" s="4">
        <f t="shared" si="11"/>
        <v>0</v>
      </c>
    </row>
    <row r="642" spans="63:66" x14ac:dyDescent="0.6">
      <c r="BK642" s="4" t="str">
        <f>IFERROR(VLOOKUP(TEXT($B$3,"yyyymmdd")&amp;"_"&amp;TEXT(631,"0000"),RawData!$A$2:$F$1441,4,FALSE),"")</f>
        <v>0A</v>
      </c>
      <c r="BL642" s="19">
        <f>TIME(0,0,0)+631/1440</f>
        <v>0.43819444444444444</v>
      </c>
      <c r="BM642" s="4">
        <f>IFERROR(VLOOKUP(TEXT($B$3,"yyyymmdd")&amp;"_"&amp;TEXT(631,"0000"),RawData!$A$2:$F$1441,5,FALSE),"")</f>
        <v>6.8599999999999998E-4</v>
      </c>
      <c r="BN642" s="4">
        <f t="shared" si="11"/>
        <v>1</v>
      </c>
    </row>
    <row r="643" spans="63:66" x14ac:dyDescent="0.6">
      <c r="BK643" s="4" t="str">
        <f>IFERROR(VLOOKUP(TEXT($B$3,"yyyymmdd")&amp;"_"&amp;TEXT(632,"0000"),RawData!$A$2:$F$1441,4,FALSE),"")</f>
        <v>0A</v>
      </c>
      <c r="BL643" s="19">
        <f>TIME(0,0,0)+632/1440</f>
        <v>0.43888888888888888</v>
      </c>
      <c r="BM643" s="4">
        <f>IFERROR(VLOOKUP(TEXT($B$3,"yyyymmdd")&amp;"_"&amp;TEXT(632,"0000"),RawData!$A$2:$F$1441,5,FALSE),"")</f>
        <v>5.0100000000000003E-4</v>
      </c>
      <c r="BN643" s="4">
        <f t="shared" si="11"/>
        <v>1</v>
      </c>
    </row>
    <row r="644" spans="63:66" x14ac:dyDescent="0.6">
      <c r="BK644" s="4" t="str">
        <f>IFERROR(VLOOKUP(TEXT($B$3,"yyyymmdd")&amp;"_"&amp;TEXT(633,"0000"),RawData!$A$2:$F$1441,4,FALSE),"")</f>
        <v>0A</v>
      </c>
      <c r="BL644" s="19">
        <f>TIME(0,0,0)+633/1440</f>
        <v>0.43958333333333333</v>
      </c>
      <c r="BM644" s="4">
        <f>IFERROR(VLOOKUP(TEXT($B$3,"yyyymmdd")&amp;"_"&amp;TEXT(633,"0000"),RawData!$A$2:$F$1441,5,FALSE),"")</f>
        <v>0</v>
      </c>
      <c r="BN644" s="4">
        <f t="shared" si="11"/>
        <v>1</v>
      </c>
    </row>
    <row r="645" spans="63:66" x14ac:dyDescent="0.6">
      <c r="BK645" s="4" t="str">
        <f>IFERROR(VLOOKUP(TEXT($B$3,"yyyymmdd")&amp;"_"&amp;TEXT(634,"0000"),RawData!$A$2:$F$1441,4,FALSE),"")</f>
        <v>0A</v>
      </c>
      <c r="BL645" s="19">
        <f>TIME(0,0,0)+634/1440</f>
        <v>0.44027777777777777</v>
      </c>
      <c r="BM645" s="4">
        <f>IFERROR(VLOOKUP(TEXT($B$3,"yyyymmdd")&amp;"_"&amp;TEXT(634,"0000"),RawData!$A$2:$F$1441,5,FALSE),"")</f>
        <v>0</v>
      </c>
      <c r="BN645" s="4">
        <f t="shared" si="11"/>
        <v>0</v>
      </c>
    </row>
    <row r="646" spans="63:66" x14ac:dyDescent="0.6">
      <c r="BK646" s="4" t="str">
        <f>IFERROR(VLOOKUP(TEXT($B$3,"yyyymmdd")&amp;"_"&amp;TEXT(635,"0000"),RawData!$A$2:$F$1441,4,FALSE),"")</f>
        <v>FE</v>
      </c>
      <c r="BL646" s="19">
        <f>TIME(0,0,0)+635/1440</f>
        <v>0.44097222222222221</v>
      </c>
      <c r="BM646" s="4">
        <f>IFERROR(VLOOKUP(TEXT($B$3,"yyyymmdd")&amp;"_"&amp;TEXT(635,"0000"),RawData!$A$2:$F$1441,5,FALSE),"")</f>
        <v>0</v>
      </c>
      <c r="BN646" s="4">
        <f t="shared" si="11"/>
        <v>1</v>
      </c>
    </row>
    <row r="647" spans="63:66" x14ac:dyDescent="0.6">
      <c r="BK647" s="4" t="str">
        <f>IFERROR(VLOOKUP(TEXT($B$3,"yyyymmdd")&amp;"_"&amp;TEXT(636,"0000"),RawData!$A$2:$F$1441,4,FALSE),"")</f>
        <v>FE</v>
      </c>
      <c r="BL647" s="19">
        <f>TIME(0,0,0)+636/1440</f>
        <v>0.44166666666666665</v>
      </c>
      <c r="BM647" s="4">
        <f>IFERROR(VLOOKUP(TEXT($B$3,"yyyymmdd")&amp;"_"&amp;TEXT(636,"0000"),RawData!$A$2:$F$1441,5,FALSE),"")</f>
        <v>4.35E-4</v>
      </c>
      <c r="BN647" s="4">
        <f t="shared" si="11"/>
        <v>0</v>
      </c>
    </row>
    <row r="648" spans="63:66" x14ac:dyDescent="0.6">
      <c r="BK648" s="4" t="str">
        <f>IFERROR(VLOOKUP(TEXT($B$3,"yyyymmdd")&amp;"_"&amp;TEXT(637,"0000"),RawData!$A$2:$F$1441,4,FALSE),"")</f>
        <v>FE</v>
      </c>
      <c r="BL648" s="19">
        <f>TIME(0,0,0)+637/1440</f>
        <v>0.44236111111111109</v>
      </c>
      <c r="BM648" s="4">
        <f>IFERROR(VLOOKUP(TEXT($B$3,"yyyymmdd")&amp;"_"&amp;TEXT(637,"0000"),RawData!$A$2:$F$1441,5,FALSE),"")</f>
        <v>7.9000000000000001E-4</v>
      </c>
      <c r="BN648" s="4">
        <f t="shared" si="11"/>
        <v>0</v>
      </c>
    </row>
    <row r="649" spans="63:66" x14ac:dyDescent="0.6">
      <c r="BK649" s="4" t="str">
        <f>IFERROR(VLOOKUP(TEXT($B$3,"yyyymmdd")&amp;"_"&amp;TEXT(638,"0000"),RawData!$A$2:$F$1441,4,FALSE),"")</f>
        <v>FE</v>
      </c>
      <c r="BL649" s="19">
        <f>TIME(0,0,0)+638/1440</f>
        <v>0.44305555555555554</v>
      </c>
      <c r="BM649" s="4">
        <f>IFERROR(VLOOKUP(TEXT($B$3,"yyyymmdd")&amp;"_"&amp;TEXT(638,"0000"),RawData!$A$2:$F$1441,5,FALSE),"")</f>
        <v>3.4699999999999998E-4</v>
      </c>
      <c r="BN649" s="4">
        <f t="shared" si="11"/>
        <v>0</v>
      </c>
    </row>
    <row r="650" spans="63:66" x14ac:dyDescent="0.6">
      <c r="BK650" s="4" t="str">
        <f>IFERROR(VLOOKUP(TEXT($B$3,"yyyymmdd")&amp;"_"&amp;TEXT(639,"0000"),RawData!$A$2:$F$1441,4,FALSE),"")</f>
        <v>FE</v>
      </c>
      <c r="BL650" s="19">
        <f>TIME(0,0,0)+639/1440</f>
        <v>0.44374999999999998</v>
      </c>
      <c r="BM650" s="4">
        <f>IFERROR(VLOOKUP(TEXT($B$3,"yyyymmdd")&amp;"_"&amp;TEXT(639,"0000"),RawData!$A$2:$F$1441,5,FALSE),"")</f>
        <v>0</v>
      </c>
      <c r="BN650" s="4">
        <f t="shared" si="11"/>
        <v>0</v>
      </c>
    </row>
    <row r="651" spans="63:66" x14ac:dyDescent="0.6">
      <c r="BK651" s="4" t="str">
        <f>IFERROR(VLOOKUP(TEXT($B$3,"yyyymmdd")&amp;"_"&amp;TEXT(640,"0000"),RawData!$A$2:$F$1441,4,FALSE),"")</f>
        <v>FE</v>
      </c>
      <c r="BL651" s="19">
        <f>TIME(0,0,0)+640/1440</f>
        <v>0.44444444444444442</v>
      </c>
      <c r="BM651" s="4">
        <f>IFERROR(VLOOKUP(TEXT($B$3,"yyyymmdd")&amp;"_"&amp;TEXT(640,"0000"),RawData!$A$2:$F$1441,5,FALSE),"")</f>
        <v>0</v>
      </c>
      <c r="BN651" s="4">
        <f t="shared" si="11"/>
        <v>0</v>
      </c>
    </row>
    <row r="652" spans="63:66" x14ac:dyDescent="0.6">
      <c r="BK652" s="4" t="str">
        <f>IFERROR(VLOOKUP(TEXT($B$3,"yyyymmdd")&amp;"_"&amp;TEXT(641,"0000"),RawData!$A$2:$F$1441,4,FALSE),"")</f>
        <v>FE</v>
      </c>
      <c r="BL652" s="19">
        <f>TIME(0,0,0)+641/1440</f>
        <v>0.44513888888888886</v>
      </c>
      <c r="BM652" s="4">
        <f>IFERROR(VLOOKUP(TEXT($B$3,"yyyymmdd")&amp;"_"&amp;TEXT(641,"0000"),RawData!$A$2:$F$1441,5,FALSE),"")</f>
        <v>0</v>
      </c>
      <c r="BN652" s="4">
        <f t="shared" si="11"/>
        <v>1</v>
      </c>
    </row>
    <row r="653" spans="63:66" x14ac:dyDescent="0.6">
      <c r="BK653" s="4" t="str">
        <f>IFERROR(VLOOKUP(TEXT($B$3,"yyyymmdd")&amp;"_"&amp;TEXT(642,"0000"),RawData!$A$2:$F$1441,4,FALSE),"")</f>
        <v>FE</v>
      </c>
      <c r="BL653" s="19">
        <f>TIME(0,0,0)+642/1440</f>
        <v>0.44583333333333336</v>
      </c>
      <c r="BM653" s="4">
        <f>IFERROR(VLOOKUP(TEXT($B$3,"yyyymmdd")&amp;"_"&amp;TEXT(642,"0000"),RawData!$A$2:$F$1441,5,FALSE),"")</f>
        <v>3.4600000000000001E-4</v>
      </c>
      <c r="BN653" s="4">
        <f t="shared" si="11"/>
        <v>0</v>
      </c>
    </row>
    <row r="654" spans="63:66" x14ac:dyDescent="0.6">
      <c r="BK654" s="4" t="str">
        <f>IFERROR(VLOOKUP(TEXT($B$3,"yyyymmdd")&amp;"_"&amp;TEXT(643,"0000"),RawData!$A$2:$F$1441,4,FALSE),"")</f>
        <v>FE</v>
      </c>
      <c r="BL654" s="19">
        <f>TIME(0,0,0)+643/1440</f>
        <v>0.4465277777777778</v>
      </c>
      <c r="BM654" s="4">
        <f>IFERROR(VLOOKUP(TEXT($B$3,"yyyymmdd")&amp;"_"&amp;TEXT(643,"0000"),RawData!$A$2:$F$1441,5,FALSE),"")</f>
        <v>0</v>
      </c>
      <c r="BN654" s="4">
        <f t="shared" si="11"/>
        <v>0</v>
      </c>
    </row>
    <row r="655" spans="63:66" x14ac:dyDescent="0.6">
      <c r="BK655" s="4" t="str">
        <f>IFERROR(VLOOKUP(TEXT($B$3,"yyyymmdd")&amp;"_"&amp;TEXT(644,"0000"),RawData!$A$2:$F$1441,4,FALSE),"")</f>
        <v>FE</v>
      </c>
      <c r="BL655" s="19">
        <f>TIME(0,0,0)+644/1440</f>
        <v>0.44722222222222224</v>
      </c>
      <c r="BM655" s="4">
        <f>IFERROR(VLOOKUP(TEXT($B$3,"yyyymmdd")&amp;"_"&amp;TEXT(644,"0000"),RawData!$A$2:$F$1441,5,FALSE),"")</f>
        <v>0</v>
      </c>
      <c r="BN655" s="4">
        <f t="shared" si="11"/>
        <v>0</v>
      </c>
    </row>
    <row r="656" spans="63:66" x14ac:dyDescent="0.6">
      <c r="BK656" s="4" t="str">
        <f>IFERROR(VLOOKUP(TEXT($B$3,"yyyymmdd")&amp;"_"&amp;TEXT(645,"0000"),RawData!$A$2:$F$1441,4,FALSE),"")</f>
        <v>FE</v>
      </c>
      <c r="BL656" s="19">
        <f>TIME(0,0,0)+645/1440</f>
        <v>0.44791666666666669</v>
      </c>
      <c r="BM656" s="4">
        <f>IFERROR(VLOOKUP(TEXT($B$3,"yyyymmdd")&amp;"_"&amp;TEXT(645,"0000"),RawData!$A$2:$F$1441,5,FALSE),"")</f>
        <v>0</v>
      </c>
      <c r="BN656" s="4">
        <f t="shared" si="11"/>
        <v>0</v>
      </c>
    </row>
    <row r="657" spans="63:66" x14ac:dyDescent="0.6">
      <c r="BK657" s="4" t="str">
        <f>IFERROR(VLOOKUP(TEXT($B$3,"yyyymmdd")&amp;"_"&amp;TEXT(646,"0000"),RawData!$A$2:$F$1441,4,FALSE),"")</f>
        <v>FE</v>
      </c>
      <c r="BL657" s="19">
        <f>TIME(0,0,0)+646/1440</f>
        <v>0.44861111111111113</v>
      </c>
      <c r="BM657" s="4">
        <f>IFERROR(VLOOKUP(TEXT($B$3,"yyyymmdd")&amp;"_"&amp;TEXT(646,"0000"),RawData!$A$2:$F$1441,5,FALSE),"")</f>
        <v>0</v>
      </c>
      <c r="BN657" s="4">
        <f t="shared" si="11"/>
        <v>0</v>
      </c>
    </row>
    <row r="658" spans="63:66" x14ac:dyDescent="0.6">
      <c r="BK658" s="4" t="str">
        <f>IFERROR(VLOOKUP(TEXT($B$3,"yyyymmdd")&amp;"_"&amp;TEXT(647,"0000"),RawData!$A$2:$F$1441,4,FALSE),"")</f>
        <v>FE</v>
      </c>
      <c r="BL658" s="19">
        <f>TIME(0,0,0)+647/1440</f>
        <v>0.44930555555555557</v>
      </c>
      <c r="BM658" s="4">
        <f>IFERROR(VLOOKUP(TEXT($B$3,"yyyymmdd")&amp;"_"&amp;TEXT(647,"0000"),RawData!$A$2:$F$1441,5,FALSE),"")</f>
        <v>0</v>
      </c>
      <c r="BN658" s="4">
        <f t="shared" si="11"/>
        <v>0</v>
      </c>
    </row>
    <row r="659" spans="63:66" x14ac:dyDescent="0.6">
      <c r="BK659" s="4" t="str">
        <f>IFERROR(VLOOKUP(TEXT($B$3,"yyyymmdd")&amp;"_"&amp;TEXT(648,"0000"),RawData!$A$2:$F$1441,4,FALSE),"")</f>
        <v>FE</v>
      </c>
      <c r="BL659" s="19">
        <f>TIME(0,0,0)+648/1440</f>
        <v>0.45</v>
      </c>
      <c r="BM659" s="4">
        <f>IFERROR(VLOOKUP(TEXT($B$3,"yyyymmdd")&amp;"_"&amp;TEXT(648,"0000"),RawData!$A$2:$F$1441,5,FALSE),"")</f>
        <v>0</v>
      </c>
      <c r="BN659" s="4">
        <f t="shared" si="11"/>
        <v>0</v>
      </c>
    </row>
    <row r="660" spans="63:66" x14ac:dyDescent="0.6">
      <c r="BK660" s="4" t="str">
        <f>IFERROR(VLOOKUP(TEXT($B$3,"yyyymmdd")&amp;"_"&amp;TEXT(649,"0000"),RawData!$A$2:$F$1441,4,FALSE),"")</f>
        <v>FE</v>
      </c>
      <c r="BL660" s="19">
        <f>TIME(0,0,0)+649/1440</f>
        <v>0.45069444444444445</v>
      </c>
      <c r="BM660" s="4">
        <f>IFERROR(VLOOKUP(TEXT($B$3,"yyyymmdd")&amp;"_"&amp;TEXT(649,"0000"),RawData!$A$2:$F$1441,5,FALSE),"")</f>
        <v>0</v>
      </c>
      <c r="BN660" s="4">
        <f t="shared" si="11"/>
        <v>0</v>
      </c>
    </row>
    <row r="661" spans="63:66" x14ac:dyDescent="0.6">
      <c r="BK661" s="4" t="str">
        <f>IFERROR(VLOOKUP(TEXT($B$3,"yyyymmdd")&amp;"_"&amp;TEXT(650,"0000"),RawData!$A$2:$F$1441,4,FALSE),"")</f>
        <v>FE</v>
      </c>
      <c r="BL661" s="19">
        <f>TIME(0,0,0)+650/1440</f>
        <v>0.4513888888888889</v>
      </c>
      <c r="BM661" s="4">
        <f>IFERROR(VLOOKUP(TEXT($B$3,"yyyymmdd")&amp;"_"&amp;TEXT(650,"0000"),RawData!$A$2:$F$1441,5,FALSE),"")</f>
        <v>0</v>
      </c>
      <c r="BN661" s="4">
        <f t="shared" si="11"/>
        <v>0</v>
      </c>
    </row>
    <row r="662" spans="63:66" x14ac:dyDescent="0.6">
      <c r="BK662" s="4" t="str">
        <f>IFERROR(VLOOKUP(TEXT($B$3,"yyyymmdd")&amp;"_"&amp;TEXT(651,"0000"),RawData!$A$2:$F$1441,4,FALSE),"")</f>
        <v>FE</v>
      </c>
      <c r="BL662" s="19">
        <f>TIME(0,0,0)+651/1440</f>
        <v>0.45208333333333334</v>
      </c>
      <c r="BM662" s="4">
        <f>IFERROR(VLOOKUP(TEXT($B$3,"yyyymmdd")&amp;"_"&amp;TEXT(651,"0000"),RawData!$A$2:$F$1441,5,FALSE),"")</f>
        <v>0</v>
      </c>
      <c r="BN662" s="4">
        <f t="shared" si="11"/>
        <v>0</v>
      </c>
    </row>
    <row r="663" spans="63:66" x14ac:dyDescent="0.6">
      <c r="BK663" s="4" t="str">
        <f>IFERROR(VLOOKUP(TEXT($B$3,"yyyymmdd")&amp;"_"&amp;TEXT(652,"0000"),RawData!$A$2:$F$1441,4,FALSE),"")</f>
        <v>FE</v>
      </c>
      <c r="BL663" s="19">
        <f>TIME(0,0,0)+652/1440</f>
        <v>0.45277777777777778</v>
      </c>
      <c r="BM663" s="4">
        <f>IFERROR(VLOOKUP(TEXT($B$3,"yyyymmdd")&amp;"_"&amp;TEXT(652,"0000"),RawData!$A$2:$F$1441,5,FALSE),"")</f>
        <v>2.8600000000000001E-4</v>
      </c>
      <c r="BN663" s="4">
        <f t="shared" si="11"/>
        <v>0</v>
      </c>
    </row>
    <row r="664" spans="63:66" x14ac:dyDescent="0.6">
      <c r="BK664" s="4" t="str">
        <f>IFERROR(VLOOKUP(TEXT($B$3,"yyyymmdd")&amp;"_"&amp;TEXT(653,"0000"),RawData!$A$2:$F$1441,4,FALSE),"")</f>
        <v>FE</v>
      </c>
      <c r="BL664" s="19">
        <f>TIME(0,0,0)+653/1440</f>
        <v>0.45347222222222222</v>
      </c>
      <c r="BM664" s="4">
        <f>IFERROR(VLOOKUP(TEXT($B$3,"yyyymmdd")&amp;"_"&amp;TEXT(653,"0000"),RawData!$A$2:$F$1441,5,FALSE),"")</f>
        <v>0</v>
      </c>
      <c r="BN664" s="4">
        <f t="shared" si="11"/>
        <v>0</v>
      </c>
    </row>
    <row r="665" spans="63:66" x14ac:dyDescent="0.6">
      <c r="BK665" s="4" t="str">
        <f>IFERROR(VLOOKUP(TEXT($B$3,"yyyymmdd")&amp;"_"&amp;TEXT(654,"0000"),RawData!$A$2:$F$1441,4,FALSE),"")</f>
        <v>FE</v>
      </c>
      <c r="BL665" s="19">
        <f>TIME(0,0,0)+654/1440</f>
        <v>0.45416666666666666</v>
      </c>
      <c r="BM665" s="4">
        <f>IFERROR(VLOOKUP(TEXT($B$3,"yyyymmdd")&amp;"_"&amp;TEXT(654,"0000"),RawData!$A$2:$F$1441,5,FALSE),"")</f>
        <v>7.9799999999999999E-4</v>
      </c>
      <c r="BN665" s="4">
        <f t="shared" si="11"/>
        <v>0</v>
      </c>
    </row>
    <row r="666" spans="63:66" x14ac:dyDescent="0.6">
      <c r="BK666" s="4" t="str">
        <f>IFERROR(VLOOKUP(TEXT($B$3,"yyyymmdd")&amp;"_"&amp;TEXT(655,"0000"),RawData!$A$2:$F$1441,4,FALSE),"")</f>
        <v>FE</v>
      </c>
      <c r="BL666" s="19">
        <f>TIME(0,0,0)+655/1440</f>
        <v>0.4548611111111111</v>
      </c>
      <c r="BM666" s="4">
        <f>IFERROR(VLOOKUP(TEXT($B$3,"yyyymmdd")&amp;"_"&amp;TEXT(655,"0000"),RawData!$A$2:$F$1441,5,FALSE),"")</f>
        <v>0</v>
      </c>
      <c r="BN666" s="4">
        <f t="shared" si="11"/>
        <v>0</v>
      </c>
    </row>
    <row r="667" spans="63:66" x14ac:dyDescent="0.6">
      <c r="BK667" s="4" t="str">
        <f>IFERROR(VLOOKUP(TEXT($B$3,"yyyymmdd")&amp;"_"&amp;TEXT(656,"0000"),RawData!$A$2:$F$1441,4,FALSE),"")</f>
        <v>FE</v>
      </c>
      <c r="BL667" s="19">
        <f>TIME(0,0,0)+656/1440</f>
        <v>0.45555555555555555</v>
      </c>
      <c r="BM667" s="4">
        <f>IFERROR(VLOOKUP(TEXT($B$3,"yyyymmdd")&amp;"_"&amp;TEXT(656,"0000"),RawData!$A$2:$F$1441,5,FALSE),"")</f>
        <v>5.5800000000000001E-4</v>
      </c>
      <c r="BN667" s="4">
        <f t="shared" si="11"/>
        <v>0</v>
      </c>
    </row>
    <row r="668" spans="63:66" x14ac:dyDescent="0.6">
      <c r="BK668" s="4" t="str">
        <f>IFERROR(VLOOKUP(TEXT($B$3,"yyyymmdd")&amp;"_"&amp;TEXT(657,"0000"),RawData!$A$2:$F$1441,4,FALSE),"")</f>
        <v>FE</v>
      </c>
      <c r="BL668" s="19">
        <f>TIME(0,0,0)+657/1440</f>
        <v>0.45624999999999999</v>
      </c>
      <c r="BM668" s="4">
        <f>IFERROR(VLOOKUP(TEXT($B$3,"yyyymmdd")&amp;"_"&amp;TEXT(657,"0000"),RawData!$A$2:$F$1441,5,FALSE),"")</f>
        <v>1.85E-4</v>
      </c>
      <c r="BN668" s="4">
        <f t="shared" si="11"/>
        <v>0</v>
      </c>
    </row>
    <row r="669" spans="63:66" x14ac:dyDescent="0.6">
      <c r="BK669" s="4" t="str">
        <f>IFERROR(VLOOKUP(TEXT($B$3,"yyyymmdd")&amp;"_"&amp;TEXT(658,"0000"),RawData!$A$2:$F$1441,4,FALSE),"")</f>
        <v>FE</v>
      </c>
      <c r="BL669" s="19">
        <f>TIME(0,0,0)+658/1440</f>
        <v>0.45694444444444443</v>
      </c>
      <c r="BM669" s="4">
        <f>IFERROR(VLOOKUP(TEXT($B$3,"yyyymmdd")&amp;"_"&amp;TEXT(658,"0000"),RawData!$A$2:$F$1441,5,FALSE),"")</f>
        <v>0</v>
      </c>
      <c r="BN669" s="4">
        <f t="shared" si="11"/>
        <v>0</v>
      </c>
    </row>
    <row r="670" spans="63:66" x14ac:dyDescent="0.6">
      <c r="BK670" s="4" t="str">
        <f>IFERROR(VLOOKUP(TEXT($B$3,"yyyymmdd")&amp;"_"&amp;TEXT(659,"0000"),RawData!$A$2:$F$1441,4,FALSE),"")</f>
        <v>FE</v>
      </c>
      <c r="BL670" s="19">
        <f>TIME(0,0,0)+659/1440</f>
        <v>0.45763888888888887</v>
      </c>
      <c r="BM670" s="4">
        <f>IFERROR(VLOOKUP(TEXT($B$3,"yyyymmdd")&amp;"_"&amp;TEXT(659,"0000"),RawData!$A$2:$F$1441,5,FALSE),"")</f>
        <v>0</v>
      </c>
      <c r="BN670" s="4">
        <f t="shared" si="11"/>
        <v>0</v>
      </c>
    </row>
    <row r="671" spans="63:66" x14ac:dyDescent="0.6">
      <c r="BK671" s="4" t="str">
        <f>IFERROR(VLOOKUP(TEXT($B$3,"yyyymmdd")&amp;"_"&amp;TEXT(660,"0000"),RawData!$A$2:$F$1441,4,FALSE),"")</f>
        <v>FE</v>
      </c>
      <c r="BL671" s="19">
        <f>TIME(0,0,0)+660/1440</f>
        <v>0.45833333333333331</v>
      </c>
      <c r="BM671" s="4">
        <f>IFERROR(VLOOKUP(TEXT($B$3,"yyyymmdd")&amp;"_"&amp;TEXT(660,"0000"),RawData!$A$2:$F$1441,5,FALSE),"")</f>
        <v>0</v>
      </c>
      <c r="BN671" s="4">
        <f t="shared" si="11"/>
        <v>0</v>
      </c>
    </row>
    <row r="672" spans="63:66" x14ac:dyDescent="0.6">
      <c r="BK672" s="4" t="str">
        <f>IFERROR(VLOOKUP(TEXT($B$3,"yyyymmdd")&amp;"_"&amp;TEXT(661,"0000"),RawData!$A$2:$F$1441,4,FALSE),"")</f>
        <v>FE</v>
      </c>
      <c r="BL672" s="19">
        <f>TIME(0,0,0)+661/1440</f>
        <v>0.45902777777777776</v>
      </c>
      <c r="BM672" s="4">
        <f>IFERROR(VLOOKUP(TEXT($B$3,"yyyymmdd")&amp;"_"&amp;TEXT(661,"0000"),RawData!$A$2:$F$1441,5,FALSE),"")</f>
        <v>0</v>
      </c>
      <c r="BN672" s="4">
        <f t="shared" si="11"/>
        <v>0</v>
      </c>
    </row>
    <row r="673" spans="63:66" x14ac:dyDescent="0.6">
      <c r="BK673" s="4" t="str">
        <f>IFERROR(VLOOKUP(TEXT($B$3,"yyyymmdd")&amp;"_"&amp;TEXT(662,"0000"),RawData!$A$2:$F$1441,4,FALSE),"")</f>
        <v>FE</v>
      </c>
      <c r="BL673" s="19">
        <f>TIME(0,0,0)+662/1440</f>
        <v>0.4597222222222222</v>
      </c>
      <c r="BM673" s="4">
        <f>IFERROR(VLOOKUP(TEXT($B$3,"yyyymmdd")&amp;"_"&amp;TEXT(662,"0000"),RawData!$A$2:$F$1441,5,FALSE),"")</f>
        <v>0</v>
      </c>
      <c r="BN673" s="4">
        <f t="shared" si="11"/>
        <v>0</v>
      </c>
    </row>
    <row r="674" spans="63:66" x14ac:dyDescent="0.6">
      <c r="BK674" s="4" t="str">
        <f>IFERROR(VLOOKUP(TEXT($B$3,"yyyymmdd")&amp;"_"&amp;TEXT(663,"0000"),RawData!$A$2:$F$1441,4,FALSE),"")</f>
        <v>FE</v>
      </c>
      <c r="BL674" s="19">
        <f>TIME(0,0,0)+663/1440</f>
        <v>0.46041666666666664</v>
      </c>
      <c r="BM674" s="4">
        <f>IFERROR(VLOOKUP(TEXT($B$3,"yyyymmdd")&amp;"_"&amp;TEXT(663,"0000"),RawData!$A$2:$F$1441,5,FALSE),"")</f>
        <v>0</v>
      </c>
      <c r="BN674" s="4">
        <f t="shared" si="11"/>
        <v>0</v>
      </c>
    </row>
    <row r="675" spans="63:66" x14ac:dyDescent="0.6">
      <c r="BK675" s="4" t="str">
        <f>IFERROR(VLOOKUP(TEXT($B$3,"yyyymmdd")&amp;"_"&amp;TEXT(664,"0000"),RawData!$A$2:$F$1441,4,FALSE),"")</f>
        <v>FE</v>
      </c>
      <c r="BL675" s="19">
        <f>TIME(0,0,0)+664/1440</f>
        <v>0.46111111111111114</v>
      </c>
      <c r="BM675" s="4">
        <f>IFERROR(VLOOKUP(TEXT($B$3,"yyyymmdd")&amp;"_"&amp;TEXT(664,"0000"),RawData!$A$2:$F$1441,5,FALSE),"")</f>
        <v>0</v>
      </c>
      <c r="BN675" s="4">
        <f t="shared" si="11"/>
        <v>0</v>
      </c>
    </row>
    <row r="676" spans="63:66" x14ac:dyDescent="0.6">
      <c r="BK676" s="4" t="str">
        <f>IFERROR(VLOOKUP(TEXT($B$3,"yyyymmdd")&amp;"_"&amp;TEXT(665,"0000"),RawData!$A$2:$F$1441,4,FALSE),"")</f>
        <v>FE</v>
      </c>
      <c r="BL676" s="19">
        <f>TIME(0,0,0)+665/1440</f>
        <v>0.46180555555555558</v>
      </c>
      <c r="BM676" s="4">
        <f>IFERROR(VLOOKUP(TEXT($B$3,"yyyymmdd")&amp;"_"&amp;TEXT(665,"0000"),RawData!$A$2:$F$1441,5,FALSE),"")</f>
        <v>0</v>
      </c>
      <c r="BN676" s="4">
        <f t="shared" si="11"/>
        <v>0</v>
      </c>
    </row>
    <row r="677" spans="63:66" x14ac:dyDescent="0.6">
      <c r="BK677" s="4" t="str">
        <f>IFERROR(VLOOKUP(TEXT($B$3,"yyyymmdd")&amp;"_"&amp;TEXT(666,"0000"),RawData!$A$2:$F$1441,4,FALSE),"")</f>
        <v>FE</v>
      </c>
      <c r="BL677" s="19">
        <f>TIME(0,0,0)+666/1440</f>
        <v>0.46250000000000002</v>
      </c>
      <c r="BM677" s="4">
        <f>IFERROR(VLOOKUP(TEXT($B$3,"yyyymmdd")&amp;"_"&amp;TEXT(666,"0000"),RawData!$A$2:$F$1441,5,FALSE),"")</f>
        <v>0</v>
      </c>
      <c r="BN677" s="4">
        <f t="shared" si="11"/>
        <v>0</v>
      </c>
    </row>
    <row r="678" spans="63:66" x14ac:dyDescent="0.6">
      <c r="BK678" s="4" t="str">
        <f>IFERROR(VLOOKUP(TEXT($B$3,"yyyymmdd")&amp;"_"&amp;TEXT(667,"0000"),RawData!$A$2:$F$1441,4,FALSE),"")</f>
        <v>FE</v>
      </c>
      <c r="BL678" s="19">
        <f>TIME(0,0,0)+667/1440</f>
        <v>0.46319444444444446</v>
      </c>
      <c r="BM678" s="4">
        <f>IFERROR(VLOOKUP(TEXT($B$3,"yyyymmdd")&amp;"_"&amp;TEXT(667,"0000"),RawData!$A$2:$F$1441,5,FALSE),"")</f>
        <v>0</v>
      </c>
      <c r="BN678" s="4">
        <f t="shared" si="11"/>
        <v>0</v>
      </c>
    </row>
    <row r="679" spans="63:66" x14ac:dyDescent="0.6">
      <c r="BK679" s="4" t="str">
        <f>IFERROR(VLOOKUP(TEXT($B$3,"yyyymmdd")&amp;"_"&amp;TEXT(668,"0000"),RawData!$A$2:$F$1441,4,FALSE),"")</f>
        <v>FE</v>
      </c>
      <c r="BL679" s="19">
        <f>TIME(0,0,0)+668/1440</f>
        <v>0.46388888888888891</v>
      </c>
      <c r="BM679" s="4">
        <f>IFERROR(VLOOKUP(TEXT($B$3,"yyyymmdd")&amp;"_"&amp;TEXT(668,"0000"),RawData!$A$2:$F$1441,5,FALSE),"")</f>
        <v>0</v>
      </c>
      <c r="BN679" s="4">
        <f t="shared" si="11"/>
        <v>0</v>
      </c>
    </row>
    <row r="680" spans="63:66" x14ac:dyDescent="0.6">
      <c r="BK680" s="4" t="str">
        <f>IFERROR(VLOOKUP(TEXT($B$3,"yyyymmdd")&amp;"_"&amp;TEXT(669,"0000"),RawData!$A$2:$F$1441,4,FALSE),"")</f>
        <v>FE</v>
      </c>
      <c r="BL680" s="19">
        <f>TIME(0,0,0)+669/1440</f>
        <v>0.46458333333333335</v>
      </c>
      <c r="BM680" s="4">
        <f>IFERROR(VLOOKUP(TEXT($B$3,"yyyymmdd")&amp;"_"&amp;TEXT(669,"0000"),RawData!$A$2:$F$1441,5,FALSE),"")</f>
        <v>5.3899999999999998E-4</v>
      </c>
      <c r="BN680" s="4">
        <f t="shared" si="11"/>
        <v>0</v>
      </c>
    </row>
    <row r="681" spans="63:66" x14ac:dyDescent="0.6">
      <c r="BK681" s="4" t="str">
        <f>IFERROR(VLOOKUP(TEXT($B$3,"yyyymmdd")&amp;"_"&amp;TEXT(670,"0000"),RawData!$A$2:$F$1441,4,FALSE),"")</f>
        <v>FE</v>
      </c>
      <c r="BL681" s="19">
        <f>TIME(0,0,0)+670/1440</f>
        <v>0.46527777777777779</v>
      </c>
      <c r="BM681" s="4">
        <f>IFERROR(VLOOKUP(TEXT($B$3,"yyyymmdd")&amp;"_"&amp;TEXT(670,"0000"),RawData!$A$2:$F$1441,5,FALSE),"")</f>
        <v>0</v>
      </c>
      <c r="BN681" s="4">
        <f t="shared" si="11"/>
        <v>0</v>
      </c>
    </row>
    <row r="682" spans="63:66" x14ac:dyDescent="0.6">
      <c r="BK682" s="4" t="str">
        <f>IFERROR(VLOOKUP(TEXT($B$3,"yyyymmdd")&amp;"_"&amp;TEXT(671,"0000"),RawData!$A$2:$F$1441,4,FALSE),"")</f>
        <v>FE</v>
      </c>
      <c r="BL682" s="19">
        <f>TIME(0,0,0)+671/1440</f>
        <v>0.46597222222222223</v>
      </c>
      <c r="BM682" s="4">
        <f>IFERROR(VLOOKUP(TEXT($B$3,"yyyymmdd")&amp;"_"&amp;TEXT(671,"0000"),RawData!$A$2:$F$1441,5,FALSE),"")</f>
        <v>0</v>
      </c>
      <c r="BN682" s="4">
        <f t="shared" si="11"/>
        <v>0</v>
      </c>
    </row>
    <row r="683" spans="63:66" x14ac:dyDescent="0.6">
      <c r="BK683" s="4" t="str">
        <f>IFERROR(VLOOKUP(TEXT($B$3,"yyyymmdd")&amp;"_"&amp;TEXT(672,"0000"),RawData!$A$2:$F$1441,4,FALSE),"")</f>
        <v>FE</v>
      </c>
      <c r="BL683" s="19">
        <f>TIME(0,0,0)+672/1440</f>
        <v>0.46666666666666667</v>
      </c>
      <c r="BM683" s="4">
        <f>IFERROR(VLOOKUP(TEXT($B$3,"yyyymmdd")&amp;"_"&amp;TEXT(672,"0000"),RawData!$A$2:$F$1441,5,FALSE),"")</f>
        <v>4.2499999999999998E-4</v>
      </c>
      <c r="BN683" s="4">
        <f t="shared" si="11"/>
        <v>0</v>
      </c>
    </row>
    <row r="684" spans="63:66" x14ac:dyDescent="0.6">
      <c r="BK684" s="4" t="str">
        <f>IFERROR(VLOOKUP(TEXT($B$3,"yyyymmdd")&amp;"_"&amp;TEXT(673,"0000"),RawData!$A$2:$F$1441,4,FALSE),"")</f>
        <v>FE</v>
      </c>
      <c r="BL684" s="19">
        <f>TIME(0,0,0)+673/1440</f>
        <v>0.46736111111111112</v>
      </c>
      <c r="BM684" s="4">
        <f>IFERROR(VLOOKUP(TEXT($B$3,"yyyymmdd")&amp;"_"&amp;TEXT(673,"0000"),RawData!$A$2:$F$1441,5,FALSE),"")</f>
        <v>4.5600000000000003E-4</v>
      </c>
      <c r="BN684" s="4">
        <f t="shared" si="11"/>
        <v>0</v>
      </c>
    </row>
    <row r="685" spans="63:66" x14ac:dyDescent="0.6">
      <c r="BK685" s="4" t="str">
        <f>IFERROR(VLOOKUP(TEXT($B$3,"yyyymmdd")&amp;"_"&amp;TEXT(674,"0000"),RawData!$A$2:$F$1441,4,FALSE),"")</f>
        <v>FE</v>
      </c>
      <c r="BL685" s="19">
        <f>TIME(0,0,0)+674/1440</f>
        <v>0.46805555555555556</v>
      </c>
      <c r="BM685" s="4">
        <f>IFERROR(VLOOKUP(TEXT($B$3,"yyyymmdd")&amp;"_"&amp;TEXT(674,"0000"),RawData!$A$2:$F$1441,5,FALSE),"")</f>
        <v>3.8900000000000002E-4</v>
      </c>
      <c r="BN685" s="4">
        <f t="shared" si="11"/>
        <v>0</v>
      </c>
    </row>
    <row r="686" spans="63:66" x14ac:dyDescent="0.6">
      <c r="BK686" s="4" t="str">
        <f>IFERROR(VLOOKUP(TEXT($B$3,"yyyymmdd")&amp;"_"&amp;TEXT(675,"0000"),RawData!$A$2:$F$1441,4,FALSE),"")</f>
        <v>FE</v>
      </c>
      <c r="BL686" s="19">
        <f>TIME(0,0,0)+675/1440</f>
        <v>0.46875</v>
      </c>
      <c r="BM686" s="4">
        <f>IFERROR(VLOOKUP(TEXT($B$3,"yyyymmdd")&amp;"_"&amp;TEXT(675,"0000"),RawData!$A$2:$F$1441,5,FALSE),"")</f>
        <v>3.6499999999999998E-4</v>
      </c>
      <c r="BN686" s="4">
        <f t="shared" si="11"/>
        <v>0</v>
      </c>
    </row>
    <row r="687" spans="63:66" x14ac:dyDescent="0.6">
      <c r="BK687" s="4" t="str">
        <f>IFERROR(VLOOKUP(TEXT($B$3,"yyyymmdd")&amp;"_"&amp;TEXT(676,"0000"),RawData!$A$2:$F$1441,4,FALSE),"")</f>
        <v>FE</v>
      </c>
      <c r="BL687" s="19">
        <f>TIME(0,0,0)+676/1440</f>
        <v>0.46944444444444444</v>
      </c>
      <c r="BM687" s="4">
        <f>IFERROR(VLOOKUP(TEXT($B$3,"yyyymmdd")&amp;"_"&amp;TEXT(676,"0000"),RawData!$A$2:$F$1441,5,FALSE),"")</f>
        <v>3.0699999999999998E-4</v>
      </c>
      <c r="BN687" s="4">
        <f t="shared" si="11"/>
        <v>0</v>
      </c>
    </row>
    <row r="688" spans="63:66" x14ac:dyDescent="0.6">
      <c r="BK688" s="4" t="str">
        <f>IFERROR(VLOOKUP(TEXT($B$3,"yyyymmdd")&amp;"_"&amp;TEXT(677,"0000"),RawData!$A$2:$F$1441,4,FALSE),"")</f>
        <v>FE</v>
      </c>
      <c r="BL688" s="19">
        <f>TIME(0,0,0)+677/1440</f>
        <v>0.47013888888888888</v>
      </c>
      <c r="BM688" s="4">
        <f>IFERROR(VLOOKUP(TEXT($B$3,"yyyymmdd")&amp;"_"&amp;TEXT(677,"0000"),RawData!$A$2:$F$1441,5,FALSE),"")</f>
        <v>0</v>
      </c>
      <c r="BN688" s="4">
        <f t="shared" ref="BN688:BN751" si="12">IF(BK682="","",IF(BK682&lt;&gt;BK681,1,0))</f>
        <v>0</v>
      </c>
    </row>
    <row r="689" spans="63:66" x14ac:dyDescent="0.6">
      <c r="BK689" s="4" t="str">
        <f>IFERROR(VLOOKUP(TEXT($B$3,"yyyymmdd")&amp;"_"&amp;TEXT(678,"0000"),RawData!$A$2:$F$1441,4,FALSE),"")</f>
        <v>FE</v>
      </c>
      <c r="BL689" s="19">
        <f>TIME(0,0,0)+678/1440</f>
        <v>0.47083333333333333</v>
      </c>
      <c r="BM689" s="4">
        <f>IFERROR(VLOOKUP(TEXT($B$3,"yyyymmdd")&amp;"_"&amp;TEXT(678,"0000"),RawData!$A$2:$F$1441,5,FALSE),"")</f>
        <v>5.7399999999999997E-4</v>
      </c>
      <c r="BN689" s="4">
        <f t="shared" si="12"/>
        <v>0</v>
      </c>
    </row>
    <row r="690" spans="63:66" x14ac:dyDescent="0.6">
      <c r="BK690" s="4" t="str">
        <f>IFERROR(VLOOKUP(TEXT($B$3,"yyyymmdd")&amp;"_"&amp;TEXT(679,"0000"),RawData!$A$2:$F$1441,4,FALSE),"")</f>
        <v>FE</v>
      </c>
      <c r="BL690" s="19">
        <f>TIME(0,0,0)+679/1440</f>
        <v>0.47152777777777777</v>
      </c>
      <c r="BM690" s="4">
        <f>IFERROR(VLOOKUP(TEXT($B$3,"yyyymmdd")&amp;"_"&amp;TEXT(679,"0000"),RawData!$A$2:$F$1441,5,FALSE),"")</f>
        <v>0</v>
      </c>
      <c r="BN690" s="4">
        <f t="shared" si="12"/>
        <v>0</v>
      </c>
    </row>
    <row r="691" spans="63:66" x14ac:dyDescent="0.6">
      <c r="BK691" s="4" t="str">
        <f>IFERROR(VLOOKUP(TEXT($B$3,"yyyymmdd")&amp;"_"&amp;TEXT(680,"0000"),RawData!$A$2:$F$1441,4,FALSE),"")</f>
        <v>FE</v>
      </c>
      <c r="BL691" s="19">
        <f>TIME(0,0,0)+680/1440</f>
        <v>0.47222222222222221</v>
      </c>
      <c r="BM691" s="4">
        <f>IFERROR(VLOOKUP(TEXT($B$3,"yyyymmdd")&amp;"_"&amp;TEXT(680,"0000"),RawData!$A$2:$F$1441,5,FALSE),"")</f>
        <v>3.2600000000000001E-4</v>
      </c>
      <c r="BN691" s="4">
        <f t="shared" si="12"/>
        <v>0</v>
      </c>
    </row>
    <row r="692" spans="63:66" x14ac:dyDescent="0.6">
      <c r="BK692" s="4" t="str">
        <f>IFERROR(VLOOKUP(TEXT($B$3,"yyyymmdd")&amp;"_"&amp;TEXT(681,"0000"),RawData!$A$2:$F$1441,4,FALSE),"")</f>
        <v>FE</v>
      </c>
      <c r="BL692" s="19">
        <f>TIME(0,0,0)+681/1440</f>
        <v>0.47291666666666665</v>
      </c>
      <c r="BM692" s="4">
        <f>IFERROR(VLOOKUP(TEXT($B$3,"yyyymmdd")&amp;"_"&amp;TEXT(681,"0000"),RawData!$A$2:$F$1441,5,FALSE),"")</f>
        <v>4.8299999999999998E-4</v>
      </c>
      <c r="BN692" s="4">
        <f t="shared" si="12"/>
        <v>0</v>
      </c>
    </row>
    <row r="693" spans="63:66" x14ac:dyDescent="0.6">
      <c r="BK693" s="4" t="str">
        <f>IFERROR(VLOOKUP(TEXT($B$3,"yyyymmdd")&amp;"_"&amp;TEXT(682,"0000"),RawData!$A$2:$F$1441,4,FALSE),"")</f>
        <v>FE</v>
      </c>
      <c r="BL693" s="19">
        <f>TIME(0,0,0)+682/1440</f>
        <v>0.47361111111111109</v>
      </c>
      <c r="BM693" s="4">
        <f>IFERROR(VLOOKUP(TEXT($B$3,"yyyymmdd")&amp;"_"&amp;TEXT(682,"0000"),RawData!$A$2:$F$1441,5,FALSE),"")</f>
        <v>0</v>
      </c>
      <c r="BN693" s="4">
        <f t="shared" si="12"/>
        <v>0</v>
      </c>
    </row>
    <row r="694" spans="63:66" x14ac:dyDescent="0.6">
      <c r="BK694" s="4" t="str">
        <f>IFERROR(VLOOKUP(TEXT($B$3,"yyyymmdd")&amp;"_"&amp;TEXT(683,"0000"),RawData!$A$2:$F$1441,4,FALSE),"")</f>
        <v>FE</v>
      </c>
      <c r="BL694" s="19">
        <f>TIME(0,0,0)+683/1440</f>
        <v>0.47430555555555554</v>
      </c>
      <c r="BM694" s="4">
        <f>IFERROR(VLOOKUP(TEXT($B$3,"yyyymmdd")&amp;"_"&amp;TEXT(683,"0000"),RawData!$A$2:$F$1441,5,FALSE),"")</f>
        <v>0</v>
      </c>
      <c r="BN694" s="4">
        <f t="shared" si="12"/>
        <v>0</v>
      </c>
    </row>
    <row r="695" spans="63:66" x14ac:dyDescent="0.6">
      <c r="BK695" s="4" t="str">
        <f>IFERROR(VLOOKUP(TEXT($B$3,"yyyymmdd")&amp;"_"&amp;TEXT(684,"0000"),RawData!$A$2:$F$1441,4,FALSE),"")</f>
        <v>FE</v>
      </c>
      <c r="BL695" s="19">
        <f>TIME(0,0,0)+684/1440</f>
        <v>0.47499999999999998</v>
      </c>
      <c r="BM695" s="4">
        <f>IFERROR(VLOOKUP(TEXT($B$3,"yyyymmdd")&amp;"_"&amp;TEXT(684,"0000"),RawData!$A$2:$F$1441,5,FALSE),"")</f>
        <v>7.1000000000000002E-4</v>
      </c>
      <c r="BN695" s="4">
        <f t="shared" si="12"/>
        <v>0</v>
      </c>
    </row>
    <row r="696" spans="63:66" x14ac:dyDescent="0.6">
      <c r="BK696" s="4" t="str">
        <f>IFERROR(VLOOKUP(TEXT($B$3,"yyyymmdd")&amp;"_"&amp;TEXT(685,"0000"),RawData!$A$2:$F$1441,4,FALSE),"")</f>
        <v>FE</v>
      </c>
      <c r="BL696" s="19">
        <f>TIME(0,0,0)+685/1440</f>
        <v>0.47569444444444442</v>
      </c>
      <c r="BM696" s="4">
        <f>IFERROR(VLOOKUP(TEXT($B$3,"yyyymmdd")&amp;"_"&amp;TEXT(685,"0000"),RawData!$A$2:$F$1441,5,FALSE),"")</f>
        <v>0</v>
      </c>
      <c r="BN696" s="4">
        <f t="shared" si="12"/>
        <v>0</v>
      </c>
    </row>
    <row r="697" spans="63:66" x14ac:dyDescent="0.6">
      <c r="BK697" s="4" t="str">
        <f>IFERROR(VLOOKUP(TEXT($B$3,"yyyymmdd")&amp;"_"&amp;TEXT(686,"0000"),RawData!$A$2:$F$1441,4,FALSE),"")</f>
        <v>FE</v>
      </c>
      <c r="BL697" s="19">
        <f>TIME(0,0,0)+686/1440</f>
        <v>0.47638888888888886</v>
      </c>
      <c r="BM697" s="4">
        <f>IFERROR(VLOOKUP(TEXT($B$3,"yyyymmdd")&amp;"_"&amp;TEXT(686,"0000"),RawData!$A$2:$F$1441,5,FALSE),"")</f>
        <v>0</v>
      </c>
      <c r="BN697" s="4">
        <f t="shared" si="12"/>
        <v>0</v>
      </c>
    </row>
    <row r="698" spans="63:66" x14ac:dyDescent="0.6">
      <c r="BK698" s="4" t="str">
        <f>IFERROR(VLOOKUP(TEXT($B$3,"yyyymmdd")&amp;"_"&amp;TEXT(687,"0000"),RawData!$A$2:$F$1441,4,FALSE),"")</f>
        <v>FE</v>
      </c>
      <c r="BL698" s="19">
        <f>TIME(0,0,0)+687/1440</f>
        <v>0.47708333333333336</v>
      </c>
      <c r="BM698" s="4">
        <f>IFERROR(VLOOKUP(TEXT($B$3,"yyyymmdd")&amp;"_"&amp;TEXT(687,"0000"),RawData!$A$2:$F$1441,5,FALSE),"")</f>
        <v>0</v>
      </c>
      <c r="BN698" s="4">
        <f t="shared" si="12"/>
        <v>0</v>
      </c>
    </row>
    <row r="699" spans="63:66" x14ac:dyDescent="0.6">
      <c r="BK699" s="4" t="str">
        <f>IFERROR(VLOOKUP(TEXT($B$3,"yyyymmdd")&amp;"_"&amp;TEXT(688,"0000"),RawData!$A$2:$F$1441,4,FALSE),"")</f>
        <v>FE</v>
      </c>
      <c r="BL699" s="19">
        <f>TIME(0,0,0)+688/1440</f>
        <v>0.4777777777777778</v>
      </c>
      <c r="BM699" s="4">
        <f>IFERROR(VLOOKUP(TEXT($B$3,"yyyymmdd")&amp;"_"&amp;TEXT(688,"0000"),RawData!$A$2:$F$1441,5,FALSE),"")</f>
        <v>0</v>
      </c>
      <c r="BN699" s="4">
        <f t="shared" si="12"/>
        <v>0</v>
      </c>
    </row>
    <row r="700" spans="63:66" x14ac:dyDescent="0.6">
      <c r="BK700" s="4" t="str">
        <f>IFERROR(VLOOKUP(TEXT($B$3,"yyyymmdd")&amp;"_"&amp;TEXT(689,"0000"),RawData!$A$2:$F$1441,4,FALSE),"")</f>
        <v>FE</v>
      </c>
      <c r="BL700" s="19">
        <f>TIME(0,0,0)+689/1440</f>
        <v>0.47847222222222224</v>
      </c>
      <c r="BM700" s="4">
        <f>IFERROR(VLOOKUP(TEXT($B$3,"yyyymmdd")&amp;"_"&amp;TEXT(689,"0000"),RawData!$A$2:$F$1441,5,FALSE),"")</f>
        <v>0</v>
      </c>
      <c r="BN700" s="4">
        <f t="shared" si="12"/>
        <v>0</v>
      </c>
    </row>
    <row r="701" spans="63:66" x14ac:dyDescent="0.6">
      <c r="BK701" s="4" t="str">
        <f>IFERROR(VLOOKUP(TEXT($B$3,"yyyymmdd")&amp;"_"&amp;TEXT(690,"0000"),RawData!$A$2:$F$1441,4,FALSE),"")</f>
        <v>FE</v>
      </c>
      <c r="BL701" s="19">
        <f>TIME(0,0,0)+690/1440</f>
        <v>0.47916666666666669</v>
      </c>
      <c r="BM701" s="4">
        <f>IFERROR(VLOOKUP(TEXT($B$3,"yyyymmdd")&amp;"_"&amp;TEXT(690,"0000"),RawData!$A$2:$F$1441,5,FALSE),"")</f>
        <v>0</v>
      </c>
      <c r="BN701" s="4">
        <f t="shared" si="12"/>
        <v>0</v>
      </c>
    </row>
    <row r="702" spans="63:66" x14ac:dyDescent="0.6">
      <c r="BK702" s="4" t="str">
        <f>IFERROR(VLOOKUP(TEXT($B$3,"yyyymmdd")&amp;"_"&amp;TEXT(691,"0000"),RawData!$A$2:$F$1441,4,FALSE),"")</f>
        <v>FE</v>
      </c>
      <c r="BL702" s="19">
        <f>TIME(0,0,0)+691/1440</f>
        <v>0.47986111111111113</v>
      </c>
      <c r="BM702" s="4">
        <f>IFERROR(VLOOKUP(TEXT($B$3,"yyyymmdd")&amp;"_"&amp;TEXT(691,"0000"),RawData!$A$2:$F$1441,5,FALSE),"")</f>
        <v>4.8500000000000003E-4</v>
      </c>
      <c r="BN702" s="4">
        <f t="shared" si="12"/>
        <v>0</v>
      </c>
    </row>
    <row r="703" spans="63:66" x14ac:dyDescent="0.6">
      <c r="BK703" s="4" t="str">
        <f>IFERROR(VLOOKUP(TEXT($B$3,"yyyymmdd")&amp;"_"&amp;TEXT(692,"0000"),RawData!$A$2:$F$1441,4,FALSE),"")</f>
        <v>FE</v>
      </c>
      <c r="BL703" s="19">
        <f>TIME(0,0,0)+692/1440</f>
        <v>0.48055555555555557</v>
      </c>
      <c r="BM703" s="4">
        <f>IFERROR(VLOOKUP(TEXT($B$3,"yyyymmdd")&amp;"_"&amp;TEXT(692,"0000"),RawData!$A$2:$F$1441,5,FALSE),"")</f>
        <v>0</v>
      </c>
      <c r="BN703" s="4">
        <f t="shared" si="12"/>
        <v>0</v>
      </c>
    </row>
    <row r="704" spans="63:66" x14ac:dyDescent="0.6">
      <c r="BK704" s="4" t="str">
        <f>IFERROR(VLOOKUP(TEXT($B$3,"yyyymmdd")&amp;"_"&amp;TEXT(693,"0000"),RawData!$A$2:$F$1441,4,FALSE),"")</f>
        <v>FE</v>
      </c>
      <c r="BL704" s="19">
        <f>TIME(0,0,0)+693/1440</f>
        <v>0.48125000000000001</v>
      </c>
      <c r="BM704" s="4">
        <f>IFERROR(VLOOKUP(TEXT($B$3,"yyyymmdd")&amp;"_"&amp;TEXT(693,"0000"),RawData!$A$2:$F$1441,5,FALSE),"")</f>
        <v>0</v>
      </c>
      <c r="BN704" s="4">
        <f t="shared" si="12"/>
        <v>0</v>
      </c>
    </row>
    <row r="705" spans="63:66" x14ac:dyDescent="0.6">
      <c r="BK705" s="4" t="str">
        <f>IFERROR(VLOOKUP(TEXT($B$3,"yyyymmdd")&amp;"_"&amp;TEXT(694,"0000"),RawData!$A$2:$F$1441,4,FALSE),"")</f>
        <v>FE</v>
      </c>
      <c r="BL705" s="19">
        <f>TIME(0,0,0)+694/1440</f>
        <v>0.48194444444444445</v>
      </c>
      <c r="BM705" s="4">
        <f>IFERROR(VLOOKUP(TEXT($B$3,"yyyymmdd")&amp;"_"&amp;TEXT(694,"0000"),RawData!$A$2:$F$1441,5,FALSE),"")</f>
        <v>0</v>
      </c>
      <c r="BN705" s="4">
        <f t="shared" si="12"/>
        <v>0</v>
      </c>
    </row>
    <row r="706" spans="63:66" x14ac:dyDescent="0.6">
      <c r="BK706" s="4" t="str">
        <f>IFERROR(VLOOKUP(TEXT($B$3,"yyyymmdd")&amp;"_"&amp;TEXT(695,"0000"),RawData!$A$2:$F$1441,4,FALSE),"")</f>
        <v>FE</v>
      </c>
      <c r="BL706" s="19">
        <f>TIME(0,0,0)+695/1440</f>
        <v>0.4826388888888889</v>
      </c>
      <c r="BM706" s="4">
        <f>IFERROR(VLOOKUP(TEXT($B$3,"yyyymmdd")&amp;"_"&amp;TEXT(695,"0000"),RawData!$A$2:$F$1441,5,FALSE),"")</f>
        <v>3.2200000000000002E-4</v>
      </c>
      <c r="BN706" s="4">
        <f t="shared" si="12"/>
        <v>0</v>
      </c>
    </row>
    <row r="707" spans="63:66" x14ac:dyDescent="0.6">
      <c r="BK707" s="4" t="str">
        <f>IFERROR(VLOOKUP(TEXT($B$3,"yyyymmdd")&amp;"_"&amp;TEXT(696,"0000"),RawData!$A$2:$F$1441,4,FALSE),"")</f>
        <v>FE</v>
      </c>
      <c r="BL707" s="19">
        <f>TIME(0,0,0)+696/1440</f>
        <v>0.48333333333333334</v>
      </c>
      <c r="BM707" s="4">
        <f>IFERROR(VLOOKUP(TEXT($B$3,"yyyymmdd")&amp;"_"&amp;TEXT(696,"0000"),RawData!$A$2:$F$1441,5,FALSE),"")</f>
        <v>0</v>
      </c>
      <c r="BN707" s="4">
        <f t="shared" si="12"/>
        <v>0</v>
      </c>
    </row>
    <row r="708" spans="63:66" x14ac:dyDescent="0.6">
      <c r="BK708" s="4" t="str">
        <f>IFERROR(VLOOKUP(TEXT($B$3,"yyyymmdd")&amp;"_"&amp;TEXT(697,"0000"),RawData!$A$2:$F$1441,4,FALSE),"")</f>
        <v>FE</v>
      </c>
      <c r="BL708" s="19">
        <f>TIME(0,0,0)+697/1440</f>
        <v>0.48402777777777778</v>
      </c>
      <c r="BM708" s="4">
        <f>IFERROR(VLOOKUP(TEXT($B$3,"yyyymmdd")&amp;"_"&amp;TEXT(697,"0000"),RawData!$A$2:$F$1441,5,FALSE),"")</f>
        <v>0</v>
      </c>
      <c r="BN708" s="4">
        <f t="shared" si="12"/>
        <v>0</v>
      </c>
    </row>
    <row r="709" spans="63:66" x14ac:dyDescent="0.6">
      <c r="BK709" s="4" t="str">
        <f>IFERROR(VLOOKUP(TEXT($B$3,"yyyymmdd")&amp;"_"&amp;TEXT(698,"0000"),RawData!$A$2:$F$1441,4,FALSE),"")</f>
        <v>FE</v>
      </c>
      <c r="BL709" s="19">
        <f>TIME(0,0,0)+698/1440</f>
        <v>0.48472222222222222</v>
      </c>
      <c r="BM709" s="4">
        <f>IFERROR(VLOOKUP(TEXT($B$3,"yyyymmdd")&amp;"_"&amp;TEXT(698,"0000"),RawData!$A$2:$F$1441,5,FALSE),"")</f>
        <v>5.3300000000000005E-4</v>
      </c>
      <c r="BN709" s="4">
        <f t="shared" si="12"/>
        <v>0</v>
      </c>
    </row>
    <row r="710" spans="63:66" x14ac:dyDescent="0.6">
      <c r="BK710" s="4" t="str">
        <f>IFERROR(VLOOKUP(TEXT($B$3,"yyyymmdd")&amp;"_"&amp;TEXT(699,"0000"),RawData!$A$2:$F$1441,4,FALSE),"")</f>
        <v>FE</v>
      </c>
      <c r="BL710" s="19">
        <f>TIME(0,0,0)+699/1440</f>
        <v>0.48541666666666666</v>
      </c>
      <c r="BM710" s="4">
        <f>IFERROR(VLOOKUP(TEXT($B$3,"yyyymmdd")&amp;"_"&amp;TEXT(699,"0000"),RawData!$A$2:$F$1441,5,FALSE),"")</f>
        <v>0</v>
      </c>
      <c r="BN710" s="4">
        <f t="shared" si="12"/>
        <v>0</v>
      </c>
    </row>
    <row r="711" spans="63:66" x14ac:dyDescent="0.6">
      <c r="BK711" s="4" t="str">
        <f>IFERROR(VLOOKUP(TEXT($B$3,"yyyymmdd")&amp;"_"&amp;TEXT(700,"0000"),RawData!$A$2:$F$1441,4,FALSE),"")</f>
        <v>FE</v>
      </c>
      <c r="BL711" s="19">
        <f>TIME(0,0,0)+700/1440</f>
        <v>0.4861111111111111</v>
      </c>
      <c r="BM711" s="4">
        <f>IFERROR(VLOOKUP(TEXT($B$3,"yyyymmdd")&amp;"_"&amp;TEXT(700,"0000"),RawData!$A$2:$F$1441,5,FALSE),"")</f>
        <v>0</v>
      </c>
      <c r="BN711" s="4">
        <f t="shared" si="12"/>
        <v>0</v>
      </c>
    </row>
    <row r="712" spans="63:66" x14ac:dyDescent="0.6">
      <c r="BK712" s="4" t="str">
        <f>IFERROR(VLOOKUP(TEXT($B$3,"yyyymmdd")&amp;"_"&amp;TEXT(701,"0000"),RawData!$A$2:$F$1441,4,FALSE),"")</f>
        <v>FE</v>
      </c>
      <c r="BL712" s="19">
        <f>TIME(0,0,0)+701/1440</f>
        <v>0.48680555555555555</v>
      </c>
      <c r="BM712" s="4">
        <f>IFERROR(VLOOKUP(TEXT($B$3,"yyyymmdd")&amp;"_"&amp;TEXT(701,"0000"),RawData!$A$2:$F$1441,5,FALSE),"")</f>
        <v>0</v>
      </c>
      <c r="BN712" s="4">
        <f t="shared" si="12"/>
        <v>0</v>
      </c>
    </row>
    <row r="713" spans="63:66" x14ac:dyDescent="0.6">
      <c r="BK713" s="4" t="str">
        <f>IFERROR(VLOOKUP(TEXT($B$3,"yyyymmdd")&amp;"_"&amp;TEXT(702,"0000"),RawData!$A$2:$F$1441,4,FALSE),"")</f>
        <v>FE</v>
      </c>
      <c r="BL713" s="19">
        <f>TIME(0,0,0)+702/1440</f>
        <v>0.48749999999999999</v>
      </c>
      <c r="BM713" s="4">
        <f>IFERROR(VLOOKUP(TEXT($B$3,"yyyymmdd")&amp;"_"&amp;TEXT(702,"0000"),RawData!$A$2:$F$1441,5,FALSE),"")</f>
        <v>0</v>
      </c>
      <c r="BN713" s="4">
        <f t="shared" si="12"/>
        <v>0</v>
      </c>
    </row>
    <row r="714" spans="63:66" x14ac:dyDescent="0.6">
      <c r="BK714" s="4" t="str">
        <f>IFERROR(VLOOKUP(TEXT($B$3,"yyyymmdd")&amp;"_"&amp;TEXT(703,"0000"),RawData!$A$2:$F$1441,4,FALSE),"")</f>
        <v>FE</v>
      </c>
      <c r="BL714" s="19">
        <f>TIME(0,0,0)+703/1440</f>
        <v>0.48819444444444443</v>
      </c>
      <c r="BM714" s="4">
        <f>IFERROR(VLOOKUP(TEXT($B$3,"yyyymmdd")&amp;"_"&amp;TEXT(703,"0000"),RawData!$A$2:$F$1441,5,FALSE),"")</f>
        <v>0</v>
      </c>
      <c r="BN714" s="4">
        <f t="shared" si="12"/>
        <v>0</v>
      </c>
    </row>
    <row r="715" spans="63:66" x14ac:dyDescent="0.6">
      <c r="BK715" s="4" t="str">
        <f>IFERROR(VLOOKUP(TEXT($B$3,"yyyymmdd")&amp;"_"&amp;TEXT(704,"0000"),RawData!$A$2:$F$1441,4,FALSE),"")</f>
        <v>FE</v>
      </c>
      <c r="BL715" s="19">
        <f>TIME(0,0,0)+704/1440</f>
        <v>0.48888888888888887</v>
      </c>
      <c r="BM715" s="4">
        <f>IFERROR(VLOOKUP(TEXT($B$3,"yyyymmdd")&amp;"_"&amp;TEXT(704,"0000"),RawData!$A$2:$F$1441,5,FALSE),"")</f>
        <v>5.0900000000000001E-4</v>
      </c>
      <c r="BN715" s="4">
        <f t="shared" si="12"/>
        <v>0</v>
      </c>
    </row>
    <row r="716" spans="63:66" x14ac:dyDescent="0.6">
      <c r="BK716" s="4" t="str">
        <f>IFERROR(VLOOKUP(TEXT($B$3,"yyyymmdd")&amp;"_"&amp;TEXT(705,"0000"),RawData!$A$2:$F$1441,4,FALSE),"")</f>
        <v>FE</v>
      </c>
      <c r="BL716" s="19">
        <f>TIME(0,0,0)+705/1440</f>
        <v>0.48958333333333331</v>
      </c>
      <c r="BM716" s="4">
        <f>IFERROR(VLOOKUP(TEXT($B$3,"yyyymmdd")&amp;"_"&amp;TEXT(705,"0000"),RawData!$A$2:$F$1441,5,FALSE),"")</f>
        <v>2.32E-4</v>
      </c>
      <c r="BN716" s="4">
        <f t="shared" si="12"/>
        <v>0</v>
      </c>
    </row>
    <row r="717" spans="63:66" x14ac:dyDescent="0.6">
      <c r="BK717" s="4" t="str">
        <f>IFERROR(VLOOKUP(TEXT($B$3,"yyyymmdd")&amp;"_"&amp;TEXT(706,"0000"),RawData!$A$2:$F$1441,4,FALSE),"")</f>
        <v>FE</v>
      </c>
      <c r="BL717" s="19">
        <f>TIME(0,0,0)+706/1440</f>
        <v>0.49027777777777776</v>
      </c>
      <c r="BM717" s="4">
        <f>IFERROR(VLOOKUP(TEXT($B$3,"yyyymmdd")&amp;"_"&amp;TEXT(706,"0000"),RawData!$A$2:$F$1441,5,FALSE),"")</f>
        <v>3.6099999999999999E-4</v>
      </c>
      <c r="BN717" s="4">
        <f t="shared" si="12"/>
        <v>0</v>
      </c>
    </row>
    <row r="718" spans="63:66" x14ac:dyDescent="0.6">
      <c r="BK718" s="4" t="str">
        <f>IFERROR(VLOOKUP(TEXT($B$3,"yyyymmdd")&amp;"_"&amp;TEXT(707,"0000"),RawData!$A$2:$F$1441,4,FALSE),"")</f>
        <v>FE</v>
      </c>
      <c r="BL718" s="19">
        <f>TIME(0,0,0)+707/1440</f>
        <v>0.4909722222222222</v>
      </c>
      <c r="BM718" s="4">
        <f>IFERROR(VLOOKUP(TEXT($B$3,"yyyymmdd")&amp;"_"&amp;TEXT(707,"0000"),RawData!$A$2:$F$1441,5,FALSE),"")</f>
        <v>0</v>
      </c>
      <c r="BN718" s="4">
        <f t="shared" si="12"/>
        <v>0</v>
      </c>
    </row>
    <row r="719" spans="63:66" x14ac:dyDescent="0.6">
      <c r="BK719" s="4" t="str">
        <f>IFERROR(VLOOKUP(TEXT($B$3,"yyyymmdd")&amp;"_"&amp;TEXT(708,"0000"),RawData!$A$2:$F$1441,4,FALSE),"")</f>
        <v>FE</v>
      </c>
      <c r="BL719" s="19">
        <f>TIME(0,0,0)+708/1440</f>
        <v>0.49166666666666664</v>
      </c>
      <c r="BM719" s="4">
        <f>IFERROR(VLOOKUP(TEXT($B$3,"yyyymmdd")&amp;"_"&amp;TEXT(708,"0000"),RawData!$A$2:$F$1441,5,FALSE),"")</f>
        <v>0</v>
      </c>
      <c r="BN719" s="4">
        <f t="shared" si="12"/>
        <v>0</v>
      </c>
    </row>
    <row r="720" spans="63:66" x14ac:dyDescent="0.6">
      <c r="BK720" s="4" t="str">
        <f>IFERROR(VLOOKUP(TEXT($B$3,"yyyymmdd")&amp;"_"&amp;TEXT(709,"0000"),RawData!$A$2:$F$1441,4,FALSE),"")</f>
        <v>FE</v>
      </c>
      <c r="BL720" s="19">
        <f>TIME(0,0,0)+709/1440</f>
        <v>0.49236111111111114</v>
      </c>
      <c r="BM720" s="4">
        <f>IFERROR(VLOOKUP(TEXT($B$3,"yyyymmdd")&amp;"_"&amp;TEXT(709,"0000"),RawData!$A$2:$F$1441,5,FALSE),"")</f>
        <v>0</v>
      </c>
      <c r="BN720" s="4">
        <f t="shared" si="12"/>
        <v>0</v>
      </c>
    </row>
    <row r="721" spans="63:66" x14ac:dyDescent="0.6">
      <c r="BK721" s="4" t="str">
        <f>IFERROR(VLOOKUP(TEXT($B$3,"yyyymmdd")&amp;"_"&amp;TEXT(710,"0000"),RawData!$A$2:$F$1441,4,FALSE),"")</f>
        <v>FE</v>
      </c>
      <c r="BL721" s="19">
        <f>TIME(0,0,0)+710/1440</f>
        <v>0.49305555555555558</v>
      </c>
      <c r="BM721" s="4">
        <f>IFERROR(VLOOKUP(TEXT($B$3,"yyyymmdd")&amp;"_"&amp;TEXT(710,"0000"),RawData!$A$2:$F$1441,5,FALSE),"")</f>
        <v>0</v>
      </c>
      <c r="BN721" s="4">
        <f t="shared" si="12"/>
        <v>0</v>
      </c>
    </row>
    <row r="722" spans="63:66" x14ac:dyDescent="0.6">
      <c r="BK722" s="4" t="str">
        <f>IFERROR(VLOOKUP(TEXT($B$3,"yyyymmdd")&amp;"_"&amp;TEXT(711,"0000"),RawData!$A$2:$F$1441,4,FALSE),"")</f>
        <v>FE</v>
      </c>
      <c r="BL722" s="19">
        <f>TIME(0,0,0)+711/1440</f>
        <v>0.49375000000000002</v>
      </c>
      <c r="BM722" s="4">
        <f>IFERROR(VLOOKUP(TEXT($B$3,"yyyymmdd")&amp;"_"&amp;TEXT(711,"0000"),RawData!$A$2:$F$1441,5,FALSE),"")</f>
        <v>4.3199999999999998E-4</v>
      </c>
      <c r="BN722" s="4">
        <f t="shared" si="12"/>
        <v>0</v>
      </c>
    </row>
    <row r="723" spans="63:66" x14ac:dyDescent="0.6">
      <c r="BK723" s="4" t="str">
        <f>IFERROR(VLOOKUP(TEXT($B$3,"yyyymmdd")&amp;"_"&amp;TEXT(712,"0000"),RawData!$A$2:$F$1441,4,FALSE),"")</f>
        <v>FE</v>
      </c>
      <c r="BL723" s="19">
        <f>TIME(0,0,0)+712/1440</f>
        <v>0.49444444444444446</v>
      </c>
      <c r="BM723" s="4">
        <f>IFERROR(VLOOKUP(TEXT($B$3,"yyyymmdd")&amp;"_"&amp;TEXT(712,"0000"),RawData!$A$2:$F$1441,5,FALSE),"")</f>
        <v>0</v>
      </c>
      <c r="BN723" s="4">
        <f t="shared" si="12"/>
        <v>0</v>
      </c>
    </row>
    <row r="724" spans="63:66" x14ac:dyDescent="0.6">
      <c r="BK724" s="4" t="str">
        <f>IFERROR(VLOOKUP(TEXT($B$3,"yyyymmdd")&amp;"_"&amp;TEXT(713,"0000"),RawData!$A$2:$F$1441,4,FALSE),"")</f>
        <v>FE</v>
      </c>
      <c r="BL724" s="19">
        <f>TIME(0,0,0)+713/1440</f>
        <v>0.49513888888888891</v>
      </c>
      <c r="BM724" s="4">
        <f>IFERROR(VLOOKUP(TEXT($B$3,"yyyymmdd")&amp;"_"&amp;TEXT(713,"0000"),RawData!$A$2:$F$1441,5,FALSE),"")</f>
        <v>0</v>
      </c>
      <c r="BN724" s="4">
        <f t="shared" si="12"/>
        <v>0</v>
      </c>
    </row>
    <row r="725" spans="63:66" x14ac:dyDescent="0.6">
      <c r="BK725" s="4" t="str">
        <f>IFERROR(VLOOKUP(TEXT($B$3,"yyyymmdd")&amp;"_"&amp;TEXT(714,"0000"),RawData!$A$2:$F$1441,4,FALSE),"")</f>
        <v>FE</v>
      </c>
      <c r="BL725" s="19">
        <f>TIME(0,0,0)+714/1440</f>
        <v>0.49583333333333335</v>
      </c>
      <c r="BM725" s="4">
        <f>IFERROR(VLOOKUP(TEXT($B$3,"yyyymmdd")&amp;"_"&amp;TEXT(714,"0000"),RawData!$A$2:$F$1441,5,FALSE),"")</f>
        <v>0</v>
      </c>
      <c r="BN725" s="4">
        <f t="shared" si="12"/>
        <v>0</v>
      </c>
    </row>
    <row r="726" spans="63:66" x14ac:dyDescent="0.6">
      <c r="BK726" s="4" t="str">
        <f>IFERROR(VLOOKUP(TEXT($B$3,"yyyymmdd")&amp;"_"&amp;TEXT(715,"0000"),RawData!$A$2:$F$1441,4,FALSE),"")</f>
        <v>FE</v>
      </c>
      <c r="BL726" s="19">
        <f>TIME(0,0,0)+715/1440</f>
        <v>0.49652777777777779</v>
      </c>
      <c r="BM726" s="4">
        <f>IFERROR(VLOOKUP(TEXT($B$3,"yyyymmdd")&amp;"_"&amp;TEXT(715,"0000"),RawData!$A$2:$F$1441,5,FALSE),"")</f>
        <v>0</v>
      </c>
      <c r="BN726" s="4">
        <f t="shared" si="12"/>
        <v>0</v>
      </c>
    </row>
    <row r="727" spans="63:66" x14ac:dyDescent="0.6">
      <c r="BK727" s="4" t="str">
        <f>IFERROR(VLOOKUP(TEXT($B$3,"yyyymmdd")&amp;"_"&amp;TEXT(716,"0000"),RawData!$A$2:$F$1441,4,FALSE),"")</f>
        <v>FE</v>
      </c>
      <c r="BL727" s="19">
        <f>TIME(0,0,0)+716/1440</f>
        <v>0.49722222222222223</v>
      </c>
      <c r="BM727" s="4">
        <f>IFERROR(VLOOKUP(TEXT($B$3,"yyyymmdd")&amp;"_"&amp;TEXT(716,"0000"),RawData!$A$2:$F$1441,5,FALSE),"")</f>
        <v>0</v>
      </c>
      <c r="BN727" s="4">
        <f t="shared" si="12"/>
        <v>0</v>
      </c>
    </row>
    <row r="728" spans="63:66" x14ac:dyDescent="0.6">
      <c r="BK728" s="4" t="str">
        <f>IFERROR(VLOOKUP(TEXT($B$3,"yyyymmdd")&amp;"_"&amp;TEXT(717,"0000"),RawData!$A$2:$F$1441,4,FALSE),"")</f>
        <v>FE</v>
      </c>
      <c r="BL728" s="19">
        <f>TIME(0,0,0)+717/1440</f>
        <v>0.49791666666666667</v>
      </c>
      <c r="BM728" s="4">
        <f>IFERROR(VLOOKUP(TEXT($B$3,"yyyymmdd")&amp;"_"&amp;TEXT(717,"0000"),RawData!$A$2:$F$1441,5,FALSE),"")</f>
        <v>0</v>
      </c>
      <c r="BN728" s="4">
        <f t="shared" si="12"/>
        <v>0</v>
      </c>
    </row>
    <row r="729" spans="63:66" x14ac:dyDescent="0.6">
      <c r="BK729" s="4" t="str">
        <f>IFERROR(VLOOKUP(TEXT($B$3,"yyyymmdd")&amp;"_"&amp;TEXT(718,"0000"),RawData!$A$2:$F$1441,4,FALSE),"")</f>
        <v>FE</v>
      </c>
      <c r="BL729" s="19">
        <f>TIME(0,0,0)+718/1440</f>
        <v>0.49861111111111112</v>
      </c>
      <c r="BM729" s="4">
        <f>IFERROR(VLOOKUP(TEXT($B$3,"yyyymmdd")&amp;"_"&amp;TEXT(718,"0000"),RawData!$A$2:$F$1441,5,FALSE),"")</f>
        <v>0</v>
      </c>
      <c r="BN729" s="4">
        <f t="shared" si="12"/>
        <v>0</v>
      </c>
    </row>
    <row r="730" spans="63:66" x14ac:dyDescent="0.6">
      <c r="BK730" s="4" t="str">
        <f>IFERROR(VLOOKUP(TEXT($B$3,"yyyymmdd")&amp;"_"&amp;TEXT(719,"0000"),RawData!$A$2:$F$1441,4,FALSE),"")</f>
        <v>FE</v>
      </c>
      <c r="BL730" s="19">
        <f>TIME(0,0,0)+719/1440</f>
        <v>0.49930555555555556</v>
      </c>
      <c r="BM730" s="4">
        <f>IFERROR(VLOOKUP(TEXT($B$3,"yyyymmdd")&amp;"_"&amp;TEXT(719,"0000"),RawData!$A$2:$F$1441,5,FALSE),"")</f>
        <v>0</v>
      </c>
      <c r="BN730" s="4">
        <f t="shared" si="12"/>
        <v>0</v>
      </c>
    </row>
    <row r="731" spans="63:66" x14ac:dyDescent="0.6">
      <c r="BK731" s="4" t="str">
        <f>IFERROR(VLOOKUP(TEXT($B$3,"yyyymmdd")&amp;"_"&amp;TEXT(720,"0000"),RawData!$A$2:$F$1441,4,FALSE),"")</f>
        <v>FE</v>
      </c>
      <c r="BL731" s="19">
        <f>TIME(0,0,0)+720/1440</f>
        <v>0.5</v>
      </c>
      <c r="BM731" s="4">
        <f>IFERROR(VLOOKUP(TEXT($B$3,"yyyymmdd")&amp;"_"&amp;TEXT(720,"0000"),RawData!$A$2:$F$1441,5,FALSE),"")</f>
        <v>4.1199999999999999E-4</v>
      </c>
      <c r="BN731" s="4">
        <f t="shared" si="12"/>
        <v>0</v>
      </c>
    </row>
    <row r="732" spans="63:66" x14ac:dyDescent="0.6">
      <c r="BK732" s="4" t="str">
        <f>IFERROR(VLOOKUP(TEXT($B$3,"yyyymmdd")&amp;"_"&amp;TEXT(721,"0000"),RawData!$A$2:$F$1441,4,FALSE),"")</f>
        <v>FE</v>
      </c>
      <c r="BL732" s="19">
        <f>TIME(0,0,0)+721/1440</f>
        <v>0.50069444444444444</v>
      </c>
      <c r="BM732" s="4">
        <f>IFERROR(VLOOKUP(TEXT($B$3,"yyyymmdd")&amp;"_"&amp;TEXT(721,"0000"),RawData!$A$2:$F$1441,5,FALSE),"")</f>
        <v>0</v>
      </c>
      <c r="BN732" s="4">
        <f t="shared" si="12"/>
        <v>0</v>
      </c>
    </row>
    <row r="733" spans="63:66" x14ac:dyDescent="0.6">
      <c r="BK733" s="4" t="str">
        <f>IFERROR(VLOOKUP(TEXT($B$3,"yyyymmdd")&amp;"_"&amp;TEXT(722,"0000"),RawData!$A$2:$F$1441,4,FALSE),"")</f>
        <v>FE</v>
      </c>
      <c r="BL733" s="19">
        <f>TIME(0,0,0)+722/1440</f>
        <v>0.50138888888888888</v>
      </c>
      <c r="BM733" s="4">
        <f>IFERROR(VLOOKUP(TEXT($B$3,"yyyymmdd")&amp;"_"&amp;TEXT(722,"0000"),RawData!$A$2:$F$1441,5,FALSE),"")</f>
        <v>0</v>
      </c>
      <c r="BN733" s="4">
        <f t="shared" si="12"/>
        <v>0</v>
      </c>
    </row>
    <row r="734" spans="63:66" x14ac:dyDescent="0.6">
      <c r="BK734" s="4" t="str">
        <f>IFERROR(VLOOKUP(TEXT($B$3,"yyyymmdd")&amp;"_"&amp;TEXT(723,"0000"),RawData!$A$2:$F$1441,4,FALSE),"")</f>
        <v>FE</v>
      </c>
      <c r="BL734" s="19">
        <f>TIME(0,0,0)+723/1440</f>
        <v>0.50208333333333333</v>
      </c>
      <c r="BM734" s="4">
        <f>IFERROR(VLOOKUP(TEXT($B$3,"yyyymmdd")&amp;"_"&amp;TEXT(723,"0000"),RawData!$A$2:$F$1441,5,FALSE),"")</f>
        <v>0</v>
      </c>
      <c r="BN734" s="4">
        <f t="shared" si="12"/>
        <v>0</v>
      </c>
    </row>
    <row r="735" spans="63:66" x14ac:dyDescent="0.6">
      <c r="BK735" s="4" t="str">
        <f>IFERROR(VLOOKUP(TEXT($B$3,"yyyymmdd")&amp;"_"&amp;TEXT(724,"0000"),RawData!$A$2:$F$1441,4,FALSE),"")</f>
        <v>FE</v>
      </c>
      <c r="BL735" s="19">
        <f>TIME(0,0,0)+724/1440</f>
        <v>0.50277777777777777</v>
      </c>
      <c r="BM735" s="4">
        <f>IFERROR(VLOOKUP(TEXT($B$3,"yyyymmdd")&amp;"_"&amp;TEXT(724,"0000"),RawData!$A$2:$F$1441,5,FALSE),"")</f>
        <v>0</v>
      </c>
      <c r="BN735" s="4">
        <f t="shared" si="12"/>
        <v>0</v>
      </c>
    </row>
    <row r="736" spans="63:66" x14ac:dyDescent="0.6">
      <c r="BK736" s="4" t="str">
        <f>IFERROR(VLOOKUP(TEXT($B$3,"yyyymmdd")&amp;"_"&amp;TEXT(725,"0000"),RawData!$A$2:$F$1441,4,FALSE),"")</f>
        <v>FE</v>
      </c>
      <c r="BL736" s="19">
        <f>TIME(0,0,0)+725/1440</f>
        <v>0.50347222222222221</v>
      </c>
      <c r="BM736" s="4">
        <f>IFERROR(VLOOKUP(TEXT($B$3,"yyyymmdd")&amp;"_"&amp;TEXT(725,"0000"),RawData!$A$2:$F$1441,5,FALSE),"")</f>
        <v>0</v>
      </c>
      <c r="BN736" s="4">
        <f t="shared" si="12"/>
        <v>0</v>
      </c>
    </row>
    <row r="737" spans="63:66" x14ac:dyDescent="0.6">
      <c r="BK737" s="4" t="str">
        <f>IFERROR(VLOOKUP(TEXT($B$3,"yyyymmdd")&amp;"_"&amp;TEXT(726,"0000"),RawData!$A$2:$F$1441,4,FALSE),"")</f>
        <v>FE</v>
      </c>
      <c r="BL737" s="19">
        <f>TIME(0,0,0)+726/1440</f>
        <v>0.50416666666666665</v>
      </c>
      <c r="BM737" s="4">
        <f>IFERROR(VLOOKUP(TEXT($B$3,"yyyymmdd")&amp;"_"&amp;TEXT(726,"0000"),RawData!$A$2:$F$1441,5,FALSE),"")</f>
        <v>0</v>
      </c>
      <c r="BN737" s="4">
        <f t="shared" si="12"/>
        <v>0</v>
      </c>
    </row>
    <row r="738" spans="63:66" x14ac:dyDescent="0.6">
      <c r="BK738" s="4" t="str">
        <f>IFERROR(VLOOKUP(TEXT($B$3,"yyyymmdd")&amp;"_"&amp;TEXT(727,"0000"),RawData!$A$2:$F$1441,4,FALSE),"")</f>
        <v>FE</v>
      </c>
      <c r="BL738" s="19">
        <f>TIME(0,0,0)+727/1440</f>
        <v>0.50486111111111109</v>
      </c>
      <c r="BM738" s="4">
        <f>IFERROR(VLOOKUP(TEXT($B$3,"yyyymmdd")&amp;"_"&amp;TEXT(727,"0000"),RawData!$A$2:$F$1441,5,FALSE),"")</f>
        <v>5.6700000000000001E-4</v>
      </c>
      <c r="BN738" s="4">
        <f t="shared" si="12"/>
        <v>0</v>
      </c>
    </row>
    <row r="739" spans="63:66" x14ac:dyDescent="0.6">
      <c r="BK739" s="4" t="str">
        <f>IFERROR(VLOOKUP(TEXT($B$3,"yyyymmdd")&amp;"_"&amp;TEXT(728,"0000"),RawData!$A$2:$F$1441,4,FALSE),"")</f>
        <v>FE</v>
      </c>
      <c r="BL739" s="19">
        <f>TIME(0,0,0)+728/1440</f>
        <v>0.50555555555555554</v>
      </c>
      <c r="BM739" s="4">
        <f>IFERROR(VLOOKUP(TEXT($B$3,"yyyymmdd")&amp;"_"&amp;TEXT(728,"0000"),RawData!$A$2:$F$1441,5,FALSE),"")</f>
        <v>0</v>
      </c>
      <c r="BN739" s="4">
        <f t="shared" si="12"/>
        <v>0</v>
      </c>
    </row>
    <row r="740" spans="63:66" x14ac:dyDescent="0.6">
      <c r="BK740" s="4" t="str">
        <f>IFERROR(VLOOKUP(TEXT($B$3,"yyyymmdd")&amp;"_"&amp;TEXT(729,"0000"),RawData!$A$2:$F$1441,4,FALSE),"")</f>
        <v>FE</v>
      </c>
      <c r="BL740" s="19">
        <f>TIME(0,0,0)+729/1440</f>
        <v>0.50624999999999998</v>
      </c>
      <c r="BM740" s="4">
        <f>IFERROR(VLOOKUP(TEXT($B$3,"yyyymmdd")&amp;"_"&amp;TEXT(729,"0000"),RawData!$A$2:$F$1441,5,FALSE),"")</f>
        <v>0</v>
      </c>
      <c r="BN740" s="4">
        <f t="shared" si="12"/>
        <v>0</v>
      </c>
    </row>
    <row r="741" spans="63:66" x14ac:dyDescent="0.6">
      <c r="BK741" s="4" t="str">
        <f>IFERROR(VLOOKUP(TEXT($B$3,"yyyymmdd")&amp;"_"&amp;TEXT(730,"0000"),RawData!$A$2:$F$1441,4,FALSE),"")</f>
        <v>FE</v>
      </c>
      <c r="BL741" s="19">
        <f>TIME(0,0,0)+730/1440</f>
        <v>0.50694444444444442</v>
      </c>
      <c r="BM741" s="4">
        <f>IFERROR(VLOOKUP(TEXT($B$3,"yyyymmdd")&amp;"_"&amp;TEXT(730,"0000"),RawData!$A$2:$F$1441,5,FALSE),"")</f>
        <v>2.6699999999999998E-4</v>
      </c>
      <c r="BN741" s="4">
        <f t="shared" si="12"/>
        <v>0</v>
      </c>
    </row>
    <row r="742" spans="63:66" x14ac:dyDescent="0.6">
      <c r="BK742" s="4" t="str">
        <f>IFERROR(VLOOKUP(TEXT($B$3,"yyyymmdd")&amp;"_"&amp;TEXT(731,"0000"),RawData!$A$2:$F$1441,4,FALSE),"")</f>
        <v>FE</v>
      </c>
      <c r="BL742" s="19">
        <f>TIME(0,0,0)+731/1440</f>
        <v>0.50763888888888886</v>
      </c>
      <c r="BM742" s="4">
        <f>IFERROR(VLOOKUP(TEXT($B$3,"yyyymmdd")&amp;"_"&amp;TEXT(731,"0000"),RawData!$A$2:$F$1441,5,FALSE),"")</f>
        <v>0</v>
      </c>
      <c r="BN742" s="4">
        <f t="shared" si="12"/>
        <v>0</v>
      </c>
    </row>
    <row r="743" spans="63:66" x14ac:dyDescent="0.6">
      <c r="BK743" s="4" t="str">
        <f>IFERROR(VLOOKUP(TEXT($B$3,"yyyymmdd")&amp;"_"&amp;TEXT(732,"0000"),RawData!$A$2:$F$1441,4,FALSE),"")</f>
        <v>FE</v>
      </c>
      <c r="BL743" s="19">
        <f>TIME(0,0,0)+732/1440</f>
        <v>0.5083333333333333</v>
      </c>
      <c r="BM743" s="4">
        <f>IFERROR(VLOOKUP(TEXT($B$3,"yyyymmdd")&amp;"_"&amp;TEXT(732,"0000"),RawData!$A$2:$F$1441,5,FALSE),"")</f>
        <v>0</v>
      </c>
      <c r="BN743" s="4">
        <f t="shared" si="12"/>
        <v>0</v>
      </c>
    </row>
    <row r="744" spans="63:66" x14ac:dyDescent="0.6">
      <c r="BK744" s="4" t="str">
        <f>IFERROR(VLOOKUP(TEXT($B$3,"yyyymmdd")&amp;"_"&amp;TEXT(733,"0000"),RawData!$A$2:$F$1441,4,FALSE),"")</f>
        <v>FE</v>
      </c>
      <c r="BL744" s="19">
        <f>TIME(0,0,0)+733/1440</f>
        <v>0.50902777777777775</v>
      </c>
      <c r="BM744" s="4">
        <f>IFERROR(VLOOKUP(TEXT($B$3,"yyyymmdd")&amp;"_"&amp;TEXT(733,"0000"),RawData!$A$2:$F$1441,5,FALSE),"")</f>
        <v>0</v>
      </c>
      <c r="BN744" s="4">
        <f t="shared" si="12"/>
        <v>0</v>
      </c>
    </row>
    <row r="745" spans="63:66" x14ac:dyDescent="0.6">
      <c r="BK745" s="4" t="str">
        <f>IFERROR(VLOOKUP(TEXT($B$3,"yyyymmdd")&amp;"_"&amp;TEXT(734,"0000"),RawData!$A$2:$F$1441,4,FALSE),"")</f>
        <v>FE</v>
      </c>
      <c r="BL745" s="19">
        <f>TIME(0,0,0)+734/1440</f>
        <v>0.50972222222222219</v>
      </c>
      <c r="BM745" s="4">
        <f>IFERROR(VLOOKUP(TEXT($B$3,"yyyymmdd")&amp;"_"&amp;TEXT(734,"0000"),RawData!$A$2:$F$1441,5,FALSE),"")</f>
        <v>0</v>
      </c>
      <c r="BN745" s="4">
        <f t="shared" si="12"/>
        <v>0</v>
      </c>
    </row>
    <row r="746" spans="63:66" x14ac:dyDescent="0.6">
      <c r="BK746" s="4" t="str">
        <f>IFERROR(VLOOKUP(TEXT($B$3,"yyyymmdd")&amp;"_"&amp;TEXT(735,"0000"),RawData!$A$2:$F$1441,4,FALSE),"")</f>
        <v>FE</v>
      </c>
      <c r="BL746" s="19">
        <f>TIME(0,0,0)+735/1440</f>
        <v>0.51041666666666663</v>
      </c>
      <c r="BM746" s="4">
        <f>IFERROR(VLOOKUP(TEXT($B$3,"yyyymmdd")&amp;"_"&amp;TEXT(735,"0000"),RawData!$A$2:$F$1441,5,FALSE),"")</f>
        <v>0</v>
      </c>
      <c r="BN746" s="4">
        <f t="shared" si="12"/>
        <v>0</v>
      </c>
    </row>
    <row r="747" spans="63:66" x14ac:dyDescent="0.6">
      <c r="BK747" s="4" t="str">
        <f>IFERROR(VLOOKUP(TEXT($B$3,"yyyymmdd")&amp;"_"&amp;TEXT(736,"0000"),RawData!$A$2:$F$1441,4,FALSE),"")</f>
        <v>FE</v>
      </c>
      <c r="BL747" s="19">
        <f>TIME(0,0,0)+736/1440</f>
        <v>0.51111111111111107</v>
      </c>
      <c r="BM747" s="4">
        <f>IFERROR(VLOOKUP(TEXT($B$3,"yyyymmdd")&amp;"_"&amp;TEXT(736,"0000"),RawData!$A$2:$F$1441,5,FALSE),"")</f>
        <v>0</v>
      </c>
      <c r="BN747" s="4">
        <f t="shared" si="12"/>
        <v>0</v>
      </c>
    </row>
    <row r="748" spans="63:66" x14ac:dyDescent="0.6">
      <c r="BK748" s="4" t="str">
        <f>IFERROR(VLOOKUP(TEXT($B$3,"yyyymmdd")&amp;"_"&amp;TEXT(737,"0000"),RawData!$A$2:$F$1441,4,FALSE),"")</f>
        <v>FE</v>
      </c>
      <c r="BL748" s="19">
        <f>TIME(0,0,0)+737/1440</f>
        <v>0.51180555555555551</v>
      </c>
      <c r="BM748" s="4">
        <f>IFERROR(VLOOKUP(TEXT($B$3,"yyyymmdd")&amp;"_"&amp;TEXT(737,"0000"),RawData!$A$2:$F$1441,5,FALSE),"")</f>
        <v>5.2300000000000003E-4</v>
      </c>
      <c r="BN748" s="4">
        <f t="shared" si="12"/>
        <v>0</v>
      </c>
    </row>
    <row r="749" spans="63:66" x14ac:dyDescent="0.6">
      <c r="BK749" s="4" t="str">
        <f>IFERROR(VLOOKUP(TEXT($B$3,"yyyymmdd")&amp;"_"&amp;TEXT(738,"0000"),RawData!$A$2:$F$1441,4,FALSE),"")</f>
        <v>FE</v>
      </c>
      <c r="BL749" s="19">
        <f>TIME(0,0,0)+738/1440</f>
        <v>0.51249999999999996</v>
      </c>
      <c r="BM749" s="4">
        <f>IFERROR(VLOOKUP(TEXT($B$3,"yyyymmdd")&amp;"_"&amp;TEXT(738,"0000"),RawData!$A$2:$F$1441,5,FALSE),"")</f>
        <v>0</v>
      </c>
      <c r="BN749" s="4">
        <f t="shared" si="12"/>
        <v>0</v>
      </c>
    </row>
    <row r="750" spans="63:66" x14ac:dyDescent="0.6">
      <c r="BK750" s="4" t="str">
        <f>IFERROR(VLOOKUP(TEXT($B$3,"yyyymmdd")&amp;"_"&amp;TEXT(739,"0000"),RawData!$A$2:$F$1441,4,FALSE),"")</f>
        <v>FE</v>
      </c>
      <c r="BL750" s="19">
        <f>TIME(0,0,0)+739/1440</f>
        <v>0.5131944444444444</v>
      </c>
      <c r="BM750" s="4">
        <f>IFERROR(VLOOKUP(TEXT($B$3,"yyyymmdd")&amp;"_"&amp;TEXT(739,"0000"),RawData!$A$2:$F$1441,5,FALSE),"")</f>
        <v>0</v>
      </c>
      <c r="BN750" s="4">
        <f t="shared" si="12"/>
        <v>0</v>
      </c>
    </row>
    <row r="751" spans="63:66" x14ac:dyDescent="0.6">
      <c r="BK751" s="4" t="str">
        <f>IFERROR(VLOOKUP(TEXT($B$3,"yyyymmdd")&amp;"_"&amp;TEXT(740,"0000"),RawData!$A$2:$F$1441,4,FALSE),"")</f>
        <v>FE</v>
      </c>
      <c r="BL751" s="19">
        <f>TIME(0,0,0)+740/1440</f>
        <v>0.51388888888888884</v>
      </c>
      <c r="BM751" s="4">
        <f>IFERROR(VLOOKUP(TEXT($B$3,"yyyymmdd")&amp;"_"&amp;TEXT(740,"0000"),RawData!$A$2:$F$1441,5,FALSE),"")</f>
        <v>3.9899999999999999E-4</v>
      </c>
      <c r="BN751" s="4">
        <f t="shared" si="12"/>
        <v>0</v>
      </c>
    </row>
    <row r="752" spans="63:66" x14ac:dyDescent="0.6">
      <c r="BK752" s="4" t="str">
        <f>IFERROR(VLOOKUP(TEXT($B$3,"yyyymmdd")&amp;"_"&amp;TEXT(741,"0000"),RawData!$A$2:$F$1441,4,FALSE),"")</f>
        <v>FE</v>
      </c>
      <c r="BL752" s="19">
        <f>TIME(0,0,0)+741/1440</f>
        <v>0.51458333333333328</v>
      </c>
      <c r="BM752" s="4">
        <f>IFERROR(VLOOKUP(TEXT($B$3,"yyyymmdd")&amp;"_"&amp;TEXT(741,"0000"),RawData!$A$2:$F$1441,5,FALSE),"")</f>
        <v>0</v>
      </c>
      <c r="BN752" s="4">
        <f t="shared" ref="BN752:BN815" si="13">IF(BK746="","",IF(BK746&lt;&gt;BK745,1,0))</f>
        <v>0</v>
      </c>
    </row>
    <row r="753" spans="63:66" x14ac:dyDescent="0.6">
      <c r="BK753" s="4" t="str">
        <f>IFERROR(VLOOKUP(TEXT($B$3,"yyyymmdd")&amp;"_"&amp;TEXT(742,"0000"),RawData!$A$2:$F$1441,4,FALSE),"")</f>
        <v>FE</v>
      </c>
      <c r="BL753" s="19">
        <f>TIME(0,0,0)+742/1440</f>
        <v>0.51527777777777772</v>
      </c>
      <c r="BM753" s="4">
        <f>IFERROR(VLOOKUP(TEXT($B$3,"yyyymmdd")&amp;"_"&amp;TEXT(742,"0000"),RawData!$A$2:$F$1441,5,FALSE),"")</f>
        <v>0</v>
      </c>
      <c r="BN753" s="4">
        <f t="shared" si="13"/>
        <v>0</v>
      </c>
    </row>
    <row r="754" spans="63:66" x14ac:dyDescent="0.6">
      <c r="BK754" s="4" t="str">
        <f>IFERROR(VLOOKUP(TEXT($B$3,"yyyymmdd")&amp;"_"&amp;TEXT(743,"0000"),RawData!$A$2:$F$1441,4,FALSE),"")</f>
        <v>FE</v>
      </c>
      <c r="BL754" s="19">
        <f>TIME(0,0,0)+743/1440</f>
        <v>0.51597222222222228</v>
      </c>
      <c r="BM754" s="4">
        <f>IFERROR(VLOOKUP(TEXT($B$3,"yyyymmdd")&amp;"_"&amp;TEXT(743,"0000"),RawData!$A$2:$F$1441,5,FALSE),"")</f>
        <v>0</v>
      </c>
      <c r="BN754" s="4">
        <f t="shared" si="13"/>
        <v>0</v>
      </c>
    </row>
    <row r="755" spans="63:66" x14ac:dyDescent="0.6">
      <c r="BK755" s="4" t="str">
        <f>IFERROR(VLOOKUP(TEXT($B$3,"yyyymmdd")&amp;"_"&amp;TEXT(744,"0000"),RawData!$A$2:$F$1441,4,FALSE),"")</f>
        <v>FE</v>
      </c>
      <c r="BL755" s="19">
        <f>TIME(0,0,0)+744/1440</f>
        <v>0.51666666666666672</v>
      </c>
      <c r="BM755" s="4">
        <f>IFERROR(VLOOKUP(TEXT($B$3,"yyyymmdd")&amp;"_"&amp;TEXT(744,"0000"),RawData!$A$2:$F$1441,5,FALSE),"")</f>
        <v>4.9700000000000005E-4</v>
      </c>
      <c r="BN755" s="4">
        <f t="shared" si="13"/>
        <v>0</v>
      </c>
    </row>
    <row r="756" spans="63:66" x14ac:dyDescent="0.6">
      <c r="BK756" s="4" t="str">
        <f>IFERROR(VLOOKUP(TEXT($B$3,"yyyymmdd")&amp;"_"&amp;TEXT(745,"0000"),RawData!$A$2:$F$1441,4,FALSE),"")</f>
        <v>FE</v>
      </c>
      <c r="BL756" s="19">
        <f>TIME(0,0,0)+745/1440</f>
        <v>0.51736111111111116</v>
      </c>
      <c r="BM756" s="4">
        <f>IFERROR(VLOOKUP(TEXT($B$3,"yyyymmdd")&amp;"_"&amp;TEXT(745,"0000"),RawData!$A$2:$F$1441,5,FALSE),"")</f>
        <v>0</v>
      </c>
      <c r="BN756" s="4">
        <f t="shared" si="13"/>
        <v>0</v>
      </c>
    </row>
    <row r="757" spans="63:66" x14ac:dyDescent="0.6">
      <c r="BK757" s="4" t="str">
        <f>IFERROR(VLOOKUP(TEXT($B$3,"yyyymmdd")&amp;"_"&amp;TEXT(746,"0000"),RawData!$A$2:$F$1441,4,FALSE),"")</f>
        <v>FE</v>
      </c>
      <c r="BL757" s="19">
        <f>TIME(0,0,0)+746/1440</f>
        <v>0.5180555555555556</v>
      </c>
      <c r="BM757" s="4">
        <f>IFERROR(VLOOKUP(TEXT($B$3,"yyyymmdd")&amp;"_"&amp;TEXT(746,"0000"),RawData!$A$2:$F$1441,5,FALSE),"")</f>
        <v>2.6600000000000001E-4</v>
      </c>
      <c r="BN757" s="4">
        <f t="shared" si="13"/>
        <v>0</v>
      </c>
    </row>
    <row r="758" spans="63:66" x14ac:dyDescent="0.6">
      <c r="BK758" s="4" t="str">
        <f>IFERROR(VLOOKUP(TEXT($B$3,"yyyymmdd")&amp;"_"&amp;TEXT(747,"0000"),RawData!$A$2:$F$1441,4,FALSE),"")</f>
        <v>FE</v>
      </c>
      <c r="BL758" s="19">
        <f>TIME(0,0,0)+747/1440</f>
        <v>0.51875000000000004</v>
      </c>
      <c r="BM758" s="4">
        <f>IFERROR(VLOOKUP(TEXT($B$3,"yyyymmdd")&amp;"_"&amp;TEXT(747,"0000"),RawData!$A$2:$F$1441,5,FALSE),"")</f>
        <v>9.6799999999999995E-5</v>
      </c>
      <c r="BN758" s="4">
        <f t="shared" si="13"/>
        <v>0</v>
      </c>
    </row>
    <row r="759" spans="63:66" x14ac:dyDescent="0.6">
      <c r="BK759" s="4" t="str">
        <f>IFERROR(VLOOKUP(TEXT($B$3,"yyyymmdd")&amp;"_"&amp;TEXT(748,"0000"),RawData!$A$2:$F$1441,4,FALSE),"")</f>
        <v>FE</v>
      </c>
      <c r="BL759" s="19">
        <f>TIME(0,0,0)+748/1440</f>
        <v>0.51944444444444449</v>
      </c>
      <c r="BM759" s="4">
        <f>IFERROR(VLOOKUP(TEXT($B$3,"yyyymmdd")&amp;"_"&amp;TEXT(748,"0000"),RawData!$A$2:$F$1441,5,FALSE),"")</f>
        <v>2.0100000000000001E-4</v>
      </c>
      <c r="BN759" s="4">
        <f t="shared" si="13"/>
        <v>0</v>
      </c>
    </row>
    <row r="760" spans="63:66" x14ac:dyDescent="0.6">
      <c r="BK760" s="4" t="str">
        <f>IFERROR(VLOOKUP(TEXT($B$3,"yyyymmdd")&amp;"_"&amp;TEXT(749,"0000"),RawData!$A$2:$F$1441,4,FALSE),"")</f>
        <v>FE</v>
      </c>
      <c r="BL760" s="19">
        <f>TIME(0,0,0)+749/1440</f>
        <v>0.52013888888888893</v>
      </c>
      <c r="BM760" s="4">
        <f>IFERROR(VLOOKUP(TEXT($B$3,"yyyymmdd")&amp;"_"&amp;TEXT(749,"0000"),RawData!$A$2:$F$1441,5,FALSE),"")</f>
        <v>0</v>
      </c>
      <c r="BN760" s="4">
        <f t="shared" si="13"/>
        <v>0</v>
      </c>
    </row>
    <row r="761" spans="63:66" x14ac:dyDescent="0.6">
      <c r="BK761" s="4" t="str">
        <f>IFERROR(VLOOKUP(TEXT($B$3,"yyyymmdd")&amp;"_"&amp;TEXT(750,"0000"),RawData!$A$2:$F$1441,4,FALSE),"")</f>
        <v>FE</v>
      </c>
      <c r="BL761" s="19">
        <f>TIME(0,0,0)+750/1440</f>
        <v>0.52083333333333337</v>
      </c>
      <c r="BM761" s="4">
        <f>IFERROR(VLOOKUP(TEXT($B$3,"yyyymmdd")&amp;"_"&amp;TEXT(750,"0000"),RawData!$A$2:$F$1441,5,FALSE),"")</f>
        <v>0</v>
      </c>
      <c r="BN761" s="4">
        <f t="shared" si="13"/>
        <v>0</v>
      </c>
    </row>
    <row r="762" spans="63:66" x14ac:dyDescent="0.6">
      <c r="BK762" s="4" t="str">
        <f>IFERROR(VLOOKUP(TEXT($B$3,"yyyymmdd")&amp;"_"&amp;TEXT(751,"0000"),RawData!$A$2:$F$1441,4,FALSE),"")</f>
        <v>FE</v>
      </c>
      <c r="BL762" s="19">
        <f>TIME(0,0,0)+751/1440</f>
        <v>0.52152777777777781</v>
      </c>
      <c r="BM762" s="4">
        <f>IFERROR(VLOOKUP(TEXT($B$3,"yyyymmdd")&amp;"_"&amp;TEXT(751,"0000"),RawData!$A$2:$F$1441,5,FALSE),"")</f>
        <v>4.1599999999999997E-4</v>
      </c>
      <c r="BN762" s="4">
        <f t="shared" si="13"/>
        <v>0</v>
      </c>
    </row>
    <row r="763" spans="63:66" x14ac:dyDescent="0.6">
      <c r="BK763" s="4" t="str">
        <f>IFERROR(VLOOKUP(TEXT($B$3,"yyyymmdd")&amp;"_"&amp;TEXT(752,"0000"),RawData!$A$2:$F$1441,4,FALSE),"")</f>
        <v>FE</v>
      </c>
      <c r="BL763" s="19">
        <f>TIME(0,0,0)+752/1440</f>
        <v>0.52222222222222225</v>
      </c>
      <c r="BM763" s="4">
        <f>IFERROR(VLOOKUP(TEXT($B$3,"yyyymmdd")&amp;"_"&amp;TEXT(752,"0000"),RawData!$A$2:$F$1441,5,FALSE),"")</f>
        <v>0</v>
      </c>
      <c r="BN763" s="4">
        <f t="shared" si="13"/>
        <v>0</v>
      </c>
    </row>
    <row r="764" spans="63:66" x14ac:dyDescent="0.6">
      <c r="BK764" s="4" t="str">
        <f>IFERROR(VLOOKUP(TEXT($B$3,"yyyymmdd")&amp;"_"&amp;TEXT(753,"0000"),RawData!$A$2:$F$1441,4,FALSE),"")</f>
        <v>FE</v>
      </c>
      <c r="BL764" s="19">
        <f>TIME(0,0,0)+753/1440</f>
        <v>0.5229166666666667</v>
      </c>
      <c r="BM764" s="4">
        <f>IFERROR(VLOOKUP(TEXT($B$3,"yyyymmdd")&amp;"_"&amp;TEXT(753,"0000"),RawData!$A$2:$F$1441,5,FALSE),"")</f>
        <v>0</v>
      </c>
      <c r="BN764" s="4">
        <f t="shared" si="13"/>
        <v>0</v>
      </c>
    </row>
    <row r="765" spans="63:66" x14ac:dyDescent="0.6">
      <c r="BK765" s="4" t="str">
        <f>IFERROR(VLOOKUP(TEXT($B$3,"yyyymmdd")&amp;"_"&amp;TEXT(754,"0000"),RawData!$A$2:$F$1441,4,FALSE),"")</f>
        <v>FE</v>
      </c>
      <c r="BL765" s="19">
        <f>TIME(0,0,0)+754/1440</f>
        <v>0.52361111111111114</v>
      </c>
      <c r="BM765" s="4">
        <f>IFERROR(VLOOKUP(TEXT($B$3,"yyyymmdd")&amp;"_"&amp;TEXT(754,"0000"),RawData!$A$2:$F$1441,5,FALSE),"")</f>
        <v>0</v>
      </c>
      <c r="BN765" s="4">
        <f t="shared" si="13"/>
        <v>0</v>
      </c>
    </row>
    <row r="766" spans="63:66" x14ac:dyDescent="0.6">
      <c r="BK766" s="4" t="str">
        <f>IFERROR(VLOOKUP(TEXT($B$3,"yyyymmdd")&amp;"_"&amp;TEXT(755,"0000"),RawData!$A$2:$F$1441,4,FALSE),"")</f>
        <v>FE</v>
      </c>
      <c r="BL766" s="19">
        <f>TIME(0,0,0)+755/1440</f>
        <v>0.52430555555555558</v>
      </c>
      <c r="BM766" s="4">
        <f>IFERROR(VLOOKUP(TEXT($B$3,"yyyymmdd")&amp;"_"&amp;TEXT(755,"0000"),RawData!$A$2:$F$1441,5,FALSE),"")</f>
        <v>4.3300000000000001E-4</v>
      </c>
      <c r="BN766" s="4">
        <f t="shared" si="13"/>
        <v>0</v>
      </c>
    </row>
    <row r="767" spans="63:66" x14ac:dyDescent="0.6">
      <c r="BK767" s="4" t="str">
        <f>IFERROR(VLOOKUP(TEXT($B$3,"yyyymmdd")&amp;"_"&amp;TEXT(756,"0000"),RawData!$A$2:$F$1441,4,FALSE),"")</f>
        <v>14</v>
      </c>
      <c r="BL767" s="19">
        <f>TIME(0,0,0)+756/1440</f>
        <v>0.52500000000000002</v>
      </c>
      <c r="BM767" s="4">
        <f>IFERROR(VLOOKUP(TEXT($B$3,"yyyymmdd")&amp;"_"&amp;TEXT(756,"0000"),RawData!$A$2:$F$1441,5,FALSE),"")</f>
        <v>0</v>
      </c>
      <c r="BN767" s="4">
        <f t="shared" si="13"/>
        <v>0</v>
      </c>
    </row>
    <row r="768" spans="63:66" x14ac:dyDescent="0.6">
      <c r="BK768" s="4" t="str">
        <f>IFERROR(VLOOKUP(TEXT($B$3,"yyyymmdd")&amp;"_"&amp;TEXT(757,"0000"),RawData!$A$2:$F$1441,4,FALSE),"")</f>
        <v>0A</v>
      </c>
      <c r="BL768" s="19">
        <f>TIME(0,0,0)+757/1440</f>
        <v>0.52569444444444446</v>
      </c>
      <c r="BM768" s="4">
        <f>IFERROR(VLOOKUP(TEXT($B$3,"yyyymmdd")&amp;"_"&amp;TEXT(757,"0000"),RawData!$A$2:$F$1441,5,FALSE),"")</f>
        <v>0</v>
      </c>
      <c r="BN768" s="4">
        <f t="shared" si="13"/>
        <v>0</v>
      </c>
    </row>
    <row r="769" spans="63:66" x14ac:dyDescent="0.6">
      <c r="BK769" s="4" t="str">
        <f>IFERROR(VLOOKUP(TEXT($B$3,"yyyymmdd")&amp;"_"&amp;TEXT(758,"0000"),RawData!$A$2:$F$1441,4,FALSE),"")</f>
        <v>1E</v>
      </c>
      <c r="BL769" s="19">
        <f>TIME(0,0,0)+758/1440</f>
        <v>0.52638888888888891</v>
      </c>
      <c r="BM769" s="4">
        <f>IFERROR(VLOOKUP(TEXT($B$3,"yyyymmdd")&amp;"_"&amp;TEXT(758,"0000"),RawData!$A$2:$F$1441,5,FALSE),"")</f>
        <v>2.61E-4</v>
      </c>
      <c r="BN769" s="4">
        <f t="shared" si="13"/>
        <v>0</v>
      </c>
    </row>
    <row r="770" spans="63:66" x14ac:dyDescent="0.6">
      <c r="BK770" s="4" t="str">
        <f>IFERROR(VLOOKUP(TEXT($B$3,"yyyymmdd")&amp;"_"&amp;TEXT(759,"0000"),RawData!$A$2:$F$1441,4,FALSE),"")</f>
        <v>1E</v>
      </c>
      <c r="BL770" s="19">
        <f>TIME(0,0,0)+759/1440</f>
        <v>0.52708333333333335</v>
      </c>
      <c r="BM770" s="4">
        <f>IFERROR(VLOOKUP(TEXT($B$3,"yyyymmdd")&amp;"_"&amp;TEXT(759,"0000"),RawData!$A$2:$F$1441,5,FALSE),"")</f>
        <v>0</v>
      </c>
      <c r="BN770" s="4">
        <f t="shared" si="13"/>
        <v>0</v>
      </c>
    </row>
    <row r="771" spans="63:66" x14ac:dyDescent="0.6">
      <c r="BK771" s="4" t="str">
        <f>IFERROR(VLOOKUP(TEXT($B$3,"yyyymmdd")&amp;"_"&amp;TEXT(760,"0000"),RawData!$A$2:$F$1441,4,FALSE),"")</f>
        <v>1E</v>
      </c>
      <c r="BL771" s="19">
        <f>TIME(0,0,0)+760/1440</f>
        <v>0.52777777777777779</v>
      </c>
      <c r="BM771" s="4">
        <f>IFERROR(VLOOKUP(TEXT($B$3,"yyyymmdd")&amp;"_"&amp;TEXT(760,"0000"),RawData!$A$2:$F$1441,5,FALSE),"")</f>
        <v>0</v>
      </c>
      <c r="BN771" s="4">
        <f t="shared" si="13"/>
        <v>0</v>
      </c>
    </row>
    <row r="772" spans="63:66" x14ac:dyDescent="0.6">
      <c r="BK772" s="4" t="str">
        <f>IFERROR(VLOOKUP(TEXT($B$3,"yyyymmdd")&amp;"_"&amp;TEXT(761,"0000"),RawData!$A$2:$F$1441,4,FALSE),"")</f>
        <v>1E</v>
      </c>
      <c r="BL772" s="19">
        <f>TIME(0,0,0)+761/1440</f>
        <v>0.52847222222222223</v>
      </c>
      <c r="BM772" s="4">
        <f>IFERROR(VLOOKUP(TEXT($B$3,"yyyymmdd")&amp;"_"&amp;TEXT(761,"0000"),RawData!$A$2:$F$1441,5,FALSE),"")</f>
        <v>0</v>
      </c>
      <c r="BN772" s="4">
        <f t="shared" si="13"/>
        <v>0</v>
      </c>
    </row>
    <row r="773" spans="63:66" x14ac:dyDescent="0.6">
      <c r="BK773" s="4" t="str">
        <f>IFERROR(VLOOKUP(TEXT($B$3,"yyyymmdd")&amp;"_"&amp;TEXT(762,"0000"),RawData!$A$2:$F$1441,4,FALSE),"")</f>
        <v>1E</v>
      </c>
      <c r="BL773" s="19">
        <f>TIME(0,0,0)+762/1440</f>
        <v>0.52916666666666667</v>
      </c>
      <c r="BM773" s="4">
        <f>IFERROR(VLOOKUP(TEXT($B$3,"yyyymmdd")&amp;"_"&amp;TEXT(762,"0000"),RawData!$A$2:$F$1441,5,FALSE),"")</f>
        <v>0</v>
      </c>
      <c r="BN773" s="4">
        <f t="shared" si="13"/>
        <v>1</v>
      </c>
    </row>
    <row r="774" spans="63:66" x14ac:dyDescent="0.6">
      <c r="BK774" s="4" t="str">
        <f>IFERROR(VLOOKUP(TEXT($B$3,"yyyymmdd")&amp;"_"&amp;TEXT(763,"0000"),RawData!$A$2:$F$1441,4,FALSE),"")</f>
        <v>1E</v>
      </c>
      <c r="BL774" s="19">
        <f>TIME(0,0,0)+763/1440</f>
        <v>0.52986111111111112</v>
      </c>
      <c r="BM774" s="4">
        <f>IFERROR(VLOOKUP(TEXT($B$3,"yyyymmdd")&amp;"_"&amp;TEXT(763,"0000"),RawData!$A$2:$F$1441,5,FALSE),"")</f>
        <v>1.1193900000000001E-3</v>
      </c>
      <c r="BN774" s="4">
        <f t="shared" si="13"/>
        <v>1</v>
      </c>
    </row>
    <row r="775" spans="63:66" x14ac:dyDescent="0.6">
      <c r="BK775" s="4" t="str">
        <f>IFERROR(VLOOKUP(TEXT($B$3,"yyyymmdd")&amp;"_"&amp;TEXT(764,"0000"),RawData!$A$2:$F$1441,4,FALSE),"")</f>
        <v>1E</v>
      </c>
      <c r="BL775" s="19">
        <f>TIME(0,0,0)+764/1440</f>
        <v>0.53055555555555556</v>
      </c>
      <c r="BM775" s="4">
        <f>IFERROR(VLOOKUP(TEXT($B$3,"yyyymmdd")&amp;"_"&amp;TEXT(764,"0000"),RawData!$A$2:$F$1441,5,FALSE),"")</f>
        <v>0</v>
      </c>
      <c r="BN775" s="4">
        <f t="shared" si="13"/>
        <v>1</v>
      </c>
    </row>
    <row r="776" spans="63:66" x14ac:dyDescent="0.6">
      <c r="BK776" s="4" t="str">
        <f>IFERROR(VLOOKUP(TEXT($B$3,"yyyymmdd")&amp;"_"&amp;TEXT(765,"0000"),RawData!$A$2:$F$1441,4,FALSE),"")</f>
        <v>0A</v>
      </c>
      <c r="BL776" s="19">
        <f>TIME(0,0,0)+765/1440</f>
        <v>0.53125</v>
      </c>
      <c r="BM776" s="4">
        <f>IFERROR(VLOOKUP(TEXT($B$3,"yyyymmdd")&amp;"_"&amp;TEXT(765,"0000"),RawData!$A$2:$F$1441,5,FALSE),"")</f>
        <v>0</v>
      </c>
      <c r="BN776" s="4">
        <f t="shared" si="13"/>
        <v>0</v>
      </c>
    </row>
    <row r="777" spans="63:66" x14ac:dyDescent="0.6">
      <c r="BK777" s="4" t="str">
        <f>IFERROR(VLOOKUP(TEXT($B$3,"yyyymmdd")&amp;"_"&amp;TEXT(766,"0000"),RawData!$A$2:$F$1441,4,FALSE),"")</f>
        <v>1E</v>
      </c>
      <c r="BL777" s="19">
        <f>TIME(0,0,0)+766/1440</f>
        <v>0.53194444444444444</v>
      </c>
      <c r="BM777" s="4">
        <f>IFERROR(VLOOKUP(TEXT($B$3,"yyyymmdd")&amp;"_"&amp;TEXT(766,"0000"),RawData!$A$2:$F$1441,5,FALSE),"")</f>
        <v>6.4800000000000003E-4</v>
      </c>
      <c r="BN777" s="4">
        <f t="shared" si="13"/>
        <v>0</v>
      </c>
    </row>
    <row r="778" spans="63:66" x14ac:dyDescent="0.6">
      <c r="BK778" s="4" t="str">
        <f>IFERROR(VLOOKUP(TEXT($B$3,"yyyymmdd")&amp;"_"&amp;TEXT(767,"0000"),RawData!$A$2:$F$1441,4,FALSE),"")</f>
        <v>1E</v>
      </c>
      <c r="BL778" s="19">
        <f>TIME(0,0,0)+767/1440</f>
        <v>0.53263888888888888</v>
      </c>
      <c r="BM778" s="4">
        <f>IFERROR(VLOOKUP(TEXT($B$3,"yyyymmdd")&amp;"_"&amp;TEXT(767,"0000"),RawData!$A$2:$F$1441,5,FALSE),"")</f>
        <v>4.0700000000000003E-4</v>
      </c>
      <c r="BN778" s="4">
        <f t="shared" si="13"/>
        <v>0</v>
      </c>
    </row>
    <row r="779" spans="63:66" x14ac:dyDescent="0.6">
      <c r="BK779" s="4" t="str">
        <f>IFERROR(VLOOKUP(TEXT($B$3,"yyyymmdd")&amp;"_"&amp;TEXT(768,"0000"),RawData!$A$2:$F$1441,4,FALSE),"")</f>
        <v>0A</v>
      </c>
      <c r="BL779" s="19">
        <f>TIME(0,0,0)+768/1440</f>
        <v>0.53333333333333333</v>
      </c>
      <c r="BM779" s="4">
        <f>IFERROR(VLOOKUP(TEXT($B$3,"yyyymmdd")&amp;"_"&amp;TEXT(768,"0000"),RawData!$A$2:$F$1441,5,FALSE),"")</f>
        <v>0</v>
      </c>
      <c r="BN779" s="4">
        <f t="shared" si="13"/>
        <v>0</v>
      </c>
    </row>
    <row r="780" spans="63:66" x14ac:dyDescent="0.6">
      <c r="BK780" s="4" t="str">
        <f>IFERROR(VLOOKUP(TEXT($B$3,"yyyymmdd")&amp;"_"&amp;TEXT(769,"0000"),RawData!$A$2:$F$1441,4,FALSE),"")</f>
        <v>0A</v>
      </c>
      <c r="BL780" s="19">
        <f>TIME(0,0,0)+769/1440</f>
        <v>0.53402777777777777</v>
      </c>
      <c r="BM780" s="4">
        <f>IFERROR(VLOOKUP(TEXT($B$3,"yyyymmdd")&amp;"_"&amp;TEXT(769,"0000"),RawData!$A$2:$F$1441,5,FALSE),"")</f>
        <v>0</v>
      </c>
      <c r="BN780" s="4">
        <f t="shared" si="13"/>
        <v>0</v>
      </c>
    </row>
    <row r="781" spans="63:66" x14ac:dyDescent="0.6">
      <c r="BK781" s="4" t="str">
        <f>IFERROR(VLOOKUP(TEXT($B$3,"yyyymmdd")&amp;"_"&amp;TEXT(770,"0000"),RawData!$A$2:$F$1441,4,FALSE),"")</f>
        <v>0A</v>
      </c>
      <c r="BL781" s="19">
        <f>TIME(0,0,0)+770/1440</f>
        <v>0.53472222222222221</v>
      </c>
      <c r="BM781" s="4">
        <f>IFERROR(VLOOKUP(TEXT($B$3,"yyyymmdd")&amp;"_"&amp;TEXT(770,"0000"),RawData!$A$2:$F$1441,5,FALSE),"")</f>
        <v>0</v>
      </c>
      <c r="BN781" s="4">
        <f t="shared" si="13"/>
        <v>0</v>
      </c>
    </row>
    <row r="782" spans="63:66" x14ac:dyDescent="0.6">
      <c r="BK782" s="4" t="str">
        <f>IFERROR(VLOOKUP(TEXT($B$3,"yyyymmdd")&amp;"_"&amp;TEXT(771,"0000"),RawData!$A$2:$F$1441,4,FALSE),"")</f>
        <v>1E</v>
      </c>
      <c r="BL782" s="19">
        <f>TIME(0,0,0)+771/1440</f>
        <v>0.53541666666666665</v>
      </c>
      <c r="BM782" s="4">
        <f>IFERROR(VLOOKUP(TEXT($B$3,"yyyymmdd")&amp;"_"&amp;TEXT(771,"0000"),RawData!$A$2:$F$1441,5,FALSE),"")</f>
        <v>4.5300000000000001E-4</v>
      </c>
      <c r="BN782" s="4">
        <f t="shared" si="13"/>
        <v>1</v>
      </c>
    </row>
    <row r="783" spans="63:66" x14ac:dyDescent="0.6">
      <c r="BK783" s="4" t="str">
        <f>IFERROR(VLOOKUP(TEXT($B$3,"yyyymmdd")&amp;"_"&amp;TEXT(772,"0000"),RawData!$A$2:$F$1441,4,FALSE),"")</f>
        <v>1E</v>
      </c>
      <c r="BL783" s="19">
        <f>TIME(0,0,0)+772/1440</f>
        <v>0.53611111111111109</v>
      </c>
      <c r="BM783" s="4">
        <f>IFERROR(VLOOKUP(TEXT($B$3,"yyyymmdd")&amp;"_"&amp;TEXT(772,"0000"),RawData!$A$2:$F$1441,5,FALSE),"")</f>
        <v>0</v>
      </c>
      <c r="BN783" s="4">
        <f t="shared" si="13"/>
        <v>1</v>
      </c>
    </row>
    <row r="784" spans="63:66" x14ac:dyDescent="0.6">
      <c r="BK784" s="4" t="str">
        <f>IFERROR(VLOOKUP(TEXT($B$3,"yyyymmdd")&amp;"_"&amp;TEXT(773,"0000"),RawData!$A$2:$F$1441,4,FALSE),"")</f>
        <v>0A</v>
      </c>
      <c r="BL784" s="19">
        <f>TIME(0,0,0)+773/1440</f>
        <v>0.53680555555555554</v>
      </c>
      <c r="BM784" s="4">
        <f>IFERROR(VLOOKUP(TEXT($B$3,"yyyymmdd")&amp;"_"&amp;TEXT(773,"0000"),RawData!$A$2:$F$1441,5,FALSE),"")</f>
        <v>0</v>
      </c>
      <c r="BN784" s="4">
        <f t="shared" si="13"/>
        <v>0</v>
      </c>
    </row>
    <row r="785" spans="63:66" x14ac:dyDescent="0.6">
      <c r="BK785" s="4" t="str">
        <f>IFERROR(VLOOKUP(TEXT($B$3,"yyyymmdd")&amp;"_"&amp;TEXT(774,"0000"),RawData!$A$2:$F$1441,4,FALSE),"")</f>
        <v>0A</v>
      </c>
      <c r="BL785" s="19">
        <f>TIME(0,0,0)+774/1440</f>
        <v>0.53749999999999998</v>
      </c>
      <c r="BM785" s="4">
        <f>IFERROR(VLOOKUP(TEXT($B$3,"yyyymmdd")&amp;"_"&amp;TEXT(774,"0000"),RawData!$A$2:$F$1441,5,FALSE),"")</f>
        <v>0</v>
      </c>
      <c r="BN785" s="4">
        <f t="shared" si="13"/>
        <v>1</v>
      </c>
    </row>
    <row r="786" spans="63:66" x14ac:dyDescent="0.6">
      <c r="BK786" s="4" t="str">
        <f>IFERROR(VLOOKUP(TEXT($B$3,"yyyymmdd")&amp;"_"&amp;TEXT(775,"0000"),RawData!$A$2:$F$1441,4,FALSE),"")</f>
        <v>0A</v>
      </c>
      <c r="BL786" s="19">
        <f>TIME(0,0,0)+775/1440</f>
        <v>0.53819444444444442</v>
      </c>
      <c r="BM786" s="4">
        <f>IFERROR(VLOOKUP(TEXT($B$3,"yyyymmdd")&amp;"_"&amp;TEXT(775,"0000"),RawData!$A$2:$F$1441,5,FALSE),"")</f>
        <v>0</v>
      </c>
      <c r="BN786" s="4">
        <f t="shared" si="13"/>
        <v>0</v>
      </c>
    </row>
    <row r="787" spans="63:66" x14ac:dyDescent="0.6">
      <c r="BK787" s="4" t="str">
        <f>IFERROR(VLOOKUP(TEXT($B$3,"yyyymmdd")&amp;"_"&amp;TEXT(776,"0000"),RawData!$A$2:$F$1441,4,FALSE),"")</f>
        <v>0A</v>
      </c>
      <c r="BL787" s="19">
        <f>TIME(0,0,0)+776/1440</f>
        <v>0.53888888888888886</v>
      </c>
      <c r="BM787" s="4">
        <f>IFERROR(VLOOKUP(TEXT($B$3,"yyyymmdd")&amp;"_"&amp;TEXT(776,"0000"),RawData!$A$2:$F$1441,5,FALSE),"")</f>
        <v>0</v>
      </c>
      <c r="BN787" s="4">
        <f t="shared" si="13"/>
        <v>0</v>
      </c>
    </row>
    <row r="788" spans="63:66" x14ac:dyDescent="0.6">
      <c r="BK788" s="4" t="str">
        <f>IFERROR(VLOOKUP(TEXT($B$3,"yyyymmdd")&amp;"_"&amp;TEXT(777,"0000"),RawData!$A$2:$F$1441,4,FALSE),"")</f>
        <v>0A</v>
      </c>
      <c r="BL788" s="19">
        <f>TIME(0,0,0)+777/1440</f>
        <v>0.5395833333333333</v>
      </c>
      <c r="BM788" s="4">
        <f>IFERROR(VLOOKUP(TEXT($B$3,"yyyymmdd")&amp;"_"&amp;TEXT(777,"0000"),RawData!$A$2:$F$1441,5,FALSE),"")</f>
        <v>0</v>
      </c>
      <c r="BN788" s="4">
        <f t="shared" si="13"/>
        <v>1</v>
      </c>
    </row>
    <row r="789" spans="63:66" x14ac:dyDescent="0.6">
      <c r="BK789" s="4" t="str">
        <f>IFERROR(VLOOKUP(TEXT($B$3,"yyyymmdd")&amp;"_"&amp;TEXT(778,"0000"),RawData!$A$2:$F$1441,4,FALSE),"")</f>
        <v>1E</v>
      </c>
      <c r="BL789" s="19">
        <f>TIME(0,0,0)+778/1440</f>
        <v>0.54027777777777775</v>
      </c>
      <c r="BM789" s="4">
        <f>IFERROR(VLOOKUP(TEXT($B$3,"yyyymmdd")&amp;"_"&amp;TEXT(778,"0000"),RawData!$A$2:$F$1441,5,FALSE),"")</f>
        <v>0</v>
      </c>
      <c r="BN789" s="4">
        <f t="shared" si="13"/>
        <v>0</v>
      </c>
    </row>
    <row r="790" spans="63:66" x14ac:dyDescent="0.6">
      <c r="BK790" s="4" t="str">
        <f>IFERROR(VLOOKUP(TEXT($B$3,"yyyymmdd")&amp;"_"&amp;TEXT(779,"0000"),RawData!$A$2:$F$1441,4,FALSE),"")</f>
        <v>0A</v>
      </c>
      <c r="BL790" s="19">
        <f>TIME(0,0,0)+779/1440</f>
        <v>0.54097222222222219</v>
      </c>
      <c r="BM790" s="4">
        <f>IFERROR(VLOOKUP(TEXT($B$3,"yyyymmdd")&amp;"_"&amp;TEXT(779,"0000"),RawData!$A$2:$F$1441,5,FALSE),"")</f>
        <v>0</v>
      </c>
      <c r="BN790" s="4">
        <f t="shared" si="13"/>
        <v>1</v>
      </c>
    </row>
    <row r="791" spans="63:66" x14ac:dyDescent="0.6">
      <c r="BK791" s="4" t="str">
        <f>IFERROR(VLOOKUP(TEXT($B$3,"yyyymmdd")&amp;"_"&amp;TEXT(780,"0000"),RawData!$A$2:$F$1441,4,FALSE),"")</f>
        <v>0A</v>
      </c>
      <c r="BL791" s="19">
        <f>TIME(0,0,0)+780/1440</f>
        <v>0.54166666666666663</v>
      </c>
      <c r="BM791" s="4">
        <f>IFERROR(VLOOKUP(TEXT($B$3,"yyyymmdd")&amp;"_"&amp;TEXT(780,"0000"),RawData!$A$2:$F$1441,5,FALSE),"")</f>
        <v>0</v>
      </c>
      <c r="BN791" s="4">
        <f t="shared" si="13"/>
        <v>0</v>
      </c>
    </row>
    <row r="792" spans="63:66" x14ac:dyDescent="0.6">
      <c r="BK792" s="4" t="str">
        <f>IFERROR(VLOOKUP(TEXT($B$3,"yyyymmdd")&amp;"_"&amp;TEXT(781,"0000"),RawData!$A$2:$F$1441,4,FALSE),"")</f>
        <v>1E</v>
      </c>
      <c r="BL792" s="19">
        <f>TIME(0,0,0)+781/1440</f>
        <v>0.54236111111111107</v>
      </c>
      <c r="BM792" s="4">
        <f>IFERROR(VLOOKUP(TEXT($B$3,"yyyymmdd")&amp;"_"&amp;TEXT(781,"0000"),RawData!$A$2:$F$1441,5,FALSE),"")</f>
        <v>0</v>
      </c>
      <c r="BN792" s="4">
        <f t="shared" si="13"/>
        <v>0</v>
      </c>
    </row>
    <row r="793" spans="63:66" x14ac:dyDescent="0.6">
      <c r="BK793" s="4" t="str">
        <f>IFERROR(VLOOKUP(TEXT($B$3,"yyyymmdd")&amp;"_"&amp;TEXT(782,"0000"),RawData!$A$2:$F$1441,4,FALSE),"")</f>
        <v>1E</v>
      </c>
      <c r="BL793" s="19">
        <f>TIME(0,0,0)+782/1440</f>
        <v>0.54305555555555551</v>
      </c>
      <c r="BM793" s="4">
        <f>IFERROR(VLOOKUP(TEXT($B$3,"yyyymmdd")&amp;"_"&amp;TEXT(782,"0000"),RawData!$A$2:$F$1441,5,FALSE),"")</f>
        <v>0</v>
      </c>
      <c r="BN793" s="4">
        <f t="shared" si="13"/>
        <v>0</v>
      </c>
    </row>
    <row r="794" spans="63:66" x14ac:dyDescent="0.6">
      <c r="BK794" s="4" t="str">
        <f>IFERROR(VLOOKUP(TEXT($B$3,"yyyymmdd")&amp;"_"&amp;TEXT(783,"0000"),RawData!$A$2:$F$1441,4,FALSE),"")</f>
        <v>0A</v>
      </c>
      <c r="BL794" s="19">
        <f>TIME(0,0,0)+783/1440</f>
        <v>0.54374999999999996</v>
      </c>
      <c r="BM794" s="4">
        <f>IFERROR(VLOOKUP(TEXT($B$3,"yyyymmdd")&amp;"_"&amp;TEXT(783,"0000"),RawData!$A$2:$F$1441,5,FALSE),"")</f>
        <v>2.63E-4</v>
      </c>
      <c r="BN794" s="4">
        <f t="shared" si="13"/>
        <v>0</v>
      </c>
    </row>
    <row r="795" spans="63:66" x14ac:dyDescent="0.6">
      <c r="BK795" s="4" t="str">
        <f>IFERROR(VLOOKUP(TEXT($B$3,"yyyymmdd")&amp;"_"&amp;TEXT(784,"0000"),RawData!$A$2:$F$1441,4,FALSE),"")</f>
        <v>0A</v>
      </c>
      <c r="BL795" s="19">
        <f>TIME(0,0,0)+784/1440</f>
        <v>0.5444444444444444</v>
      </c>
      <c r="BM795" s="4">
        <f>IFERROR(VLOOKUP(TEXT($B$3,"yyyymmdd")&amp;"_"&amp;TEXT(784,"0000"),RawData!$A$2:$F$1441,5,FALSE),"")</f>
        <v>0</v>
      </c>
      <c r="BN795" s="4">
        <f t="shared" si="13"/>
        <v>1</v>
      </c>
    </row>
    <row r="796" spans="63:66" x14ac:dyDescent="0.6">
      <c r="BK796" s="4" t="str">
        <f>IFERROR(VLOOKUP(TEXT($B$3,"yyyymmdd")&amp;"_"&amp;TEXT(785,"0000"),RawData!$A$2:$F$1441,4,FALSE),"")</f>
        <v>0A</v>
      </c>
      <c r="BL796" s="19">
        <f>TIME(0,0,0)+785/1440</f>
        <v>0.54513888888888884</v>
      </c>
      <c r="BM796" s="4">
        <f>IFERROR(VLOOKUP(TEXT($B$3,"yyyymmdd")&amp;"_"&amp;TEXT(785,"0000"),RawData!$A$2:$F$1441,5,FALSE),"")</f>
        <v>0</v>
      </c>
      <c r="BN796" s="4">
        <f t="shared" si="13"/>
        <v>1</v>
      </c>
    </row>
    <row r="797" spans="63:66" x14ac:dyDescent="0.6">
      <c r="BK797" s="4" t="str">
        <f>IFERROR(VLOOKUP(TEXT($B$3,"yyyymmdd")&amp;"_"&amp;TEXT(786,"0000"),RawData!$A$2:$F$1441,4,FALSE),"")</f>
        <v>0A</v>
      </c>
      <c r="BL797" s="19">
        <f>TIME(0,0,0)+786/1440</f>
        <v>0.54583333333333328</v>
      </c>
      <c r="BM797" s="4">
        <f>IFERROR(VLOOKUP(TEXT($B$3,"yyyymmdd")&amp;"_"&amp;TEXT(786,"0000"),RawData!$A$2:$F$1441,5,FALSE),"")</f>
        <v>0</v>
      </c>
      <c r="BN797" s="4">
        <f t="shared" si="13"/>
        <v>0</v>
      </c>
    </row>
    <row r="798" spans="63:66" x14ac:dyDescent="0.6">
      <c r="BK798" s="4" t="str">
        <f>IFERROR(VLOOKUP(TEXT($B$3,"yyyymmdd")&amp;"_"&amp;TEXT(787,"0000"),RawData!$A$2:$F$1441,4,FALSE),"")</f>
        <v>0A</v>
      </c>
      <c r="BL798" s="19">
        <f>TIME(0,0,0)+787/1440</f>
        <v>0.54652777777777772</v>
      </c>
      <c r="BM798" s="4">
        <f>IFERROR(VLOOKUP(TEXT($B$3,"yyyymmdd")&amp;"_"&amp;TEXT(787,"0000"),RawData!$A$2:$F$1441,5,FALSE),"")</f>
        <v>0</v>
      </c>
      <c r="BN798" s="4">
        <f t="shared" si="13"/>
        <v>1</v>
      </c>
    </row>
    <row r="799" spans="63:66" x14ac:dyDescent="0.6">
      <c r="BK799" s="4" t="str">
        <f>IFERROR(VLOOKUP(TEXT($B$3,"yyyymmdd")&amp;"_"&amp;TEXT(788,"0000"),RawData!$A$2:$F$1441,4,FALSE),"")</f>
        <v>0A</v>
      </c>
      <c r="BL799" s="19">
        <f>TIME(0,0,0)+788/1440</f>
        <v>0.54722222222222228</v>
      </c>
      <c r="BM799" s="4">
        <f>IFERROR(VLOOKUP(TEXT($B$3,"yyyymmdd")&amp;"_"&amp;TEXT(788,"0000"),RawData!$A$2:$F$1441,5,FALSE),"")</f>
        <v>0</v>
      </c>
      <c r="BN799" s="4">
        <f t="shared" si="13"/>
        <v>0</v>
      </c>
    </row>
    <row r="800" spans="63:66" x14ac:dyDescent="0.6">
      <c r="BK800" s="4" t="str">
        <f>IFERROR(VLOOKUP(TEXT($B$3,"yyyymmdd")&amp;"_"&amp;TEXT(789,"0000"),RawData!$A$2:$F$1441,4,FALSE),"")</f>
        <v>0A</v>
      </c>
      <c r="BL800" s="19">
        <f>TIME(0,0,0)+789/1440</f>
        <v>0.54791666666666672</v>
      </c>
      <c r="BM800" s="4">
        <f>IFERROR(VLOOKUP(TEXT($B$3,"yyyymmdd")&amp;"_"&amp;TEXT(789,"0000"),RawData!$A$2:$F$1441,5,FALSE),"")</f>
        <v>0</v>
      </c>
      <c r="BN800" s="4">
        <f t="shared" si="13"/>
        <v>1</v>
      </c>
    </row>
    <row r="801" spans="63:66" x14ac:dyDescent="0.6">
      <c r="BK801" s="4" t="str">
        <f>IFERROR(VLOOKUP(TEXT($B$3,"yyyymmdd")&amp;"_"&amp;TEXT(790,"0000"),RawData!$A$2:$F$1441,4,FALSE),"")</f>
        <v>1E</v>
      </c>
      <c r="BL801" s="19">
        <f>TIME(0,0,0)+790/1440</f>
        <v>0.54861111111111116</v>
      </c>
      <c r="BM801" s="4">
        <f>IFERROR(VLOOKUP(TEXT($B$3,"yyyymmdd")&amp;"_"&amp;TEXT(790,"0000"),RawData!$A$2:$F$1441,5,FALSE),"")</f>
        <v>0</v>
      </c>
      <c r="BN801" s="4">
        <f t="shared" si="13"/>
        <v>0</v>
      </c>
    </row>
    <row r="802" spans="63:66" x14ac:dyDescent="0.6">
      <c r="BK802" s="4" t="str">
        <f>IFERROR(VLOOKUP(TEXT($B$3,"yyyymmdd")&amp;"_"&amp;TEXT(791,"0000"),RawData!$A$2:$F$1441,4,FALSE),"")</f>
        <v>1E</v>
      </c>
      <c r="BL802" s="19">
        <f>TIME(0,0,0)+791/1440</f>
        <v>0.5493055555555556</v>
      </c>
      <c r="BM802" s="4">
        <f>IFERROR(VLOOKUP(TEXT($B$3,"yyyymmdd")&amp;"_"&amp;TEXT(791,"0000"),RawData!$A$2:$F$1441,5,FALSE),"")</f>
        <v>0</v>
      </c>
      <c r="BN802" s="4">
        <f t="shared" si="13"/>
        <v>0</v>
      </c>
    </row>
    <row r="803" spans="63:66" x14ac:dyDescent="0.6">
      <c r="BK803" s="4" t="str">
        <f>IFERROR(VLOOKUP(TEXT($B$3,"yyyymmdd")&amp;"_"&amp;TEXT(792,"0000"),RawData!$A$2:$F$1441,4,FALSE),"")</f>
        <v>0A</v>
      </c>
      <c r="BL803" s="19">
        <f>TIME(0,0,0)+792/1440</f>
        <v>0.55000000000000004</v>
      </c>
      <c r="BM803" s="4">
        <f>IFERROR(VLOOKUP(TEXT($B$3,"yyyymmdd")&amp;"_"&amp;TEXT(792,"0000"),RawData!$A$2:$F$1441,5,FALSE),"")</f>
        <v>0</v>
      </c>
      <c r="BN803" s="4">
        <f t="shared" si="13"/>
        <v>0</v>
      </c>
    </row>
    <row r="804" spans="63:66" x14ac:dyDescent="0.6">
      <c r="BK804" s="4" t="str">
        <f>IFERROR(VLOOKUP(TEXT($B$3,"yyyymmdd")&amp;"_"&amp;TEXT(793,"0000"),RawData!$A$2:$F$1441,4,FALSE),"")</f>
        <v>0A</v>
      </c>
      <c r="BL804" s="19">
        <f>TIME(0,0,0)+793/1440</f>
        <v>0.55069444444444449</v>
      </c>
      <c r="BM804" s="4">
        <f>IFERROR(VLOOKUP(TEXT($B$3,"yyyymmdd")&amp;"_"&amp;TEXT(793,"0000"),RawData!$A$2:$F$1441,5,FALSE),"")</f>
        <v>0</v>
      </c>
      <c r="BN804" s="4">
        <f t="shared" si="13"/>
        <v>0</v>
      </c>
    </row>
    <row r="805" spans="63:66" x14ac:dyDescent="0.6">
      <c r="BK805" s="4" t="str">
        <f>IFERROR(VLOOKUP(TEXT($B$3,"yyyymmdd")&amp;"_"&amp;TEXT(794,"0000"),RawData!$A$2:$F$1441,4,FALSE),"")</f>
        <v>0A</v>
      </c>
      <c r="BL805" s="19">
        <f>TIME(0,0,0)+794/1440</f>
        <v>0.55138888888888893</v>
      </c>
      <c r="BM805" s="4">
        <f>IFERROR(VLOOKUP(TEXT($B$3,"yyyymmdd")&amp;"_"&amp;TEXT(794,"0000"),RawData!$A$2:$F$1441,5,FALSE),"")</f>
        <v>8.92E-4</v>
      </c>
      <c r="BN805" s="4">
        <f t="shared" si="13"/>
        <v>0</v>
      </c>
    </row>
    <row r="806" spans="63:66" x14ac:dyDescent="0.6">
      <c r="BK806" s="4" t="str">
        <f>IFERROR(VLOOKUP(TEXT($B$3,"yyyymmdd")&amp;"_"&amp;TEXT(795,"0000"),RawData!$A$2:$F$1441,4,FALSE),"")</f>
        <v>0A</v>
      </c>
      <c r="BL806" s="19">
        <f>TIME(0,0,0)+795/1440</f>
        <v>0.55208333333333337</v>
      </c>
      <c r="BM806" s="4">
        <f>IFERROR(VLOOKUP(TEXT($B$3,"yyyymmdd")&amp;"_"&amp;TEXT(795,"0000"),RawData!$A$2:$F$1441,5,FALSE),"")</f>
        <v>2.8600000000000001E-4</v>
      </c>
      <c r="BN806" s="4">
        <f t="shared" si="13"/>
        <v>0</v>
      </c>
    </row>
    <row r="807" spans="63:66" x14ac:dyDescent="0.6">
      <c r="BK807" s="4" t="str">
        <f>IFERROR(VLOOKUP(TEXT($B$3,"yyyymmdd")&amp;"_"&amp;TEXT(796,"0000"),RawData!$A$2:$F$1441,4,FALSE),"")</f>
        <v>1E</v>
      </c>
      <c r="BL807" s="19">
        <f>TIME(0,0,0)+796/1440</f>
        <v>0.55277777777777781</v>
      </c>
      <c r="BM807" s="4">
        <f>IFERROR(VLOOKUP(TEXT($B$3,"yyyymmdd")&amp;"_"&amp;TEXT(796,"0000"),RawData!$A$2:$F$1441,5,FALSE),"")</f>
        <v>0</v>
      </c>
      <c r="BN807" s="4">
        <f t="shared" si="13"/>
        <v>1</v>
      </c>
    </row>
    <row r="808" spans="63:66" x14ac:dyDescent="0.6">
      <c r="BK808" s="4" t="str">
        <f>IFERROR(VLOOKUP(TEXT($B$3,"yyyymmdd")&amp;"_"&amp;TEXT(797,"0000"),RawData!$A$2:$F$1441,4,FALSE),"")</f>
        <v>1E</v>
      </c>
      <c r="BL808" s="19">
        <f>TIME(0,0,0)+797/1440</f>
        <v>0.55347222222222225</v>
      </c>
      <c r="BM808" s="4">
        <f>IFERROR(VLOOKUP(TEXT($B$3,"yyyymmdd")&amp;"_"&amp;TEXT(797,"0000"),RawData!$A$2:$F$1441,5,FALSE),"")</f>
        <v>0</v>
      </c>
      <c r="BN808" s="4">
        <f t="shared" si="13"/>
        <v>0</v>
      </c>
    </row>
    <row r="809" spans="63:66" x14ac:dyDescent="0.6">
      <c r="BK809" s="4" t="str">
        <f>IFERROR(VLOOKUP(TEXT($B$3,"yyyymmdd")&amp;"_"&amp;TEXT(798,"0000"),RawData!$A$2:$F$1441,4,FALSE),"")</f>
        <v>0A</v>
      </c>
      <c r="BL809" s="19">
        <f>TIME(0,0,0)+798/1440</f>
        <v>0.5541666666666667</v>
      </c>
      <c r="BM809" s="4">
        <f>IFERROR(VLOOKUP(TEXT($B$3,"yyyymmdd")&amp;"_"&amp;TEXT(798,"0000"),RawData!$A$2:$F$1441,5,FALSE),"")</f>
        <v>0</v>
      </c>
      <c r="BN809" s="4">
        <f t="shared" si="13"/>
        <v>1</v>
      </c>
    </row>
    <row r="810" spans="63:66" x14ac:dyDescent="0.6">
      <c r="BK810" s="4" t="str">
        <f>IFERROR(VLOOKUP(TEXT($B$3,"yyyymmdd")&amp;"_"&amp;TEXT(799,"0000"),RawData!$A$2:$F$1441,4,FALSE),"")</f>
        <v>0A</v>
      </c>
      <c r="BL810" s="19">
        <f>TIME(0,0,0)+799/1440</f>
        <v>0.55486111111111114</v>
      </c>
      <c r="BM810" s="4">
        <f>IFERROR(VLOOKUP(TEXT($B$3,"yyyymmdd")&amp;"_"&amp;TEXT(799,"0000"),RawData!$A$2:$F$1441,5,FALSE),"")</f>
        <v>5.6999999999999998E-4</v>
      </c>
      <c r="BN810" s="4">
        <f t="shared" si="13"/>
        <v>0</v>
      </c>
    </row>
    <row r="811" spans="63:66" x14ac:dyDescent="0.6">
      <c r="BK811" s="4" t="str">
        <f>IFERROR(VLOOKUP(TEXT($B$3,"yyyymmdd")&amp;"_"&amp;TEXT(800,"0000"),RawData!$A$2:$F$1441,4,FALSE),"")</f>
        <v>1E</v>
      </c>
      <c r="BL811" s="19">
        <f>TIME(0,0,0)+800/1440</f>
        <v>0.55555555555555558</v>
      </c>
      <c r="BM811" s="4">
        <f>IFERROR(VLOOKUP(TEXT($B$3,"yyyymmdd")&amp;"_"&amp;TEXT(800,"0000"),RawData!$A$2:$F$1441,5,FALSE),"")</f>
        <v>0</v>
      </c>
      <c r="BN811" s="4">
        <f t="shared" si="13"/>
        <v>0</v>
      </c>
    </row>
    <row r="812" spans="63:66" x14ac:dyDescent="0.6">
      <c r="BK812" s="4" t="str">
        <f>IFERROR(VLOOKUP(TEXT($B$3,"yyyymmdd")&amp;"_"&amp;TEXT(801,"0000"),RawData!$A$2:$F$1441,4,FALSE),"")</f>
        <v>1E</v>
      </c>
      <c r="BL812" s="19">
        <f>TIME(0,0,0)+801/1440</f>
        <v>0.55625000000000002</v>
      </c>
      <c r="BM812" s="4">
        <f>IFERROR(VLOOKUP(TEXT($B$3,"yyyymmdd")&amp;"_"&amp;TEXT(801,"0000"),RawData!$A$2:$F$1441,5,FALSE),"")</f>
        <v>0</v>
      </c>
      <c r="BN812" s="4">
        <f t="shared" si="13"/>
        <v>0</v>
      </c>
    </row>
    <row r="813" spans="63:66" x14ac:dyDescent="0.6">
      <c r="BK813" s="4" t="str">
        <f>IFERROR(VLOOKUP(TEXT($B$3,"yyyymmdd")&amp;"_"&amp;TEXT(802,"0000"),RawData!$A$2:$F$1441,4,FALSE),"")</f>
        <v>1E</v>
      </c>
      <c r="BL813" s="19">
        <f>TIME(0,0,0)+802/1440</f>
        <v>0.55694444444444446</v>
      </c>
      <c r="BM813" s="4">
        <f>IFERROR(VLOOKUP(TEXT($B$3,"yyyymmdd")&amp;"_"&amp;TEXT(802,"0000"),RawData!$A$2:$F$1441,5,FALSE),"")</f>
        <v>0</v>
      </c>
      <c r="BN813" s="4">
        <f t="shared" si="13"/>
        <v>1</v>
      </c>
    </row>
    <row r="814" spans="63:66" x14ac:dyDescent="0.6">
      <c r="BK814" s="4" t="str">
        <f>IFERROR(VLOOKUP(TEXT($B$3,"yyyymmdd")&amp;"_"&amp;TEXT(803,"0000"),RawData!$A$2:$F$1441,4,FALSE),"")</f>
        <v>1E</v>
      </c>
      <c r="BL814" s="19">
        <f>TIME(0,0,0)+803/1440</f>
        <v>0.55763888888888891</v>
      </c>
      <c r="BM814" s="4">
        <f>IFERROR(VLOOKUP(TEXT($B$3,"yyyymmdd")&amp;"_"&amp;TEXT(803,"0000"),RawData!$A$2:$F$1441,5,FALSE),"")</f>
        <v>0</v>
      </c>
      <c r="BN814" s="4">
        <f t="shared" si="13"/>
        <v>0</v>
      </c>
    </row>
    <row r="815" spans="63:66" x14ac:dyDescent="0.6">
      <c r="BK815" s="4" t="str">
        <f>IFERROR(VLOOKUP(TEXT($B$3,"yyyymmdd")&amp;"_"&amp;TEXT(804,"0000"),RawData!$A$2:$F$1441,4,FALSE),"")</f>
        <v>1E</v>
      </c>
      <c r="BL815" s="19">
        <f>TIME(0,0,0)+804/1440</f>
        <v>0.55833333333333335</v>
      </c>
      <c r="BM815" s="4">
        <f>IFERROR(VLOOKUP(TEXT($B$3,"yyyymmdd")&amp;"_"&amp;TEXT(804,"0000"),RawData!$A$2:$F$1441,5,FALSE),"")</f>
        <v>5.5199999999999997E-4</v>
      </c>
      <c r="BN815" s="4">
        <f t="shared" si="13"/>
        <v>1</v>
      </c>
    </row>
    <row r="816" spans="63:66" x14ac:dyDescent="0.6">
      <c r="BK816" s="4" t="str">
        <f>IFERROR(VLOOKUP(TEXT($B$3,"yyyymmdd")&amp;"_"&amp;TEXT(805,"0000"),RawData!$A$2:$F$1441,4,FALSE),"")</f>
        <v>1E</v>
      </c>
      <c r="BL816" s="19">
        <f>TIME(0,0,0)+805/1440</f>
        <v>0.55902777777777779</v>
      </c>
      <c r="BM816" s="4">
        <f>IFERROR(VLOOKUP(TEXT($B$3,"yyyymmdd")&amp;"_"&amp;TEXT(805,"0000"),RawData!$A$2:$F$1441,5,FALSE),"")</f>
        <v>0</v>
      </c>
      <c r="BN816" s="4">
        <f t="shared" ref="BN816:BN879" si="14">IF(BK810="","",IF(BK810&lt;&gt;BK809,1,0))</f>
        <v>0</v>
      </c>
    </row>
    <row r="817" spans="63:66" x14ac:dyDescent="0.6">
      <c r="BK817" s="4" t="str">
        <f>IFERROR(VLOOKUP(TEXT($B$3,"yyyymmdd")&amp;"_"&amp;TEXT(806,"0000"),RawData!$A$2:$F$1441,4,FALSE),"")</f>
        <v>1E</v>
      </c>
      <c r="BL817" s="19">
        <f>TIME(0,0,0)+806/1440</f>
        <v>0.55972222222222223</v>
      </c>
      <c r="BM817" s="4">
        <f>IFERROR(VLOOKUP(TEXT($B$3,"yyyymmdd")&amp;"_"&amp;TEXT(806,"0000"),RawData!$A$2:$F$1441,5,FALSE),"")</f>
        <v>1.5200000000000001E-4</v>
      </c>
      <c r="BN817" s="4">
        <f t="shared" si="14"/>
        <v>1</v>
      </c>
    </row>
    <row r="818" spans="63:66" x14ac:dyDescent="0.6">
      <c r="BK818" s="4" t="str">
        <f>IFERROR(VLOOKUP(TEXT($B$3,"yyyymmdd")&amp;"_"&amp;TEXT(807,"0000"),RawData!$A$2:$F$1441,4,FALSE),"")</f>
        <v>1E</v>
      </c>
      <c r="BL818" s="19">
        <f>TIME(0,0,0)+807/1440</f>
        <v>0.56041666666666667</v>
      </c>
      <c r="BM818" s="4">
        <f>IFERROR(VLOOKUP(TEXT($B$3,"yyyymmdd")&amp;"_"&amp;TEXT(807,"0000"),RawData!$A$2:$F$1441,5,FALSE),"")</f>
        <v>0</v>
      </c>
      <c r="BN818" s="4">
        <f t="shared" si="14"/>
        <v>0</v>
      </c>
    </row>
    <row r="819" spans="63:66" x14ac:dyDescent="0.6">
      <c r="BK819" s="4" t="str">
        <f>IFERROR(VLOOKUP(TEXT($B$3,"yyyymmdd")&amp;"_"&amp;TEXT(808,"0000"),RawData!$A$2:$F$1441,4,FALSE),"")</f>
        <v>1E</v>
      </c>
      <c r="BL819" s="19">
        <f>TIME(0,0,0)+808/1440</f>
        <v>0.56111111111111112</v>
      </c>
      <c r="BM819" s="4">
        <f>IFERROR(VLOOKUP(TEXT($B$3,"yyyymmdd")&amp;"_"&amp;TEXT(808,"0000"),RawData!$A$2:$F$1441,5,FALSE),"")</f>
        <v>0</v>
      </c>
      <c r="BN819" s="4">
        <f t="shared" si="14"/>
        <v>0</v>
      </c>
    </row>
    <row r="820" spans="63:66" x14ac:dyDescent="0.6">
      <c r="BK820" s="4" t="str">
        <f>IFERROR(VLOOKUP(TEXT($B$3,"yyyymmdd")&amp;"_"&amp;TEXT(809,"0000"),RawData!$A$2:$F$1441,4,FALSE),"")</f>
        <v>1E</v>
      </c>
      <c r="BL820" s="19">
        <f>TIME(0,0,0)+809/1440</f>
        <v>0.56180555555555556</v>
      </c>
      <c r="BM820" s="4">
        <f>IFERROR(VLOOKUP(TEXT($B$3,"yyyymmdd")&amp;"_"&amp;TEXT(809,"0000"),RawData!$A$2:$F$1441,5,FALSE),"")</f>
        <v>0</v>
      </c>
      <c r="BN820" s="4">
        <f t="shared" si="14"/>
        <v>0</v>
      </c>
    </row>
    <row r="821" spans="63:66" x14ac:dyDescent="0.6">
      <c r="BK821" s="4" t="str">
        <f>IFERROR(VLOOKUP(TEXT($B$3,"yyyymmdd")&amp;"_"&amp;TEXT(810,"0000"),RawData!$A$2:$F$1441,4,FALSE),"")</f>
        <v>1E</v>
      </c>
      <c r="BL821" s="19">
        <f>TIME(0,0,0)+810/1440</f>
        <v>0.5625</v>
      </c>
      <c r="BM821" s="4">
        <f>IFERROR(VLOOKUP(TEXT($B$3,"yyyymmdd")&amp;"_"&amp;TEXT(810,"0000"),RawData!$A$2:$F$1441,5,FALSE),"")</f>
        <v>0</v>
      </c>
      <c r="BN821" s="4">
        <f t="shared" si="14"/>
        <v>0</v>
      </c>
    </row>
    <row r="822" spans="63:66" x14ac:dyDescent="0.6">
      <c r="BK822" s="4" t="str">
        <f>IFERROR(VLOOKUP(TEXT($B$3,"yyyymmdd")&amp;"_"&amp;TEXT(811,"0000"),RawData!$A$2:$F$1441,4,FALSE),"")</f>
        <v>1E</v>
      </c>
      <c r="BL822" s="19">
        <f>TIME(0,0,0)+811/1440</f>
        <v>0.56319444444444444</v>
      </c>
      <c r="BM822" s="4">
        <f>IFERROR(VLOOKUP(TEXT($B$3,"yyyymmdd")&amp;"_"&amp;TEXT(811,"0000"),RawData!$A$2:$F$1441,5,FALSE),"")</f>
        <v>0</v>
      </c>
      <c r="BN822" s="4">
        <f t="shared" si="14"/>
        <v>0</v>
      </c>
    </row>
    <row r="823" spans="63:66" x14ac:dyDescent="0.6">
      <c r="BK823" s="4" t="str">
        <f>IFERROR(VLOOKUP(TEXT($B$3,"yyyymmdd")&amp;"_"&amp;TEXT(812,"0000"),RawData!$A$2:$F$1441,4,FALSE),"")</f>
        <v>1E</v>
      </c>
      <c r="BL823" s="19">
        <f>TIME(0,0,0)+812/1440</f>
        <v>0.56388888888888888</v>
      </c>
      <c r="BM823" s="4">
        <f>IFERROR(VLOOKUP(TEXT($B$3,"yyyymmdd")&amp;"_"&amp;TEXT(812,"0000"),RawData!$A$2:$F$1441,5,FALSE),"")</f>
        <v>0</v>
      </c>
      <c r="BN823" s="4">
        <f t="shared" si="14"/>
        <v>0</v>
      </c>
    </row>
    <row r="824" spans="63:66" x14ac:dyDescent="0.6">
      <c r="BK824" s="4" t="str">
        <f>IFERROR(VLOOKUP(TEXT($B$3,"yyyymmdd")&amp;"_"&amp;TEXT(813,"0000"),RawData!$A$2:$F$1441,4,FALSE),"")</f>
        <v>1E</v>
      </c>
      <c r="BL824" s="19">
        <f>TIME(0,0,0)+813/1440</f>
        <v>0.56458333333333333</v>
      </c>
      <c r="BM824" s="4">
        <f>IFERROR(VLOOKUP(TEXT($B$3,"yyyymmdd")&amp;"_"&amp;TEXT(813,"0000"),RawData!$A$2:$F$1441,5,FALSE),"")</f>
        <v>2.5399999999999999E-4</v>
      </c>
      <c r="BN824" s="4">
        <f t="shared" si="14"/>
        <v>0</v>
      </c>
    </row>
    <row r="825" spans="63:66" x14ac:dyDescent="0.6">
      <c r="BK825" s="4" t="str">
        <f>IFERROR(VLOOKUP(TEXT($B$3,"yyyymmdd")&amp;"_"&amp;TEXT(814,"0000"),RawData!$A$2:$F$1441,4,FALSE),"")</f>
        <v>1E</v>
      </c>
      <c r="BL825" s="19">
        <f>TIME(0,0,0)+814/1440</f>
        <v>0.56527777777777777</v>
      </c>
      <c r="BM825" s="4">
        <f>IFERROR(VLOOKUP(TEXT($B$3,"yyyymmdd")&amp;"_"&amp;TEXT(814,"0000"),RawData!$A$2:$F$1441,5,FALSE),"")</f>
        <v>4.28E-4</v>
      </c>
      <c r="BN825" s="4">
        <f t="shared" si="14"/>
        <v>0</v>
      </c>
    </row>
    <row r="826" spans="63:66" x14ac:dyDescent="0.6">
      <c r="BK826" s="4" t="str">
        <f>IFERROR(VLOOKUP(TEXT($B$3,"yyyymmdd")&amp;"_"&amp;TEXT(815,"0000"),RawData!$A$2:$F$1441,4,FALSE),"")</f>
        <v>1E</v>
      </c>
      <c r="BL826" s="19">
        <f>TIME(0,0,0)+815/1440</f>
        <v>0.56597222222222221</v>
      </c>
      <c r="BM826" s="4">
        <f>IFERROR(VLOOKUP(TEXT($B$3,"yyyymmdd")&amp;"_"&amp;TEXT(815,"0000"),RawData!$A$2:$F$1441,5,FALSE),"")</f>
        <v>0</v>
      </c>
      <c r="BN826" s="4">
        <f t="shared" si="14"/>
        <v>0</v>
      </c>
    </row>
    <row r="827" spans="63:66" x14ac:dyDescent="0.6">
      <c r="BK827" s="4" t="str">
        <f>IFERROR(VLOOKUP(TEXT($B$3,"yyyymmdd")&amp;"_"&amp;TEXT(816,"0000"),RawData!$A$2:$F$1441,4,FALSE),"")</f>
        <v>1E</v>
      </c>
      <c r="BL827" s="19">
        <f>TIME(0,0,0)+816/1440</f>
        <v>0.56666666666666665</v>
      </c>
      <c r="BM827" s="4">
        <f>IFERROR(VLOOKUP(TEXT($B$3,"yyyymmdd")&amp;"_"&amp;TEXT(816,"0000"),RawData!$A$2:$F$1441,5,FALSE),"")</f>
        <v>0</v>
      </c>
      <c r="BN827" s="4">
        <f t="shared" si="14"/>
        <v>0</v>
      </c>
    </row>
    <row r="828" spans="63:66" x14ac:dyDescent="0.6">
      <c r="BK828" s="4" t="str">
        <f>IFERROR(VLOOKUP(TEXT($B$3,"yyyymmdd")&amp;"_"&amp;TEXT(817,"0000"),RawData!$A$2:$F$1441,4,FALSE),"")</f>
        <v>1E</v>
      </c>
      <c r="BL828" s="19">
        <f>TIME(0,0,0)+817/1440</f>
        <v>0.56736111111111109</v>
      </c>
      <c r="BM828" s="4">
        <f>IFERROR(VLOOKUP(TEXT($B$3,"yyyymmdd")&amp;"_"&amp;TEXT(817,"0000"),RawData!$A$2:$F$1441,5,FALSE),"")</f>
        <v>0</v>
      </c>
      <c r="BN828" s="4">
        <f t="shared" si="14"/>
        <v>0</v>
      </c>
    </row>
    <row r="829" spans="63:66" x14ac:dyDescent="0.6">
      <c r="BK829" s="4" t="str">
        <f>IFERROR(VLOOKUP(TEXT($B$3,"yyyymmdd")&amp;"_"&amp;TEXT(818,"0000"),RawData!$A$2:$F$1441,4,FALSE),"")</f>
        <v>1E</v>
      </c>
      <c r="BL829" s="19">
        <f>TIME(0,0,0)+818/1440</f>
        <v>0.56805555555555554</v>
      </c>
      <c r="BM829" s="4">
        <f>IFERROR(VLOOKUP(TEXT($B$3,"yyyymmdd")&amp;"_"&amp;TEXT(818,"0000"),RawData!$A$2:$F$1441,5,FALSE),"")</f>
        <v>4.44E-4</v>
      </c>
      <c r="BN829" s="4">
        <f t="shared" si="14"/>
        <v>0</v>
      </c>
    </row>
    <row r="830" spans="63:66" x14ac:dyDescent="0.6">
      <c r="BK830" s="4" t="str">
        <f>IFERROR(VLOOKUP(TEXT($B$3,"yyyymmdd")&amp;"_"&amp;TEXT(819,"0000"),RawData!$A$2:$F$1441,4,FALSE),"")</f>
        <v>1E</v>
      </c>
      <c r="BL830" s="19">
        <f>TIME(0,0,0)+819/1440</f>
        <v>0.56874999999999998</v>
      </c>
      <c r="BM830" s="4">
        <f>IFERROR(VLOOKUP(TEXT($B$3,"yyyymmdd")&amp;"_"&amp;TEXT(819,"0000"),RawData!$A$2:$F$1441,5,FALSE),"")</f>
        <v>0</v>
      </c>
      <c r="BN830" s="4">
        <f t="shared" si="14"/>
        <v>0</v>
      </c>
    </row>
    <row r="831" spans="63:66" x14ac:dyDescent="0.6">
      <c r="BK831" s="4" t="str">
        <f>IFERROR(VLOOKUP(TEXT($B$3,"yyyymmdd")&amp;"_"&amp;TEXT(820,"0000"),RawData!$A$2:$F$1441,4,FALSE),"")</f>
        <v>1E</v>
      </c>
      <c r="BL831" s="19">
        <f>TIME(0,0,0)+820/1440</f>
        <v>0.56944444444444442</v>
      </c>
      <c r="BM831" s="4">
        <f>IFERROR(VLOOKUP(TEXT($B$3,"yyyymmdd")&amp;"_"&amp;TEXT(820,"0000"),RawData!$A$2:$F$1441,5,FALSE),"")</f>
        <v>0</v>
      </c>
      <c r="BN831" s="4">
        <f t="shared" si="14"/>
        <v>0</v>
      </c>
    </row>
    <row r="832" spans="63:66" x14ac:dyDescent="0.6">
      <c r="BK832" s="4" t="str">
        <f>IFERROR(VLOOKUP(TEXT($B$3,"yyyymmdd")&amp;"_"&amp;TEXT(821,"0000"),RawData!$A$2:$F$1441,4,FALSE),"")</f>
        <v>1E</v>
      </c>
      <c r="BL832" s="19">
        <f>TIME(0,0,0)+821/1440</f>
        <v>0.57013888888888886</v>
      </c>
      <c r="BM832" s="4">
        <f>IFERROR(VLOOKUP(TEXT($B$3,"yyyymmdd")&amp;"_"&amp;TEXT(821,"0000"),RawData!$A$2:$F$1441,5,FALSE),"")</f>
        <v>0</v>
      </c>
      <c r="BN832" s="4">
        <f t="shared" si="14"/>
        <v>0</v>
      </c>
    </row>
    <row r="833" spans="63:66" x14ac:dyDescent="0.6">
      <c r="BK833" s="4" t="str">
        <f>IFERROR(VLOOKUP(TEXT($B$3,"yyyymmdd")&amp;"_"&amp;TEXT(822,"0000"),RawData!$A$2:$F$1441,4,FALSE),"")</f>
        <v>1E</v>
      </c>
      <c r="BL833" s="19">
        <f>TIME(0,0,0)+822/1440</f>
        <v>0.5708333333333333</v>
      </c>
      <c r="BM833" s="4">
        <f>IFERROR(VLOOKUP(TEXT($B$3,"yyyymmdd")&amp;"_"&amp;TEXT(822,"0000"),RawData!$A$2:$F$1441,5,FALSE),"")</f>
        <v>0</v>
      </c>
      <c r="BN833" s="4">
        <f t="shared" si="14"/>
        <v>0</v>
      </c>
    </row>
    <row r="834" spans="63:66" x14ac:dyDescent="0.6">
      <c r="BK834" s="4" t="str">
        <f>IFERROR(VLOOKUP(TEXT($B$3,"yyyymmdd")&amp;"_"&amp;TEXT(823,"0000"),RawData!$A$2:$F$1441,4,FALSE),"")</f>
        <v>1E</v>
      </c>
      <c r="BL834" s="19">
        <f>TIME(0,0,0)+823/1440</f>
        <v>0.57152777777777775</v>
      </c>
      <c r="BM834" s="4">
        <f>IFERROR(VLOOKUP(TEXT($B$3,"yyyymmdd")&amp;"_"&amp;TEXT(823,"0000"),RawData!$A$2:$F$1441,5,FALSE),"")</f>
        <v>0</v>
      </c>
      <c r="BN834" s="4">
        <f t="shared" si="14"/>
        <v>0</v>
      </c>
    </row>
    <row r="835" spans="63:66" x14ac:dyDescent="0.6">
      <c r="BK835" s="4" t="str">
        <f>IFERROR(VLOOKUP(TEXT($B$3,"yyyymmdd")&amp;"_"&amp;TEXT(824,"0000"),RawData!$A$2:$F$1441,4,FALSE),"")</f>
        <v>1E</v>
      </c>
      <c r="BL835" s="19">
        <f>TIME(0,0,0)+824/1440</f>
        <v>0.57222222222222219</v>
      </c>
      <c r="BM835" s="4">
        <f>IFERROR(VLOOKUP(TEXT($B$3,"yyyymmdd")&amp;"_"&amp;TEXT(824,"0000"),RawData!$A$2:$F$1441,5,FALSE),"")</f>
        <v>0</v>
      </c>
      <c r="BN835" s="4">
        <f t="shared" si="14"/>
        <v>0</v>
      </c>
    </row>
    <row r="836" spans="63:66" x14ac:dyDescent="0.6">
      <c r="BK836" s="4" t="str">
        <f>IFERROR(VLOOKUP(TEXT($B$3,"yyyymmdd")&amp;"_"&amp;TEXT(825,"0000"),RawData!$A$2:$F$1441,4,FALSE),"")</f>
        <v>1E</v>
      </c>
      <c r="BL836" s="19">
        <f>TIME(0,0,0)+825/1440</f>
        <v>0.57291666666666663</v>
      </c>
      <c r="BM836" s="4">
        <f>IFERROR(VLOOKUP(TEXT($B$3,"yyyymmdd")&amp;"_"&amp;TEXT(825,"0000"),RawData!$A$2:$F$1441,5,FALSE),"")</f>
        <v>0</v>
      </c>
      <c r="BN836" s="4">
        <f t="shared" si="14"/>
        <v>0</v>
      </c>
    </row>
    <row r="837" spans="63:66" x14ac:dyDescent="0.6">
      <c r="BK837" s="4" t="str">
        <f>IFERROR(VLOOKUP(TEXT($B$3,"yyyymmdd")&amp;"_"&amp;TEXT(826,"0000"),RawData!$A$2:$F$1441,4,FALSE),"")</f>
        <v>1E</v>
      </c>
      <c r="BL837" s="19">
        <f>TIME(0,0,0)+826/1440</f>
        <v>0.57361111111111107</v>
      </c>
      <c r="BM837" s="4">
        <f>IFERROR(VLOOKUP(TEXT($B$3,"yyyymmdd")&amp;"_"&amp;TEXT(826,"0000"),RawData!$A$2:$F$1441,5,FALSE),"")</f>
        <v>0</v>
      </c>
      <c r="BN837" s="4">
        <f t="shared" si="14"/>
        <v>0</v>
      </c>
    </row>
    <row r="838" spans="63:66" x14ac:dyDescent="0.6">
      <c r="BK838" s="4" t="str">
        <f>IFERROR(VLOOKUP(TEXT($B$3,"yyyymmdd")&amp;"_"&amp;TEXT(827,"0000"),RawData!$A$2:$F$1441,4,FALSE),"")</f>
        <v>1E</v>
      </c>
      <c r="BL838" s="19">
        <f>TIME(0,0,0)+827/1440</f>
        <v>0.57430555555555551</v>
      </c>
      <c r="BM838" s="4">
        <f>IFERROR(VLOOKUP(TEXT($B$3,"yyyymmdd")&amp;"_"&amp;TEXT(827,"0000"),RawData!$A$2:$F$1441,5,FALSE),"")</f>
        <v>4.1199999999999999E-5</v>
      </c>
      <c r="BN838" s="4">
        <f t="shared" si="14"/>
        <v>0</v>
      </c>
    </row>
    <row r="839" spans="63:66" x14ac:dyDescent="0.6">
      <c r="BK839" s="4" t="str">
        <f>IFERROR(VLOOKUP(TEXT($B$3,"yyyymmdd")&amp;"_"&amp;TEXT(828,"0000"),RawData!$A$2:$F$1441,4,FALSE),"")</f>
        <v>1E</v>
      </c>
      <c r="BL839" s="19">
        <f>TIME(0,0,0)+828/1440</f>
        <v>0.57499999999999996</v>
      </c>
      <c r="BM839" s="4">
        <f>IFERROR(VLOOKUP(TEXT($B$3,"yyyymmdd")&amp;"_"&amp;TEXT(828,"0000"),RawData!$A$2:$F$1441,5,FALSE),"")</f>
        <v>1.27E-4</v>
      </c>
      <c r="BN839" s="4">
        <f t="shared" si="14"/>
        <v>0</v>
      </c>
    </row>
    <row r="840" spans="63:66" x14ac:dyDescent="0.6">
      <c r="BK840" s="4" t="str">
        <f>IFERROR(VLOOKUP(TEXT($B$3,"yyyymmdd")&amp;"_"&amp;TEXT(829,"0000"),RawData!$A$2:$F$1441,4,FALSE),"")</f>
        <v>1E</v>
      </c>
      <c r="BL840" s="19">
        <f>TIME(0,0,0)+829/1440</f>
        <v>0.5756944444444444</v>
      </c>
      <c r="BM840" s="4">
        <f>IFERROR(VLOOKUP(TEXT($B$3,"yyyymmdd")&amp;"_"&amp;TEXT(829,"0000"),RawData!$A$2:$F$1441,5,FALSE),"")</f>
        <v>3.3E-4</v>
      </c>
      <c r="BN840" s="4">
        <f t="shared" si="14"/>
        <v>0</v>
      </c>
    </row>
    <row r="841" spans="63:66" x14ac:dyDescent="0.6">
      <c r="BK841" s="4" t="str">
        <f>IFERROR(VLOOKUP(TEXT($B$3,"yyyymmdd")&amp;"_"&amp;TEXT(830,"0000"),RawData!$A$2:$F$1441,4,FALSE),"")</f>
        <v>1E</v>
      </c>
      <c r="BL841" s="19">
        <f>TIME(0,0,0)+830/1440</f>
        <v>0.57638888888888884</v>
      </c>
      <c r="BM841" s="4">
        <f>IFERROR(VLOOKUP(TEXT($B$3,"yyyymmdd")&amp;"_"&amp;TEXT(830,"0000"),RawData!$A$2:$F$1441,5,FALSE),"")</f>
        <v>0</v>
      </c>
      <c r="BN841" s="4">
        <f t="shared" si="14"/>
        <v>0</v>
      </c>
    </row>
    <row r="842" spans="63:66" x14ac:dyDescent="0.6">
      <c r="BK842" s="4" t="str">
        <f>IFERROR(VLOOKUP(TEXT($B$3,"yyyymmdd")&amp;"_"&amp;TEXT(831,"0000"),RawData!$A$2:$F$1441,4,FALSE),"")</f>
        <v>1E</v>
      </c>
      <c r="BL842" s="19">
        <f>TIME(0,0,0)+831/1440</f>
        <v>0.57708333333333328</v>
      </c>
      <c r="BM842" s="4">
        <f>IFERROR(VLOOKUP(TEXT($B$3,"yyyymmdd")&amp;"_"&amp;TEXT(831,"0000"),RawData!$A$2:$F$1441,5,FALSE),"")</f>
        <v>3.7100000000000002E-4</v>
      </c>
      <c r="BN842" s="4">
        <f t="shared" si="14"/>
        <v>0</v>
      </c>
    </row>
    <row r="843" spans="63:66" x14ac:dyDescent="0.6">
      <c r="BK843" s="4" t="str">
        <f>IFERROR(VLOOKUP(TEXT($B$3,"yyyymmdd")&amp;"_"&amp;TEXT(832,"0000"),RawData!$A$2:$F$1441,4,FALSE),"")</f>
        <v>1E</v>
      </c>
      <c r="BL843" s="19">
        <f>TIME(0,0,0)+832/1440</f>
        <v>0.57777777777777772</v>
      </c>
      <c r="BM843" s="4">
        <f>IFERROR(VLOOKUP(TEXT($B$3,"yyyymmdd")&amp;"_"&amp;TEXT(832,"0000"),RawData!$A$2:$F$1441,5,FALSE),"")</f>
        <v>0</v>
      </c>
      <c r="BN843" s="4">
        <f t="shared" si="14"/>
        <v>0</v>
      </c>
    </row>
    <row r="844" spans="63:66" x14ac:dyDescent="0.6">
      <c r="BK844" s="4" t="str">
        <f>IFERROR(VLOOKUP(TEXT($B$3,"yyyymmdd")&amp;"_"&amp;TEXT(833,"0000"),RawData!$A$2:$F$1441,4,FALSE),"")</f>
        <v>1E</v>
      </c>
      <c r="BL844" s="19">
        <f>TIME(0,0,0)+833/1440</f>
        <v>0.57847222222222228</v>
      </c>
      <c r="BM844" s="4">
        <f>IFERROR(VLOOKUP(TEXT($B$3,"yyyymmdd")&amp;"_"&amp;TEXT(833,"0000"),RawData!$A$2:$F$1441,5,FALSE),"")</f>
        <v>0</v>
      </c>
      <c r="BN844" s="4">
        <f t="shared" si="14"/>
        <v>0</v>
      </c>
    </row>
    <row r="845" spans="63:66" x14ac:dyDescent="0.6">
      <c r="BK845" s="4" t="str">
        <f>IFERROR(VLOOKUP(TEXT($B$3,"yyyymmdd")&amp;"_"&amp;TEXT(834,"0000"),RawData!$A$2:$F$1441,4,FALSE),"")</f>
        <v>1E</v>
      </c>
      <c r="BL845" s="19">
        <f>TIME(0,0,0)+834/1440</f>
        <v>0.57916666666666672</v>
      </c>
      <c r="BM845" s="4">
        <f>IFERROR(VLOOKUP(TEXT($B$3,"yyyymmdd")&amp;"_"&amp;TEXT(834,"0000"),RawData!$A$2:$F$1441,5,FALSE),"")</f>
        <v>0</v>
      </c>
      <c r="BN845" s="4">
        <f t="shared" si="14"/>
        <v>0</v>
      </c>
    </row>
    <row r="846" spans="63:66" x14ac:dyDescent="0.6">
      <c r="BK846" s="4" t="str">
        <f>IFERROR(VLOOKUP(TEXT($B$3,"yyyymmdd")&amp;"_"&amp;TEXT(835,"0000"),RawData!$A$2:$F$1441,4,FALSE),"")</f>
        <v>1E</v>
      </c>
      <c r="BL846" s="19">
        <f>TIME(0,0,0)+835/1440</f>
        <v>0.57986111111111116</v>
      </c>
      <c r="BM846" s="4">
        <f>IFERROR(VLOOKUP(TEXT($B$3,"yyyymmdd")&amp;"_"&amp;TEXT(835,"0000"),RawData!$A$2:$F$1441,5,FALSE),"")</f>
        <v>0</v>
      </c>
      <c r="BN846" s="4">
        <f t="shared" si="14"/>
        <v>0</v>
      </c>
    </row>
    <row r="847" spans="63:66" x14ac:dyDescent="0.6">
      <c r="BK847" s="4" t="str">
        <f>IFERROR(VLOOKUP(TEXT($B$3,"yyyymmdd")&amp;"_"&amp;TEXT(836,"0000"),RawData!$A$2:$F$1441,4,FALSE),"")</f>
        <v>1E</v>
      </c>
      <c r="BL847" s="19">
        <f>TIME(0,0,0)+836/1440</f>
        <v>0.5805555555555556</v>
      </c>
      <c r="BM847" s="4">
        <f>IFERROR(VLOOKUP(TEXT($B$3,"yyyymmdd")&amp;"_"&amp;TEXT(836,"0000"),RawData!$A$2:$F$1441,5,FALSE),"")</f>
        <v>4.6500000000000003E-4</v>
      </c>
      <c r="BN847" s="4">
        <f t="shared" si="14"/>
        <v>0</v>
      </c>
    </row>
    <row r="848" spans="63:66" x14ac:dyDescent="0.6">
      <c r="BK848" s="4" t="str">
        <f>IFERROR(VLOOKUP(TEXT($B$3,"yyyymmdd")&amp;"_"&amp;TEXT(837,"0000"),RawData!$A$2:$F$1441,4,FALSE),"")</f>
        <v>1E</v>
      </c>
      <c r="BL848" s="19">
        <f>TIME(0,0,0)+837/1440</f>
        <v>0.58125000000000004</v>
      </c>
      <c r="BM848" s="4">
        <f>IFERROR(VLOOKUP(TEXT($B$3,"yyyymmdd")&amp;"_"&amp;TEXT(837,"0000"),RawData!$A$2:$F$1441,5,FALSE),"")</f>
        <v>4.37E-4</v>
      </c>
      <c r="BN848" s="4">
        <f t="shared" si="14"/>
        <v>0</v>
      </c>
    </row>
    <row r="849" spans="63:66" x14ac:dyDescent="0.6">
      <c r="BK849" s="4" t="str">
        <f>IFERROR(VLOOKUP(TEXT($B$3,"yyyymmdd")&amp;"_"&amp;TEXT(838,"0000"),RawData!$A$2:$F$1441,4,FALSE),"")</f>
        <v>1E</v>
      </c>
      <c r="BL849" s="19">
        <f>TIME(0,0,0)+838/1440</f>
        <v>0.58194444444444449</v>
      </c>
      <c r="BM849" s="4">
        <f>IFERROR(VLOOKUP(TEXT($B$3,"yyyymmdd")&amp;"_"&amp;TEXT(838,"0000"),RawData!$A$2:$F$1441,5,FALSE),"")</f>
        <v>0</v>
      </c>
      <c r="BN849" s="4">
        <f t="shared" si="14"/>
        <v>0</v>
      </c>
    </row>
    <row r="850" spans="63:66" x14ac:dyDescent="0.6">
      <c r="BK850" s="4" t="str">
        <f>IFERROR(VLOOKUP(TEXT($B$3,"yyyymmdd")&amp;"_"&amp;TEXT(839,"0000"),RawData!$A$2:$F$1441,4,FALSE),"")</f>
        <v>1E</v>
      </c>
      <c r="BL850" s="19">
        <f>TIME(0,0,0)+839/1440</f>
        <v>0.58263888888888893</v>
      </c>
      <c r="BM850" s="4">
        <f>IFERROR(VLOOKUP(TEXT($B$3,"yyyymmdd")&amp;"_"&amp;TEXT(839,"0000"),RawData!$A$2:$F$1441,5,FALSE),"")</f>
        <v>0</v>
      </c>
      <c r="BN850" s="4">
        <f t="shared" si="14"/>
        <v>0</v>
      </c>
    </row>
    <row r="851" spans="63:66" x14ac:dyDescent="0.6">
      <c r="BK851" s="4" t="str">
        <f>IFERROR(VLOOKUP(TEXT($B$3,"yyyymmdd")&amp;"_"&amp;TEXT(840,"0000"),RawData!$A$2:$F$1441,4,FALSE),"")</f>
        <v>1E</v>
      </c>
      <c r="BL851" s="19">
        <f>TIME(0,0,0)+840/1440</f>
        <v>0.58333333333333337</v>
      </c>
      <c r="BM851" s="4">
        <f>IFERROR(VLOOKUP(TEXT($B$3,"yyyymmdd")&amp;"_"&amp;TEXT(840,"0000"),RawData!$A$2:$F$1441,5,FALSE),"")</f>
        <v>0</v>
      </c>
      <c r="BN851" s="4">
        <f t="shared" si="14"/>
        <v>0</v>
      </c>
    </row>
    <row r="852" spans="63:66" x14ac:dyDescent="0.6">
      <c r="BK852" s="4" t="str">
        <f>IFERROR(VLOOKUP(TEXT($B$3,"yyyymmdd")&amp;"_"&amp;TEXT(841,"0000"),RawData!$A$2:$F$1441,4,FALSE),"")</f>
        <v>1E</v>
      </c>
      <c r="BL852" s="19">
        <f>TIME(0,0,0)+841/1440</f>
        <v>0.58402777777777781</v>
      </c>
      <c r="BM852" s="4">
        <f>IFERROR(VLOOKUP(TEXT($B$3,"yyyymmdd")&amp;"_"&amp;TEXT(841,"0000"),RawData!$A$2:$F$1441,5,FALSE),"")</f>
        <v>0</v>
      </c>
      <c r="BN852" s="4">
        <f t="shared" si="14"/>
        <v>0</v>
      </c>
    </row>
    <row r="853" spans="63:66" x14ac:dyDescent="0.6">
      <c r="BK853" s="4" t="str">
        <f>IFERROR(VLOOKUP(TEXT($B$3,"yyyymmdd")&amp;"_"&amp;TEXT(842,"0000"),RawData!$A$2:$F$1441,4,FALSE),"")</f>
        <v>0A</v>
      </c>
      <c r="BL853" s="19">
        <f>TIME(0,0,0)+842/1440</f>
        <v>0.58472222222222225</v>
      </c>
      <c r="BM853" s="4">
        <f>IFERROR(VLOOKUP(TEXT($B$3,"yyyymmdd")&amp;"_"&amp;TEXT(842,"0000"),RawData!$A$2:$F$1441,5,FALSE),"")</f>
        <v>0</v>
      </c>
      <c r="BN853" s="4">
        <f t="shared" si="14"/>
        <v>0</v>
      </c>
    </row>
    <row r="854" spans="63:66" x14ac:dyDescent="0.6">
      <c r="BK854" s="4" t="str">
        <f>IFERROR(VLOOKUP(TEXT($B$3,"yyyymmdd")&amp;"_"&amp;TEXT(843,"0000"),RawData!$A$2:$F$1441,4,FALSE),"")</f>
        <v>1E</v>
      </c>
      <c r="BL854" s="19">
        <f>TIME(0,0,0)+843/1440</f>
        <v>0.5854166666666667</v>
      </c>
      <c r="BM854" s="4">
        <f>IFERROR(VLOOKUP(TEXT($B$3,"yyyymmdd")&amp;"_"&amp;TEXT(843,"0000"),RawData!$A$2:$F$1441,5,FALSE),"")</f>
        <v>0</v>
      </c>
      <c r="BN854" s="4">
        <f t="shared" si="14"/>
        <v>0</v>
      </c>
    </row>
    <row r="855" spans="63:66" x14ac:dyDescent="0.6">
      <c r="BK855" s="4" t="str">
        <f>IFERROR(VLOOKUP(TEXT($B$3,"yyyymmdd")&amp;"_"&amp;TEXT(844,"0000"),RawData!$A$2:$F$1441,4,FALSE),"")</f>
        <v>1E</v>
      </c>
      <c r="BL855" s="19">
        <f>TIME(0,0,0)+844/1440</f>
        <v>0.58611111111111114</v>
      </c>
      <c r="BM855" s="4">
        <f>IFERROR(VLOOKUP(TEXT($B$3,"yyyymmdd")&amp;"_"&amp;TEXT(844,"0000"),RawData!$A$2:$F$1441,5,FALSE),"")</f>
        <v>0</v>
      </c>
      <c r="BN855" s="4">
        <f t="shared" si="14"/>
        <v>0</v>
      </c>
    </row>
    <row r="856" spans="63:66" x14ac:dyDescent="0.6">
      <c r="BK856" s="4" t="str">
        <f>IFERROR(VLOOKUP(TEXT($B$3,"yyyymmdd")&amp;"_"&amp;TEXT(845,"0000"),RawData!$A$2:$F$1441,4,FALSE),"")</f>
        <v>1E</v>
      </c>
      <c r="BL856" s="19">
        <f>TIME(0,0,0)+845/1440</f>
        <v>0.58680555555555558</v>
      </c>
      <c r="BM856" s="4">
        <f>IFERROR(VLOOKUP(TEXT($B$3,"yyyymmdd")&amp;"_"&amp;TEXT(845,"0000"),RawData!$A$2:$F$1441,5,FALSE),"")</f>
        <v>0</v>
      </c>
      <c r="BN856" s="4">
        <f t="shared" si="14"/>
        <v>0</v>
      </c>
    </row>
    <row r="857" spans="63:66" x14ac:dyDescent="0.6">
      <c r="BK857" s="4" t="str">
        <f>IFERROR(VLOOKUP(TEXT($B$3,"yyyymmdd")&amp;"_"&amp;TEXT(846,"0000"),RawData!$A$2:$F$1441,4,FALSE),"")</f>
        <v>0A</v>
      </c>
      <c r="BL857" s="19">
        <f>TIME(0,0,0)+846/1440</f>
        <v>0.58750000000000002</v>
      </c>
      <c r="BM857" s="4">
        <f>IFERROR(VLOOKUP(TEXT($B$3,"yyyymmdd")&amp;"_"&amp;TEXT(846,"0000"),RawData!$A$2:$F$1441,5,FALSE),"")</f>
        <v>0</v>
      </c>
      <c r="BN857" s="4">
        <f t="shared" si="14"/>
        <v>0</v>
      </c>
    </row>
    <row r="858" spans="63:66" x14ac:dyDescent="0.6">
      <c r="BK858" s="4" t="str">
        <f>IFERROR(VLOOKUP(TEXT($B$3,"yyyymmdd")&amp;"_"&amp;TEXT(847,"0000"),RawData!$A$2:$F$1441,4,FALSE),"")</f>
        <v>0A</v>
      </c>
      <c r="BL858" s="19">
        <f>TIME(0,0,0)+847/1440</f>
        <v>0.58819444444444446</v>
      </c>
      <c r="BM858" s="4">
        <f>IFERROR(VLOOKUP(TEXT($B$3,"yyyymmdd")&amp;"_"&amp;TEXT(847,"0000"),RawData!$A$2:$F$1441,5,FALSE),"")</f>
        <v>0</v>
      </c>
      <c r="BN858" s="4">
        <f t="shared" si="14"/>
        <v>0</v>
      </c>
    </row>
    <row r="859" spans="63:66" x14ac:dyDescent="0.6">
      <c r="BK859" s="4" t="str">
        <f>IFERROR(VLOOKUP(TEXT($B$3,"yyyymmdd")&amp;"_"&amp;TEXT(848,"0000"),RawData!$A$2:$F$1441,4,FALSE),"")</f>
        <v>0A</v>
      </c>
      <c r="BL859" s="19">
        <f>TIME(0,0,0)+848/1440</f>
        <v>0.58888888888888891</v>
      </c>
      <c r="BM859" s="4">
        <f>IFERROR(VLOOKUP(TEXT($B$3,"yyyymmdd")&amp;"_"&amp;TEXT(848,"0000"),RawData!$A$2:$F$1441,5,FALSE),"")</f>
        <v>0</v>
      </c>
      <c r="BN859" s="4">
        <f t="shared" si="14"/>
        <v>1</v>
      </c>
    </row>
    <row r="860" spans="63:66" x14ac:dyDescent="0.6">
      <c r="BK860" s="4" t="str">
        <f>IFERROR(VLOOKUP(TEXT($B$3,"yyyymmdd")&amp;"_"&amp;TEXT(849,"0000"),RawData!$A$2:$F$1441,4,FALSE),"")</f>
        <v>0A</v>
      </c>
      <c r="BL860" s="19">
        <f>TIME(0,0,0)+849/1440</f>
        <v>0.58958333333333335</v>
      </c>
      <c r="BM860" s="4">
        <f>IFERROR(VLOOKUP(TEXT($B$3,"yyyymmdd")&amp;"_"&amp;TEXT(849,"0000"),RawData!$A$2:$F$1441,5,FALSE),"")</f>
        <v>2.5500000000000002E-4</v>
      </c>
      <c r="BN860" s="4">
        <f t="shared" si="14"/>
        <v>1</v>
      </c>
    </row>
    <row r="861" spans="63:66" x14ac:dyDescent="0.6">
      <c r="BK861" s="4" t="str">
        <f>IFERROR(VLOOKUP(TEXT($B$3,"yyyymmdd")&amp;"_"&amp;TEXT(850,"0000"),RawData!$A$2:$F$1441,4,FALSE),"")</f>
        <v>0A</v>
      </c>
      <c r="BL861" s="19">
        <f>TIME(0,0,0)+850/1440</f>
        <v>0.59027777777777779</v>
      </c>
      <c r="BM861" s="4">
        <f>IFERROR(VLOOKUP(TEXT($B$3,"yyyymmdd")&amp;"_"&amp;TEXT(850,"0000"),RawData!$A$2:$F$1441,5,FALSE),"")</f>
        <v>0</v>
      </c>
      <c r="BN861" s="4">
        <f t="shared" si="14"/>
        <v>0</v>
      </c>
    </row>
    <row r="862" spans="63:66" x14ac:dyDescent="0.6">
      <c r="BK862" s="4" t="str">
        <f>IFERROR(VLOOKUP(TEXT($B$3,"yyyymmdd")&amp;"_"&amp;TEXT(851,"0000"),RawData!$A$2:$F$1441,4,FALSE),"")</f>
        <v>1E</v>
      </c>
      <c r="BL862" s="19">
        <f>TIME(0,0,0)+851/1440</f>
        <v>0.59097222222222223</v>
      </c>
      <c r="BM862" s="4">
        <f>IFERROR(VLOOKUP(TEXT($B$3,"yyyymmdd")&amp;"_"&amp;TEXT(851,"0000"),RawData!$A$2:$F$1441,5,FALSE),"")</f>
        <v>0</v>
      </c>
      <c r="BN862" s="4">
        <f t="shared" si="14"/>
        <v>0</v>
      </c>
    </row>
    <row r="863" spans="63:66" x14ac:dyDescent="0.6">
      <c r="BK863" s="4" t="str">
        <f>IFERROR(VLOOKUP(TEXT($B$3,"yyyymmdd")&amp;"_"&amp;TEXT(852,"0000"),RawData!$A$2:$F$1441,4,FALSE),"")</f>
        <v>1E</v>
      </c>
      <c r="BL863" s="19">
        <f>TIME(0,0,0)+852/1440</f>
        <v>0.59166666666666667</v>
      </c>
      <c r="BM863" s="4">
        <f>IFERROR(VLOOKUP(TEXT($B$3,"yyyymmdd")&amp;"_"&amp;TEXT(852,"0000"),RawData!$A$2:$F$1441,5,FALSE),"")</f>
        <v>0</v>
      </c>
      <c r="BN863" s="4">
        <f t="shared" si="14"/>
        <v>1</v>
      </c>
    </row>
    <row r="864" spans="63:66" x14ac:dyDescent="0.6">
      <c r="BK864" s="4" t="str">
        <f>IFERROR(VLOOKUP(TEXT($B$3,"yyyymmdd")&amp;"_"&amp;TEXT(853,"0000"),RawData!$A$2:$F$1441,4,FALSE),"")</f>
        <v>1E</v>
      </c>
      <c r="BL864" s="19">
        <f>TIME(0,0,0)+853/1440</f>
        <v>0.59236111111111112</v>
      </c>
      <c r="BM864" s="4">
        <f>IFERROR(VLOOKUP(TEXT($B$3,"yyyymmdd")&amp;"_"&amp;TEXT(853,"0000"),RawData!$A$2:$F$1441,5,FALSE),"")</f>
        <v>0</v>
      </c>
      <c r="BN864" s="4">
        <f t="shared" si="14"/>
        <v>0</v>
      </c>
    </row>
    <row r="865" spans="63:66" x14ac:dyDescent="0.6">
      <c r="BK865" s="4" t="str">
        <f>IFERROR(VLOOKUP(TEXT($B$3,"yyyymmdd")&amp;"_"&amp;TEXT(854,"0000"),RawData!$A$2:$F$1441,4,FALSE),"")</f>
        <v>1E</v>
      </c>
      <c r="BL865" s="19">
        <f>TIME(0,0,0)+854/1440</f>
        <v>0.59305555555555556</v>
      </c>
      <c r="BM865" s="4">
        <f>IFERROR(VLOOKUP(TEXT($B$3,"yyyymmdd")&amp;"_"&amp;TEXT(854,"0000"),RawData!$A$2:$F$1441,5,FALSE),"")</f>
        <v>0</v>
      </c>
      <c r="BN865" s="4">
        <f t="shared" si="14"/>
        <v>0</v>
      </c>
    </row>
    <row r="866" spans="63:66" x14ac:dyDescent="0.6">
      <c r="BK866" s="4" t="str">
        <f>IFERROR(VLOOKUP(TEXT($B$3,"yyyymmdd")&amp;"_"&amp;TEXT(855,"0000"),RawData!$A$2:$F$1441,4,FALSE),"")</f>
        <v>1E</v>
      </c>
      <c r="BL866" s="19">
        <f>TIME(0,0,0)+855/1440</f>
        <v>0.59375</v>
      </c>
      <c r="BM866" s="4">
        <f>IFERROR(VLOOKUP(TEXT($B$3,"yyyymmdd")&amp;"_"&amp;TEXT(855,"0000"),RawData!$A$2:$F$1441,5,FALSE),"")</f>
        <v>0</v>
      </c>
      <c r="BN866" s="4">
        <f t="shared" si="14"/>
        <v>0</v>
      </c>
    </row>
    <row r="867" spans="63:66" x14ac:dyDescent="0.6">
      <c r="BK867" s="4" t="str">
        <f>IFERROR(VLOOKUP(TEXT($B$3,"yyyymmdd")&amp;"_"&amp;TEXT(856,"0000"),RawData!$A$2:$F$1441,4,FALSE),"")</f>
        <v>1E</v>
      </c>
      <c r="BL867" s="19">
        <f>TIME(0,0,0)+856/1440</f>
        <v>0.59444444444444444</v>
      </c>
      <c r="BM867" s="4">
        <f>IFERROR(VLOOKUP(TEXT($B$3,"yyyymmdd")&amp;"_"&amp;TEXT(856,"0000"),RawData!$A$2:$F$1441,5,FALSE),"")</f>
        <v>0</v>
      </c>
      <c r="BN867" s="4">
        <f t="shared" si="14"/>
        <v>0</v>
      </c>
    </row>
    <row r="868" spans="63:66" x14ac:dyDescent="0.6">
      <c r="BK868" s="4" t="str">
        <f>IFERROR(VLOOKUP(TEXT($B$3,"yyyymmdd")&amp;"_"&amp;TEXT(857,"0000"),RawData!$A$2:$F$1441,4,FALSE),"")</f>
        <v>1E</v>
      </c>
      <c r="BL868" s="19">
        <f>TIME(0,0,0)+857/1440</f>
        <v>0.59513888888888888</v>
      </c>
      <c r="BM868" s="4">
        <f>IFERROR(VLOOKUP(TEXT($B$3,"yyyymmdd")&amp;"_"&amp;TEXT(857,"0000"),RawData!$A$2:$F$1441,5,FALSE),"")</f>
        <v>0</v>
      </c>
      <c r="BN868" s="4">
        <f t="shared" si="14"/>
        <v>1</v>
      </c>
    </row>
    <row r="869" spans="63:66" x14ac:dyDescent="0.6">
      <c r="BK869" s="4" t="str">
        <f>IFERROR(VLOOKUP(TEXT($B$3,"yyyymmdd")&amp;"_"&amp;TEXT(858,"0000"),RawData!$A$2:$F$1441,4,FALSE),"")</f>
        <v>1E</v>
      </c>
      <c r="BL869" s="19">
        <f>TIME(0,0,0)+858/1440</f>
        <v>0.59583333333333333</v>
      </c>
      <c r="BM869" s="4">
        <f>IFERROR(VLOOKUP(TEXT($B$3,"yyyymmdd")&amp;"_"&amp;TEXT(858,"0000"),RawData!$A$2:$F$1441,5,FALSE),"")</f>
        <v>0</v>
      </c>
      <c r="BN869" s="4">
        <f t="shared" si="14"/>
        <v>0</v>
      </c>
    </row>
    <row r="870" spans="63:66" x14ac:dyDescent="0.6">
      <c r="BK870" s="4" t="str">
        <f>IFERROR(VLOOKUP(TEXT($B$3,"yyyymmdd")&amp;"_"&amp;TEXT(859,"0000"),RawData!$A$2:$F$1441,4,FALSE),"")</f>
        <v>14</v>
      </c>
      <c r="BL870" s="19">
        <f>TIME(0,0,0)+859/1440</f>
        <v>0.59652777777777777</v>
      </c>
      <c r="BM870" s="4">
        <f>IFERROR(VLOOKUP(TEXT($B$3,"yyyymmdd")&amp;"_"&amp;TEXT(859,"0000"),RawData!$A$2:$F$1441,5,FALSE),"")</f>
        <v>0</v>
      </c>
      <c r="BN870" s="4">
        <f t="shared" si="14"/>
        <v>0</v>
      </c>
    </row>
    <row r="871" spans="63:66" x14ac:dyDescent="0.6">
      <c r="BK871" s="4" t="str">
        <f>IFERROR(VLOOKUP(TEXT($B$3,"yyyymmdd")&amp;"_"&amp;TEXT(860,"0000"),RawData!$A$2:$F$1441,4,FALSE),"")</f>
        <v>1E</v>
      </c>
      <c r="BL871" s="19">
        <f>TIME(0,0,0)+860/1440</f>
        <v>0.59722222222222221</v>
      </c>
      <c r="BM871" s="4">
        <f>IFERROR(VLOOKUP(TEXT($B$3,"yyyymmdd")&amp;"_"&amp;TEXT(860,"0000"),RawData!$A$2:$F$1441,5,FALSE),"")</f>
        <v>6.11E-4</v>
      </c>
      <c r="BN871" s="4">
        <f t="shared" si="14"/>
        <v>0</v>
      </c>
    </row>
    <row r="872" spans="63:66" x14ac:dyDescent="0.6">
      <c r="BK872" s="4" t="str">
        <f>IFERROR(VLOOKUP(TEXT($B$3,"yyyymmdd")&amp;"_"&amp;TEXT(861,"0000"),RawData!$A$2:$F$1441,4,FALSE),"")</f>
        <v>0A</v>
      </c>
      <c r="BL872" s="19">
        <f>TIME(0,0,0)+861/1440</f>
        <v>0.59791666666666665</v>
      </c>
      <c r="BM872" s="4">
        <f>IFERROR(VLOOKUP(TEXT($B$3,"yyyymmdd")&amp;"_"&amp;TEXT(861,"0000"),RawData!$A$2:$F$1441,5,FALSE),"")</f>
        <v>0</v>
      </c>
      <c r="BN872" s="4">
        <f t="shared" si="14"/>
        <v>0</v>
      </c>
    </row>
    <row r="873" spans="63:66" x14ac:dyDescent="0.6">
      <c r="BK873" s="4" t="str">
        <f>IFERROR(VLOOKUP(TEXT($B$3,"yyyymmdd")&amp;"_"&amp;TEXT(862,"0000"),RawData!$A$2:$F$1441,4,FALSE),"")</f>
        <v>0A</v>
      </c>
      <c r="BL873" s="19">
        <f>TIME(0,0,0)+862/1440</f>
        <v>0.59861111111111109</v>
      </c>
      <c r="BM873" s="4">
        <f>IFERROR(VLOOKUP(TEXT($B$3,"yyyymmdd")&amp;"_"&amp;TEXT(862,"0000"),RawData!$A$2:$F$1441,5,FALSE),"")</f>
        <v>0</v>
      </c>
      <c r="BN873" s="4">
        <f t="shared" si="14"/>
        <v>0</v>
      </c>
    </row>
    <row r="874" spans="63:66" x14ac:dyDescent="0.6">
      <c r="BK874" s="4" t="str">
        <f>IFERROR(VLOOKUP(TEXT($B$3,"yyyymmdd")&amp;"_"&amp;TEXT(863,"0000"),RawData!$A$2:$F$1441,4,FALSE),"")</f>
        <v>0A</v>
      </c>
      <c r="BL874" s="19">
        <f>TIME(0,0,0)+863/1440</f>
        <v>0.59930555555555554</v>
      </c>
      <c r="BM874" s="4">
        <f>IFERROR(VLOOKUP(TEXT($B$3,"yyyymmdd")&amp;"_"&amp;TEXT(863,"0000"),RawData!$A$2:$F$1441,5,FALSE),"")</f>
        <v>0</v>
      </c>
      <c r="BN874" s="4">
        <f t="shared" si="14"/>
        <v>0</v>
      </c>
    </row>
    <row r="875" spans="63:66" x14ac:dyDescent="0.6">
      <c r="BK875" s="4" t="str">
        <f>IFERROR(VLOOKUP(TEXT($B$3,"yyyymmdd")&amp;"_"&amp;TEXT(864,"0000"),RawData!$A$2:$F$1441,4,FALSE),"")</f>
        <v>0A</v>
      </c>
      <c r="BL875" s="19">
        <f>TIME(0,0,0)+864/1440</f>
        <v>0.6</v>
      </c>
      <c r="BM875" s="4">
        <f>IFERROR(VLOOKUP(TEXT($B$3,"yyyymmdd")&amp;"_"&amp;TEXT(864,"0000"),RawData!$A$2:$F$1441,5,FALSE),"")</f>
        <v>0</v>
      </c>
      <c r="BN875" s="4">
        <f t="shared" si="14"/>
        <v>0</v>
      </c>
    </row>
    <row r="876" spans="63:66" x14ac:dyDescent="0.6">
      <c r="BK876" s="4" t="str">
        <f>IFERROR(VLOOKUP(TEXT($B$3,"yyyymmdd")&amp;"_"&amp;TEXT(865,"0000"),RawData!$A$2:$F$1441,4,FALSE),"")</f>
        <v>0A</v>
      </c>
      <c r="BL876" s="19">
        <f>TIME(0,0,0)+865/1440</f>
        <v>0.60069444444444442</v>
      </c>
      <c r="BM876" s="4">
        <f>IFERROR(VLOOKUP(TEXT($B$3,"yyyymmdd")&amp;"_"&amp;TEXT(865,"0000"),RawData!$A$2:$F$1441,5,FALSE),"")</f>
        <v>0</v>
      </c>
      <c r="BN876" s="4">
        <f t="shared" si="14"/>
        <v>1</v>
      </c>
    </row>
    <row r="877" spans="63:66" x14ac:dyDescent="0.6">
      <c r="BK877" s="4" t="str">
        <f>IFERROR(VLOOKUP(TEXT($B$3,"yyyymmdd")&amp;"_"&amp;TEXT(866,"0000"),RawData!$A$2:$F$1441,4,FALSE),"")</f>
        <v>0A</v>
      </c>
      <c r="BL877" s="19">
        <f>TIME(0,0,0)+866/1440</f>
        <v>0.60138888888888886</v>
      </c>
      <c r="BM877" s="4">
        <f>IFERROR(VLOOKUP(TEXT($B$3,"yyyymmdd")&amp;"_"&amp;TEXT(866,"0000"),RawData!$A$2:$F$1441,5,FALSE),"")</f>
        <v>0</v>
      </c>
      <c r="BN877" s="4">
        <f t="shared" si="14"/>
        <v>1</v>
      </c>
    </row>
    <row r="878" spans="63:66" x14ac:dyDescent="0.6">
      <c r="BK878" s="4" t="str">
        <f>IFERROR(VLOOKUP(TEXT($B$3,"yyyymmdd")&amp;"_"&amp;TEXT(867,"0000"),RawData!$A$2:$F$1441,4,FALSE),"")</f>
        <v>1E</v>
      </c>
      <c r="BL878" s="19">
        <f>TIME(0,0,0)+867/1440</f>
        <v>0.6020833333333333</v>
      </c>
      <c r="BM878" s="4">
        <f>IFERROR(VLOOKUP(TEXT($B$3,"yyyymmdd")&amp;"_"&amp;TEXT(867,"0000"),RawData!$A$2:$F$1441,5,FALSE),"")</f>
        <v>0</v>
      </c>
      <c r="BN878" s="4">
        <f t="shared" si="14"/>
        <v>1</v>
      </c>
    </row>
    <row r="879" spans="63:66" x14ac:dyDescent="0.6">
      <c r="BK879" s="4" t="str">
        <f>IFERROR(VLOOKUP(TEXT($B$3,"yyyymmdd")&amp;"_"&amp;TEXT(868,"0000"),RawData!$A$2:$F$1441,4,FALSE),"")</f>
        <v>1E</v>
      </c>
      <c r="BL879" s="19">
        <f>TIME(0,0,0)+868/1440</f>
        <v>0.60277777777777775</v>
      </c>
      <c r="BM879" s="4">
        <f>IFERROR(VLOOKUP(TEXT($B$3,"yyyymmdd")&amp;"_"&amp;TEXT(868,"0000"),RawData!$A$2:$F$1441,5,FALSE),"")</f>
        <v>0</v>
      </c>
      <c r="BN879" s="4">
        <f t="shared" si="14"/>
        <v>0</v>
      </c>
    </row>
    <row r="880" spans="63:66" x14ac:dyDescent="0.6">
      <c r="BK880" s="4" t="str">
        <f>IFERROR(VLOOKUP(TEXT($B$3,"yyyymmdd")&amp;"_"&amp;TEXT(869,"0000"),RawData!$A$2:$F$1441,4,FALSE),"")</f>
        <v>1E</v>
      </c>
      <c r="BL880" s="19">
        <f>TIME(0,0,0)+869/1440</f>
        <v>0.60347222222222219</v>
      </c>
      <c r="BM880" s="4">
        <f>IFERROR(VLOOKUP(TEXT($B$3,"yyyymmdd")&amp;"_"&amp;TEXT(869,"0000"),RawData!$A$2:$F$1441,5,FALSE),"")</f>
        <v>0</v>
      </c>
      <c r="BN880" s="4">
        <f t="shared" ref="BN880:BN943" si="15">IF(BK874="","",IF(BK874&lt;&gt;BK873,1,0))</f>
        <v>0</v>
      </c>
    </row>
    <row r="881" spans="63:66" x14ac:dyDescent="0.6">
      <c r="BK881" s="4" t="str">
        <f>IFERROR(VLOOKUP(TEXT($B$3,"yyyymmdd")&amp;"_"&amp;TEXT(870,"0000"),RawData!$A$2:$F$1441,4,FALSE),"")</f>
        <v>1E</v>
      </c>
      <c r="BL881" s="19">
        <f>TIME(0,0,0)+870/1440</f>
        <v>0.60416666666666663</v>
      </c>
      <c r="BM881" s="4">
        <f>IFERROR(VLOOKUP(TEXT($B$3,"yyyymmdd")&amp;"_"&amp;TEXT(870,"0000"),RawData!$A$2:$F$1441,5,FALSE),"")</f>
        <v>0</v>
      </c>
      <c r="BN881" s="4">
        <f t="shared" si="15"/>
        <v>0</v>
      </c>
    </row>
    <row r="882" spans="63:66" x14ac:dyDescent="0.6">
      <c r="BK882" s="4" t="str">
        <f>IFERROR(VLOOKUP(TEXT($B$3,"yyyymmdd")&amp;"_"&amp;TEXT(871,"0000"),RawData!$A$2:$F$1441,4,FALSE),"")</f>
        <v>1E</v>
      </c>
      <c r="BL882" s="19">
        <f>TIME(0,0,0)+871/1440</f>
        <v>0.60486111111111107</v>
      </c>
      <c r="BM882" s="4">
        <f>IFERROR(VLOOKUP(TEXT($B$3,"yyyymmdd")&amp;"_"&amp;TEXT(871,"0000"),RawData!$A$2:$F$1441,5,FALSE),"")</f>
        <v>2.5900000000000001E-4</v>
      </c>
      <c r="BN882" s="4">
        <f t="shared" si="15"/>
        <v>0</v>
      </c>
    </row>
    <row r="883" spans="63:66" x14ac:dyDescent="0.6">
      <c r="BK883" s="4" t="str">
        <f>IFERROR(VLOOKUP(TEXT($B$3,"yyyymmdd")&amp;"_"&amp;TEXT(872,"0000"),RawData!$A$2:$F$1441,4,FALSE),"")</f>
        <v>1E</v>
      </c>
      <c r="BL883" s="19">
        <f>TIME(0,0,0)+872/1440</f>
        <v>0.60555555555555551</v>
      </c>
      <c r="BM883" s="4">
        <f>IFERROR(VLOOKUP(TEXT($B$3,"yyyymmdd")&amp;"_"&amp;TEXT(872,"0000"),RawData!$A$2:$F$1441,5,FALSE),"")</f>
        <v>0</v>
      </c>
      <c r="BN883" s="4">
        <f t="shared" si="15"/>
        <v>0</v>
      </c>
    </row>
    <row r="884" spans="63:66" x14ac:dyDescent="0.6">
      <c r="BK884" s="4" t="str">
        <f>IFERROR(VLOOKUP(TEXT($B$3,"yyyymmdd")&amp;"_"&amp;TEXT(873,"0000"),RawData!$A$2:$F$1441,4,FALSE),"")</f>
        <v>1E</v>
      </c>
      <c r="BL884" s="19">
        <f>TIME(0,0,0)+873/1440</f>
        <v>0.60624999999999996</v>
      </c>
      <c r="BM884" s="4">
        <f>IFERROR(VLOOKUP(TEXT($B$3,"yyyymmdd")&amp;"_"&amp;TEXT(873,"0000"),RawData!$A$2:$F$1441,5,FALSE),"")</f>
        <v>6.2799999999999998E-4</v>
      </c>
      <c r="BN884" s="4">
        <f t="shared" si="15"/>
        <v>1</v>
      </c>
    </row>
    <row r="885" spans="63:66" x14ac:dyDescent="0.6">
      <c r="BK885" s="4" t="str">
        <f>IFERROR(VLOOKUP(TEXT($B$3,"yyyymmdd")&amp;"_"&amp;TEXT(874,"0000"),RawData!$A$2:$F$1441,4,FALSE),"")</f>
        <v>1E</v>
      </c>
      <c r="BL885" s="19">
        <f>TIME(0,0,0)+874/1440</f>
        <v>0.6069444444444444</v>
      </c>
      <c r="BM885" s="4">
        <f>IFERROR(VLOOKUP(TEXT($B$3,"yyyymmdd")&amp;"_"&amp;TEXT(874,"0000"),RawData!$A$2:$F$1441,5,FALSE),"")</f>
        <v>0</v>
      </c>
      <c r="BN885" s="4">
        <f t="shared" si="15"/>
        <v>0</v>
      </c>
    </row>
    <row r="886" spans="63:66" x14ac:dyDescent="0.6">
      <c r="BK886" s="4" t="str">
        <f>IFERROR(VLOOKUP(TEXT($B$3,"yyyymmdd")&amp;"_"&amp;TEXT(875,"0000"),RawData!$A$2:$F$1441,4,FALSE),"")</f>
        <v>1E</v>
      </c>
      <c r="BL886" s="19">
        <f>TIME(0,0,0)+875/1440</f>
        <v>0.60763888888888884</v>
      </c>
      <c r="BM886" s="4">
        <f>IFERROR(VLOOKUP(TEXT($B$3,"yyyymmdd")&amp;"_"&amp;TEXT(875,"0000"),RawData!$A$2:$F$1441,5,FALSE),"")</f>
        <v>0</v>
      </c>
      <c r="BN886" s="4">
        <f t="shared" si="15"/>
        <v>0</v>
      </c>
    </row>
    <row r="887" spans="63:66" x14ac:dyDescent="0.6">
      <c r="BK887" s="4" t="str">
        <f>IFERROR(VLOOKUP(TEXT($B$3,"yyyymmdd")&amp;"_"&amp;TEXT(876,"0000"),RawData!$A$2:$F$1441,4,FALSE),"")</f>
        <v>1E</v>
      </c>
      <c r="BL887" s="19">
        <f>TIME(0,0,0)+876/1440</f>
        <v>0.60833333333333328</v>
      </c>
      <c r="BM887" s="4">
        <f>IFERROR(VLOOKUP(TEXT($B$3,"yyyymmdd")&amp;"_"&amp;TEXT(876,"0000"),RawData!$A$2:$F$1441,5,FALSE),"")</f>
        <v>0</v>
      </c>
      <c r="BN887" s="4">
        <f t="shared" si="15"/>
        <v>0</v>
      </c>
    </row>
    <row r="888" spans="63:66" x14ac:dyDescent="0.6">
      <c r="BK888" s="4" t="str">
        <f>IFERROR(VLOOKUP(TEXT($B$3,"yyyymmdd")&amp;"_"&amp;TEXT(877,"0000"),RawData!$A$2:$F$1441,4,FALSE),"")</f>
        <v>1E</v>
      </c>
      <c r="BL888" s="19">
        <f>TIME(0,0,0)+877/1440</f>
        <v>0.60902777777777772</v>
      </c>
      <c r="BM888" s="4">
        <f>IFERROR(VLOOKUP(TEXT($B$3,"yyyymmdd")&amp;"_"&amp;TEXT(877,"0000"),RawData!$A$2:$F$1441,5,FALSE),"")</f>
        <v>0</v>
      </c>
      <c r="BN888" s="4">
        <f t="shared" si="15"/>
        <v>0</v>
      </c>
    </row>
    <row r="889" spans="63:66" x14ac:dyDescent="0.6">
      <c r="BK889" s="4" t="str">
        <f>IFERROR(VLOOKUP(TEXT($B$3,"yyyymmdd")&amp;"_"&amp;TEXT(878,"0000"),RawData!$A$2:$F$1441,4,FALSE),"")</f>
        <v>1E</v>
      </c>
      <c r="BL889" s="19">
        <f>TIME(0,0,0)+878/1440</f>
        <v>0.60972222222222228</v>
      </c>
      <c r="BM889" s="4">
        <f>IFERROR(VLOOKUP(TEXT($B$3,"yyyymmdd")&amp;"_"&amp;TEXT(878,"0000"),RawData!$A$2:$F$1441,5,FALSE),"")</f>
        <v>0</v>
      </c>
      <c r="BN889" s="4">
        <f t="shared" si="15"/>
        <v>0</v>
      </c>
    </row>
    <row r="890" spans="63:66" x14ac:dyDescent="0.6">
      <c r="BK890" s="4" t="str">
        <f>IFERROR(VLOOKUP(TEXT($B$3,"yyyymmdd")&amp;"_"&amp;TEXT(879,"0000"),RawData!$A$2:$F$1441,4,FALSE),"")</f>
        <v>14</v>
      </c>
      <c r="BL890" s="19">
        <f>TIME(0,0,0)+879/1440</f>
        <v>0.61041666666666672</v>
      </c>
      <c r="BM890" s="4">
        <f>IFERROR(VLOOKUP(TEXT($B$3,"yyyymmdd")&amp;"_"&amp;TEXT(879,"0000"),RawData!$A$2:$F$1441,5,FALSE),"")</f>
        <v>0</v>
      </c>
      <c r="BN890" s="4">
        <f t="shared" si="15"/>
        <v>0</v>
      </c>
    </row>
    <row r="891" spans="63:66" x14ac:dyDescent="0.6">
      <c r="BK891" s="4" t="str">
        <f>IFERROR(VLOOKUP(TEXT($B$3,"yyyymmdd")&amp;"_"&amp;TEXT(880,"0000"),RawData!$A$2:$F$1441,4,FALSE),"")</f>
        <v>14</v>
      </c>
      <c r="BL891" s="19">
        <f>TIME(0,0,0)+880/1440</f>
        <v>0.61111111111111116</v>
      </c>
      <c r="BM891" s="4">
        <f>IFERROR(VLOOKUP(TEXT($B$3,"yyyymmdd")&amp;"_"&amp;TEXT(880,"0000"),RawData!$A$2:$F$1441,5,FALSE),"")</f>
        <v>0</v>
      </c>
      <c r="BN891" s="4">
        <f t="shared" si="15"/>
        <v>0</v>
      </c>
    </row>
    <row r="892" spans="63:66" x14ac:dyDescent="0.6">
      <c r="BK892" s="4" t="str">
        <f>IFERROR(VLOOKUP(TEXT($B$3,"yyyymmdd")&amp;"_"&amp;TEXT(881,"0000"),RawData!$A$2:$F$1441,4,FALSE),"")</f>
        <v>14</v>
      </c>
      <c r="BL892" s="19">
        <f>TIME(0,0,0)+881/1440</f>
        <v>0.6118055555555556</v>
      </c>
      <c r="BM892" s="4">
        <f>IFERROR(VLOOKUP(TEXT($B$3,"yyyymmdd")&amp;"_"&amp;TEXT(881,"0000"),RawData!$A$2:$F$1441,5,FALSE),"")</f>
        <v>0</v>
      </c>
      <c r="BN892" s="4">
        <f t="shared" si="15"/>
        <v>0</v>
      </c>
    </row>
    <row r="893" spans="63:66" x14ac:dyDescent="0.6">
      <c r="BK893" s="4" t="str">
        <f>IFERROR(VLOOKUP(TEXT($B$3,"yyyymmdd")&amp;"_"&amp;TEXT(882,"0000"),RawData!$A$2:$F$1441,4,FALSE),"")</f>
        <v>14</v>
      </c>
      <c r="BL893" s="19">
        <f>TIME(0,0,0)+882/1440</f>
        <v>0.61250000000000004</v>
      </c>
      <c r="BM893" s="4">
        <f>IFERROR(VLOOKUP(TEXT($B$3,"yyyymmdd")&amp;"_"&amp;TEXT(882,"0000"),RawData!$A$2:$F$1441,5,FALSE),"")</f>
        <v>2.6499999999999999E-4</v>
      </c>
      <c r="BN893" s="4">
        <f t="shared" si="15"/>
        <v>0</v>
      </c>
    </row>
    <row r="894" spans="63:66" x14ac:dyDescent="0.6">
      <c r="BK894" s="4" t="str">
        <f>IFERROR(VLOOKUP(TEXT($B$3,"yyyymmdd")&amp;"_"&amp;TEXT(883,"0000"),RawData!$A$2:$F$1441,4,FALSE),"")</f>
        <v>14</v>
      </c>
      <c r="BL894" s="19">
        <f>TIME(0,0,0)+883/1440</f>
        <v>0.61319444444444449</v>
      </c>
      <c r="BM894" s="4">
        <f>IFERROR(VLOOKUP(TEXT($B$3,"yyyymmdd")&amp;"_"&amp;TEXT(883,"0000"),RawData!$A$2:$F$1441,5,FALSE),"")</f>
        <v>0</v>
      </c>
      <c r="BN894" s="4">
        <f t="shared" si="15"/>
        <v>0</v>
      </c>
    </row>
    <row r="895" spans="63:66" x14ac:dyDescent="0.6">
      <c r="BK895" s="4" t="str">
        <f>IFERROR(VLOOKUP(TEXT($B$3,"yyyymmdd")&amp;"_"&amp;TEXT(884,"0000"),RawData!$A$2:$F$1441,4,FALSE),"")</f>
        <v>14</v>
      </c>
      <c r="BL895" s="19">
        <f>TIME(0,0,0)+884/1440</f>
        <v>0.61388888888888893</v>
      </c>
      <c r="BM895" s="4">
        <f>IFERROR(VLOOKUP(TEXT($B$3,"yyyymmdd")&amp;"_"&amp;TEXT(884,"0000"),RawData!$A$2:$F$1441,5,FALSE),"")</f>
        <v>0</v>
      </c>
      <c r="BN895" s="4">
        <f t="shared" si="15"/>
        <v>0</v>
      </c>
    </row>
    <row r="896" spans="63:66" x14ac:dyDescent="0.6">
      <c r="BK896" s="4" t="str">
        <f>IFERROR(VLOOKUP(TEXT($B$3,"yyyymmdd")&amp;"_"&amp;TEXT(885,"0000"),RawData!$A$2:$F$1441,4,FALSE),"")</f>
        <v>14</v>
      </c>
      <c r="BL896" s="19">
        <f>TIME(0,0,0)+885/1440</f>
        <v>0.61458333333333337</v>
      </c>
      <c r="BM896" s="4">
        <f>IFERROR(VLOOKUP(TEXT($B$3,"yyyymmdd")&amp;"_"&amp;TEXT(885,"0000"),RawData!$A$2:$F$1441,5,FALSE),"")</f>
        <v>0</v>
      </c>
      <c r="BN896" s="4">
        <f t="shared" si="15"/>
        <v>1</v>
      </c>
    </row>
    <row r="897" spans="63:66" x14ac:dyDescent="0.6">
      <c r="BK897" s="4" t="str">
        <f>IFERROR(VLOOKUP(TEXT($B$3,"yyyymmdd")&amp;"_"&amp;TEXT(886,"0000"),RawData!$A$2:$F$1441,4,FALSE),"")</f>
        <v>14</v>
      </c>
      <c r="BL897" s="19">
        <f>TIME(0,0,0)+886/1440</f>
        <v>0.61527777777777781</v>
      </c>
      <c r="BM897" s="4">
        <f>IFERROR(VLOOKUP(TEXT($B$3,"yyyymmdd")&amp;"_"&amp;TEXT(886,"0000"),RawData!$A$2:$F$1441,5,FALSE),"")</f>
        <v>0.63801920099999998</v>
      </c>
      <c r="BN897" s="4">
        <f t="shared" si="15"/>
        <v>0</v>
      </c>
    </row>
    <row r="898" spans="63:66" x14ac:dyDescent="0.6">
      <c r="BK898" s="4" t="str">
        <f>IFERROR(VLOOKUP(TEXT($B$3,"yyyymmdd")&amp;"_"&amp;TEXT(887,"0000"),RawData!$A$2:$F$1441,4,FALSE),"")</f>
        <v>14</v>
      </c>
      <c r="BL898" s="19">
        <f>TIME(0,0,0)+887/1440</f>
        <v>0.61597222222222225</v>
      </c>
      <c r="BM898" s="4">
        <f>IFERROR(VLOOKUP(TEXT($B$3,"yyyymmdd")&amp;"_"&amp;TEXT(887,"0000"),RawData!$A$2:$F$1441,5,FALSE),"")</f>
        <v>2.4041655450000001</v>
      </c>
      <c r="BN898" s="4">
        <f t="shared" si="15"/>
        <v>0</v>
      </c>
    </row>
    <row r="899" spans="63:66" x14ac:dyDescent="0.6">
      <c r="BK899" s="4" t="str">
        <f>IFERROR(VLOOKUP(TEXT($B$3,"yyyymmdd")&amp;"_"&amp;TEXT(888,"0000"),RawData!$A$2:$F$1441,4,FALSE),"")</f>
        <v>14</v>
      </c>
      <c r="BL899" s="19">
        <f>TIME(0,0,0)+888/1440</f>
        <v>0.6166666666666667</v>
      </c>
      <c r="BM899" s="4">
        <f>IFERROR(VLOOKUP(TEXT($B$3,"yyyymmdd")&amp;"_"&amp;TEXT(888,"0000"),RawData!$A$2:$F$1441,5,FALSE),"")</f>
        <v>1.7959820000000001E-2</v>
      </c>
      <c r="BN899" s="4">
        <f t="shared" si="15"/>
        <v>0</v>
      </c>
    </row>
    <row r="900" spans="63:66" x14ac:dyDescent="0.6">
      <c r="BK900" s="4" t="str">
        <f>IFERROR(VLOOKUP(TEXT($B$3,"yyyymmdd")&amp;"_"&amp;TEXT(889,"0000"),RawData!$A$2:$F$1441,4,FALSE),"")</f>
        <v>14</v>
      </c>
      <c r="BL900" s="19">
        <f>TIME(0,0,0)+889/1440</f>
        <v>0.61736111111111114</v>
      </c>
      <c r="BM900" s="4">
        <f>IFERROR(VLOOKUP(TEXT($B$3,"yyyymmdd")&amp;"_"&amp;TEXT(889,"0000"),RawData!$A$2:$F$1441,5,FALSE),"")</f>
        <v>2.4399999999999999E-4</v>
      </c>
      <c r="BN900" s="4">
        <f t="shared" si="15"/>
        <v>0</v>
      </c>
    </row>
    <row r="901" spans="63:66" x14ac:dyDescent="0.6">
      <c r="BK901" s="4" t="str">
        <f>IFERROR(VLOOKUP(TEXT($B$3,"yyyymmdd")&amp;"_"&amp;TEXT(890,"0000"),RawData!$A$2:$F$1441,4,FALSE),"")</f>
        <v>14</v>
      </c>
      <c r="BL901" s="19">
        <f>TIME(0,0,0)+890/1440</f>
        <v>0.61805555555555558</v>
      </c>
      <c r="BM901" s="4">
        <f>IFERROR(VLOOKUP(TEXT($B$3,"yyyymmdd")&amp;"_"&amp;TEXT(890,"0000"),RawData!$A$2:$F$1441,5,FALSE),"")</f>
        <v>0</v>
      </c>
      <c r="BN901" s="4">
        <f t="shared" si="15"/>
        <v>0</v>
      </c>
    </row>
    <row r="902" spans="63:66" x14ac:dyDescent="0.6">
      <c r="BK902" s="4" t="str">
        <f>IFERROR(VLOOKUP(TEXT($B$3,"yyyymmdd")&amp;"_"&amp;TEXT(891,"0000"),RawData!$A$2:$F$1441,4,FALSE),"")</f>
        <v>0A</v>
      </c>
      <c r="BL902" s="19">
        <f>TIME(0,0,0)+891/1440</f>
        <v>0.61875000000000002</v>
      </c>
      <c r="BM902" s="4">
        <f>IFERROR(VLOOKUP(TEXT($B$3,"yyyymmdd")&amp;"_"&amp;TEXT(891,"0000"),RawData!$A$2:$F$1441,5,FALSE),"")</f>
        <v>0</v>
      </c>
      <c r="BN902" s="4">
        <f t="shared" si="15"/>
        <v>0</v>
      </c>
    </row>
    <row r="903" spans="63:66" x14ac:dyDescent="0.6">
      <c r="BK903" s="4" t="str">
        <f>IFERROR(VLOOKUP(TEXT($B$3,"yyyymmdd")&amp;"_"&amp;TEXT(892,"0000"),RawData!$A$2:$F$1441,4,FALSE),"")</f>
        <v>14</v>
      </c>
      <c r="BL903" s="19">
        <f>TIME(0,0,0)+892/1440</f>
        <v>0.61944444444444446</v>
      </c>
      <c r="BM903" s="4">
        <f>IFERROR(VLOOKUP(TEXT($B$3,"yyyymmdd")&amp;"_"&amp;TEXT(892,"0000"),RawData!$A$2:$F$1441,5,FALSE),"")</f>
        <v>0</v>
      </c>
      <c r="BN903" s="4">
        <f t="shared" si="15"/>
        <v>0</v>
      </c>
    </row>
    <row r="904" spans="63:66" x14ac:dyDescent="0.6">
      <c r="BK904" s="4" t="str">
        <f>IFERROR(VLOOKUP(TEXT($B$3,"yyyymmdd")&amp;"_"&amp;TEXT(893,"0000"),RawData!$A$2:$F$1441,4,FALSE),"")</f>
        <v>14</v>
      </c>
      <c r="BL904" s="19">
        <f>TIME(0,0,0)+893/1440</f>
        <v>0.62013888888888891</v>
      </c>
      <c r="BM904" s="4">
        <f>IFERROR(VLOOKUP(TEXT($B$3,"yyyymmdd")&amp;"_"&amp;TEXT(893,"0000"),RawData!$A$2:$F$1441,5,FALSE),"")</f>
        <v>1.7200000000000001E-4</v>
      </c>
      <c r="BN904" s="4">
        <f t="shared" si="15"/>
        <v>0</v>
      </c>
    </row>
    <row r="905" spans="63:66" x14ac:dyDescent="0.6">
      <c r="BK905" s="4" t="str">
        <f>IFERROR(VLOOKUP(TEXT($B$3,"yyyymmdd")&amp;"_"&amp;TEXT(894,"0000"),RawData!$A$2:$F$1441,4,FALSE),"")</f>
        <v>1E</v>
      </c>
      <c r="BL905" s="19">
        <f>TIME(0,0,0)+894/1440</f>
        <v>0.62083333333333335</v>
      </c>
      <c r="BM905" s="4">
        <f>IFERROR(VLOOKUP(TEXT($B$3,"yyyymmdd")&amp;"_"&amp;TEXT(894,"0000"),RawData!$A$2:$F$1441,5,FALSE),"")</f>
        <v>4.26E-4</v>
      </c>
      <c r="BN905" s="4">
        <f t="shared" si="15"/>
        <v>0</v>
      </c>
    </row>
    <row r="906" spans="63:66" x14ac:dyDescent="0.6">
      <c r="BK906" s="4" t="str">
        <f>IFERROR(VLOOKUP(TEXT($B$3,"yyyymmdd")&amp;"_"&amp;TEXT(895,"0000"),RawData!$A$2:$F$1441,4,FALSE),"")</f>
        <v>0A</v>
      </c>
      <c r="BL906" s="19">
        <f>TIME(0,0,0)+895/1440</f>
        <v>0.62152777777777779</v>
      </c>
      <c r="BM906" s="4">
        <f>IFERROR(VLOOKUP(TEXT($B$3,"yyyymmdd")&amp;"_"&amp;TEXT(895,"0000"),RawData!$A$2:$F$1441,5,FALSE),"")</f>
        <v>0</v>
      </c>
      <c r="BN906" s="4">
        <f t="shared" si="15"/>
        <v>0</v>
      </c>
    </row>
    <row r="907" spans="63:66" x14ac:dyDescent="0.6">
      <c r="BK907" s="4" t="str">
        <f>IFERROR(VLOOKUP(TEXT($B$3,"yyyymmdd")&amp;"_"&amp;TEXT(896,"0000"),RawData!$A$2:$F$1441,4,FALSE),"")</f>
        <v>0A</v>
      </c>
      <c r="BL907" s="19">
        <f>TIME(0,0,0)+896/1440</f>
        <v>0.62222222222222223</v>
      </c>
      <c r="BM907" s="4">
        <f>IFERROR(VLOOKUP(TEXT($B$3,"yyyymmdd")&amp;"_"&amp;TEXT(896,"0000"),RawData!$A$2:$F$1441,5,FALSE),"")</f>
        <v>0</v>
      </c>
      <c r="BN907" s="4">
        <f t="shared" si="15"/>
        <v>0</v>
      </c>
    </row>
    <row r="908" spans="63:66" x14ac:dyDescent="0.6">
      <c r="BK908" s="4" t="str">
        <f>IFERROR(VLOOKUP(TEXT($B$3,"yyyymmdd")&amp;"_"&amp;TEXT(897,"0000"),RawData!$A$2:$F$1441,4,FALSE),"")</f>
        <v>0A</v>
      </c>
      <c r="BL908" s="19">
        <f>TIME(0,0,0)+897/1440</f>
        <v>0.62291666666666667</v>
      </c>
      <c r="BM908" s="4">
        <f>IFERROR(VLOOKUP(TEXT($B$3,"yyyymmdd")&amp;"_"&amp;TEXT(897,"0000"),RawData!$A$2:$F$1441,5,FALSE),"")</f>
        <v>0</v>
      </c>
      <c r="BN908" s="4">
        <f t="shared" si="15"/>
        <v>1</v>
      </c>
    </row>
    <row r="909" spans="63:66" x14ac:dyDescent="0.6">
      <c r="BK909" s="4" t="str">
        <f>IFERROR(VLOOKUP(TEXT($B$3,"yyyymmdd")&amp;"_"&amp;TEXT(898,"0000"),RawData!$A$2:$F$1441,4,FALSE),"")</f>
        <v>0A</v>
      </c>
      <c r="BL909" s="19">
        <f>TIME(0,0,0)+898/1440</f>
        <v>0.62361111111111112</v>
      </c>
      <c r="BM909" s="4">
        <f>IFERROR(VLOOKUP(TEXT($B$3,"yyyymmdd")&amp;"_"&amp;TEXT(898,"0000"),RawData!$A$2:$F$1441,5,FALSE),"")</f>
        <v>0</v>
      </c>
      <c r="BN909" s="4">
        <f t="shared" si="15"/>
        <v>1</v>
      </c>
    </row>
    <row r="910" spans="63:66" x14ac:dyDescent="0.6">
      <c r="BK910" s="4" t="str">
        <f>IFERROR(VLOOKUP(TEXT($B$3,"yyyymmdd")&amp;"_"&amp;TEXT(899,"0000"),RawData!$A$2:$F$1441,4,FALSE),"")</f>
        <v>0A</v>
      </c>
      <c r="BL910" s="19">
        <f>TIME(0,0,0)+899/1440</f>
        <v>0.62430555555555556</v>
      </c>
      <c r="BM910" s="4">
        <f>IFERROR(VLOOKUP(TEXT($B$3,"yyyymmdd")&amp;"_"&amp;TEXT(899,"0000"),RawData!$A$2:$F$1441,5,FALSE),"")</f>
        <v>0</v>
      </c>
      <c r="BN910" s="4">
        <f t="shared" si="15"/>
        <v>0</v>
      </c>
    </row>
    <row r="911" spans="63:66" x14ac:dyDescent="0.6">
      <c r="BK911" s="4" t="str">
        <f>IFERROR(VLOOKUP(TEXT($B$3,"yyyymmdd")&amp;"_"&amp;TEXT(900,"0000"),RawData!$A$2:$F$1441,4,FALSE),"")</f>
        <v>0A</v>
      </c>
      <c r="BL911" s="19">
        <f>TIME(0,0,0)+900/1440</f>
        <v>0.625</v>
      </c>
      <c r="BM911" s="4">
        <f>IFERROR(VLOOKUP(TEXT($B$3,"yyyymmdd")&amp;"_"&amp;TEXT(900,"0000"),RawData!$A$2:$F$1441,5,FALSE),"")</f>
        <v>0</v>
      </c>
      <c r="BN911" s="4">
        <f t="shared" si="15"/>
        <v>1</v>
      </c>
    </row>
    <row r="912" spans="63:66" x14ac:dyDescent="0.6">
      <c r="BK912" s="4" t="str">
        <f>IFERROR(VLOOKUP(TEXT($B$3,"yyyymmdd")&amp;"_"&amp;TEXT(901,"0000"),RawData!$A$2:$F$1441,4,FALSE),"")</f>
        <v>0A</v>
      </c>
      <c r="BL912" s="19">
        <f>TIME(0,0,0)+901/1440</f>
        <v>0.62569444444444444</v>
      </c>
      <c r="BM912" s="4">
        <f>IFERROR(VLOOKUP(TEXT($B$3,"yyyymmdd")&amp;"_"&amp;TEXT(901,"0000"),RawData!$A$2:$F$1441,5,FALSE),"")</f>
        <v>0</v>
      </c>
      <c r="BN912" s="4">
        <f t="shared" si="15"/>
        <v>1</v>
      </c>
    </row>
    <row r="913" spans="63:66" x14ac:dyDescent="0.6">
      <c r="BK913" s="4" t="str">
        <f>IFERROR(VLOOKUP(TEXT($B$3,"yyyymmdd")&amp;"_"&amp;TEXT(902,"0000"),RawData!$A$2:$F$1441,4,FALSE),"")</f>
        <v>0A</v>
      </c>
      <c r="BL913" s="19">
        <f>TIME(0,0,0)+902/1440</f>
        <v>0.62638888888888888</v>
      </c>
      <c r="BM913" s="4">
        <f>IFERROR(VLOOKUP(TEXT($B$3,"yyyymmdd")&amp;"_"&amp;TEXT(902,"0000"),RawData!$A$2:$F$1441,5,FALSE),"")</f>
        <v>0</v>
      </c>
      <c r="BN913" s="4">
        <f t="shared" si="15"/>
        <v>0</v>
      </c>
    </row>
    <row r="914" spans="63:66" x14ac:dyDescent="0.6">
      <c r="BK914" s="4" t="str">
        <f>IFERROR(VLOOKUP(TEXT($B$3,"yyyymmdd")&amp;"_"&amp;TEXT(903,"0000"),RawData!$A$2:$F$1441,4,FALSE),"")</f>
        <v>0A</v>
      </c>
      <c r="BL914" s="19">
        <f>TIME(0,0,0)+903/1440</f>
        <v>0.62708333333333333</v>
      </c>
      <c r="BM914" s="4">
        <f>IFERROR(VLOOKUP(TEXT($B$3,"yyyymmdd")&amp;"_"&amp;TEXT(903,"0000"),RawData!$A$2:$F$1441,5,FALSE),"")</f>
        <v>0</v>
      </c>
      <c r="BN914" s="4">
        <f t="shared" si="15"/>
        <v>0</v>
      </c>
    </row>
    <row r="915" spans="63:66" x14ac:dyDescent="0.6">
      <c r="BK915" s="4" t="str">
        <f>IFERROR(VLOOKUP(TEXT($B$3,"yyyymmdd")&amp;"_"&amp;TEXT(904,"0000"),RawData!$A$2:$F$1441,4,FALSE),"")</f>
        <v>0A</v>
      </c>
      <c r="BL915" s="19">
        <f>TIME(0,0,0)+904/1440</f>
        <v>0.62777777777777777</v>
      </c>
      <c r="BM915" s="4">
        <f>IFERROR(VLOOKUP(TEXT($B$3,"yyyymmdd")&amp;"_"&amp;TEXT(904,"0000"),RawData!$A$2:$F$1441,5,FALSE),"")</f>
        <v>0</v>
      </c>
      <c r="BN915" s="4">
        <f t="shared" si="15"/>
        <v>0</v>
      </c>
    </row>
    <row r="916" spans="63:66" x14ac:dyDescent="0.6">
      <c r="BK916" s="4" t="str">
        <f>IFERROR(VLOOKUP(TEXT($B$3,"yyyymmdd")&amp;"_"&amp;TEXT(905,"0000"),RawData!$A$2:$F$1441,4,FALSE),"")</f>
        <v>0A</v>
      </c>
      <c r="BL916" s="19">
        <f>TIME(0,0,0)+905/1440</f>
        <v>0.62847222222222221</v>
      </c>
      <c r="BM916" s="4">
        <f>IFERROR(VLOOKUP(TEXT($B$3,"yyyymmdd")&amp;"_"&amp;TEXT(905,"0000"),RawData!$A$2:$F$1441,5,FALSE),"")</f>
        <v>0</v>
      </c>
      <c r="BN916" s="4">
        <f t="shared" si="15"/>
        <v>0</v>
      </c>
    </row>
    <row r="917" spans="63:66" x14ac:dyDescent="0.6">
      <c r="BK917" s="4" t="str">
        <f>IFERROR(VLOOKUP(TEXT($B$3,"yyyymmdd")&amp;"_"&amp;TEXT(906,"0000"),RawData!$A$2:$F$1441,4,FALSE),"")</f>
        <v>0A</v>
      </c>
      <c r="BL917" s="19">
        <f>TIME(0,0,0)+906/1440</f>
        <v>0.62916666666666665</v>
      </c>
      <c r="BM917" s="4">
        <f>IFERROR(VLOOKUP(TEXT($B$3,"yyyymmdd")&amp;"_"&amp;TEXT(906,"0000"),RawData!$A$2:$F$1441,5,FALSE),"")</f>
        <v>0</v>
      </c>
      <c r="BN917" s="4">
        <f t="shared" si="15"/>
        <v>0</v>
      </c>
    </row>
    <row r="918" spans="63:66" x14ac:dyDescent="0.6">
      <c r="BK918" s="4" t="str">
        <f>IFERROR(VLOOKUP(TEXT($B$3,"yyyymmdd")&amp;"_"&amp;TEXT(907,"0000"),RawData!$A$2:$F$1441,4,FALSE),"")</f>
        <v>1E</v>
      </c>
      <c r="BL918" s="19">
        <f>TIME(0,0,0)+907/1440</f>
        <v>0.62986111111111109</v>
      </c>
      <c r="BM918" s="4">
        <f>IFERROR(VLOOKUP(TEXT($B$3,"yyyymmdd")&amp;"_"&amp;TEXT(907,"0000"),RawData!$A$2:$F$1441,5,FALSE),"")</f>
        <v>0</v>
      </c>
      <c r="BN918" s="4">
        <f t="shared" si="15"/>
        <v>0</v>
      </c>
    </row>
    <row r="919" spans="63:66" x14ac:dyDescent="0.6">
      <c r="BK919" s="4" t="str">
        <f>IFERROR(VLOOKUP(TEXT($B$3,"yyyymmdd")&amp;"_"&amp;TEXT(908,"0000"),RawData!$A$2:$F$1441,4,FALSE),"")</f>
        <v>0A</v>
      </c>
      <c r="BL919" s="19">
        <f>TIME(0,0,0)+908/1440</f>
        <v>0.63055555555555554</v>
      </c>
      <c r="BM919" s="4">
        <f>IFERROR(VLOOKUP(TEXT($B$3,"yyyymmdd")&amp;"_"&amp;TEXT(908,"0000"),RawData!$A$2:$F$1441,5,FALSE),"")</f>
        <v>0</v>
      </c>
      <c r="BN919" s="4">
        <f t="shared" si="15"/>
        <v>0</v>
      </c>
    </row>
    <row r="920" spans="63:66" x14ac:dyDescent="0.6">
      <c r="BK920" s="4" t="str">
        <f>IFERROR(VLOOKUP(TEXT($B$3,"yyyymmdd")&amp;"_"&amp;TEXT(909,"0000"),RawData!$A$2:$F$1441,4,FALSE),"")</f>
        <v>0A</v>
      </c>
      <c r="BL920" s="19">
        <f>TIME(0,0,0)+909/1440</f>
        <v>0.63124999999999998</v>
      </c>
      <c r="BM920" s="4">
        <f>IFERROR(VLOOKUP(TEXT($B$3,"yyyymmdd")&amp;"_"&amp;TEXT(909,"0000"),RawData!$A$2:$F$1441,5,FALSE),"")</f>
        <v>0</v>
      </c>
      <c r="BN920" s="4">
        <f t="shared" si="15"/>
        <v>0</v>
      </c>
    </row>
    <row r="921" spans="63:66" x14ac:dyDescent="0.6">
      <c r="BK921" s="4" t="str">
        <f>IFERROR(VLOOKUP(TEXT($B$3,"yyyymmdd")&amp;"_"&amp;TEXT(910,"0000"),RawData!$A$2:$F$1441,4,FALSE),"")</f>
        <v>0A</v>
      </c>
      <c r="BL921" s="19">
        <f>TIME(0,0,0)+910/1440</f>
        <v>0.63194444444444442</v>
      </c>
      <c r="BM921" s="4">
        <f>IFERROR(VLOOKUP(TEXT($B$3,"yyyymmdd")&amp;"_"&amp;TEXT(910,"0000"),RawData!$A$2:$F$1441,5,FALSE),"")</f>
        <v>0</v>
      </c>
      <c r="BN921" s="4">
        <f t="shared" si="15"/>
        <v>0</v>
      </c>
    </row>
    <row r="922" spans="63:66" x14ac:dyDescent="0.6">
      <c r="BK922" s="4" t="str">
        <f>IFERROR(VLOOKUP(TEXT($B$3,"yyyymmdd")&amp;"_"&amp;TEXT(911,"0000"),RawData!$A$2:$F$1441,4,FALSE),"")</f>
        <v>0A</v>
      </c>
      <c r="BL922" s="19">
        <f>TIME(0,0,0)+911/1440</f>
        <v>0.63263888888888886</v>
      </c>
      <c r="BM922" s="4">
        <f>IFERROR(VLOOKUP(TEXT($B$3,"yyyymmdd")&amp;"_"&amp;TEXT(911,"0000"),RawData!$A$2:$F$1441,5,FALSE),"")</f>
        <v>3.5799999999999997E-4</v>
      </c>
      <c r="BN922" s="4">
        <f t="shared" si="15"/>
        <v>0</v>
      </c>
    </row>
    <row r="923" spans="63:66" x14ac:dyDescent="0.6">
      <c r="BK923" s="4" t="str">
        <f>IFERROR(VLOOKUP(TEXT($B$3,"yyyymmdd")&amp;"_"&amp;TEXT(912,"0000"),RawData!$A$2:$F$1441,4,FALSE),"")</f>
        <v>1E</v>
      </c>
      <c r="BL923" s="19">
        <f>TIME(0,0,0)+912/1440</f>
        <v>0.6333333333333333</v>
      </c>
      <c r="BM923" s="4">
        <f>IFERROR(VLOOKUP(TEXT($B$3,"yyyymmdd")&amp;"_"&amp;TEXT(912,"0000"),RawData!$A$2:$F$1441,5,FALSE),"")</f>
        <v>0</v>
      </c>
      <c r="BN923" s="4">
        <f t="shared" si="15"/>
        <v>0</v>
      </c>
    </row>
    <row r="924" spans="63:66" x14ac:dyDescent="0.6">
      <c r="BK924" s="4" t="str">
        <f>IFERROR(VLOOKUP(TEXT($B$3,"yyyymmdd")&amp;"_"&amp;TEXT(913,"0000"),RawData!$A$2:$F$1441,4,FALSE),"")</f>
        <v>00</v>
      </c>
      <c r="BL924" s="19">
        <f>TIME(0,0,0)+913/1440</f>
        <v>0.63402777777777775</v>
      </c>
      <c r="BM924" s="4">
        <f>IFERROR(VLOOKUP(TEXT($B$3,"yyyymmdd")&amp;"_"&amp;TEXT(913,"0000"),RawData!$A$2:$F$1441,5,FALSE),"")</f>
        <v>0</v>
      </c>
      <c r="BN924" s="4">
        <f t="shared" si="15"/>
        <v>1</v>
      </c>
    </row>
    <row r="925" spans="63:66" x14ac:dyDescent="0.6">
      <c r="BK925" s="4" t="str">
        <f>IFERROR(VLOOKUP(TEXT($B$3,"yyyymmdd")&amp;"_"&amp;TEXT(914,"0000"),RawData!$A$2:$F$1441,4,FALSE),"")</f>
        <v>00</v>
      </c>
      <c r="BL925" s="19">
        <f>TIME(0,0,0)+914/1440</f>
        <v>0.63472222222222219</v>
      </c>
      <c r="BM925" s="4">
        <f>IFERROR(VLOOKUP(TEXT($B$3,"yyyymmdd")&amp;"_"&amp;TEXT(914,"0000"),RawData!$A$2:$F$1441,5,FALSE),"")</f>
        <v>4.9600000000000002E-4</v>
      </c>
      <c r="BN925" s="4">
        <f t="shared" si="15"/>
        <v>1</v>
      </c>
    </row>
    <row r="926" spans="63:66" x14ac:dyDescent="0.6">
      <c r="BK926" s="4" t="str">
        <f>IFERROR(VLOOKUP(TEXT($B$3,"yyyymmdd")&amp;"_"&amp;TEXT(915,"0000"),RawData!$A$2:$F$1441,4,FALSE),"")</f>
        <v>00</v>
      </c>
      <c r="BL926" s="19">
        <f>TIME(0,0,0)+915/1440</f>
        <v>0.63541666666666663</v>
      </c>
      <c r="BM926" s="4">
        <f>IFERROR(VLOOKUP(TEXT($B$3,"yyyymmdd")&amp;"_"&amp;TEXT(915,"0000"),RawData!$A$2:$F$1441,5,FALSE),"")</f>
        <v>4.35E-4</v>
      </c>
      <c r="BN926" s="4">
        <f t="shared" si="15"/>
        <v>0</v>
      </c>
    </row>
    <row r="927" spans="63:66" x14ac:dyDescent="0.6">
      <c r="BK927" s="4" t="str">
        <f>IFERROR(VLOOKUP(TEXT($B$3,"yyyymmdd")&amp;"_"&amp;TEXT(916,"0000"),RawData!$A$2:$F$1441,4,FALSE),"")</f>
        <v>1E</v>
      </c>
      <c r="BL927" s="19">
        <f>TIME(0,0,0)+916/1440</f>
        <v>0.63611111111111107</v>
      </c>
      <c r="BM927" s="4">
        <f>IFERROR(VLOOKUP(TEXT($B$3,"yyyymmdd")&amp;"_"&amp;TEXT(916,"0000"),RawData!$A$2:$F$1441,5,FALSE),"")</f>
        <v>2.5799999999999998E-4</v>
      </c>
      <c r="BN927" s="4">
        <f t="shared" si="15"/>
        <v>0</v>
      </c>
    </row>
    <row r="928" spans="63:66" x14ac:dyDescent="0.6">
      <c r="BK928" s="4" t="str">
        <f>IFERROR(VLOOKUP(TEXT($B$3,"yyyymmdd")&amp;"_"&amp;TEXT(917,"0000"),RawData!$A$2:$F$1441,4,FALSE),"")</f>
        <v>1E</v>
      </c>
      <c r="BL928" s="19">
        <f>TIME(0,0,0)+917/1440</f>
        <v>0.63680555555555551</v>
      </c>
      <c r="BM928" s="4">
        <f>IFERROR(VLOOKUP(TEXT($B$3,"yyyymmdd")&amp;"_"&amp;TEXT(917,"0000"),RawData!$A$2:$F$1441,5,FALSE),"")</f>
        <v>0</v>
      </c>
      <c r="BN928" s="4">
        <f t="shared" si="15"/>
        <v>0</v>
      </c>
    </row>
    <row r="929" spans="63:66" x14ac:dyDescent="0.6">
      <c r="BK929" s="4" t="str">
        <f>IFERROR(VLOOKUP(TEXT($B$3,"yyyymmdd")&amp;"_"&amp;TEXT(918,"0000"),RawData!$A$2:$F$1441,4,FALSE),"")</f>
        <v>1E</v>
      </c>
      <c r="BL929" s="19">
        <f>TIME(0,0,0)+918/1440</f>
        <v>0.63749999999999996</v>
      </c>
      <c r="BM929" s="4">
        <f>IFERROR(VLOOKUP(TEXT($B$3,"yyyymmdd")&amp;"_"&amp;TEXT(918,"0000"),RawData!$A$2:$F$1441,5,FALSE),"")</f>
        <v>0</v>
      </c>
      <c r="BN929" s="4">
        <f t="shared" si="15"/>
        <v>1</v>
      </c>
    </row>
    <row r="930" spans="63:66" x14ac:dyDescent="0.6">
      <c r="BK930" s="4" t="str">
        <f>IFERROR(VLOOKUP(TEXT($B$3,"yyyymmdd")&amp;"_"&amp;TEXT(919,"0000"),RawData!$A$2:$F$1441,4,FALSE),"")</f>
        <v>1E</v>
      </c>
      <c r="BL930" s="19">
        <f>TIME(0,0,0)+919/1440</f>
        <v>0.6381944444444444</v>
      </c>
      <c r="BM930" s="4">
        <f>IFERROR(VLOOKUP(TEXT($B$3,"yyyymmdd")&amp;"_"&amp;TEXT(919,"0000"),RawData!$A$2:$F$1441,5,FALSE),"")</f>
        <v>0</v>
      </c>
      <c r="BN930" s="4">
        <f t="shared" si="15"/>
        <v>1</v>
      </c>
    </row>
    <row r="931" spans="63:66" x14ac:dyDescent="0.6">
      <c r="BK931" s="4" t="str">
        <f>IFERROR(VLOOKUP(TEXT($B$3,"yyyymmdd")&amp;"_"&amp;TEXT(920,"0000"),RawData!$A$2:$F$1441,4,FALSE),"")</f>
        <v>1E</v>
      </c>
      <c r="BL931" s="19">
        <f>TIME(0,0,0)+920/1440</f>
        <v>0.63888888888888884</v>
      </c>
      <c r="BM931" s="4">
        <f>IFERROR(VLOOKUP(TEXT($B$3,"yyyymmdd")&amp;"_"&amp;TEXT(920,"0000"),RawData!$A$2:$F$1441,5,FALSE),"")</f>
        <v>0</v>
      </c>
      <c r="BN931" s="4">
        <f t="shared" si="15"/>
        <v>0</v>
      </c>
    </row>
    <row r="932" spans="63:66" x14ac:dyDescent="0.6">
      <c r="BK932" s="4" t="str">
        <f>IFERROR(VLOOKUP(TEXT($B$3,"yyyymmdd")&amp;"_"&amp;TEXT(921,"0000"),RawData!$A$2:$F$1441,4,FALSE),"")</f>
        <v>1E</v>
      </c>
      <c r="BL932" s="19">
        <f>TIME(0,0,0)+921/1440</f>
        <v>0.63958333333333328</v>
      </c>
      <c r="BM932" s="4">
        <f>IFERROR(VLOOKUP(TEXT($B$3,"yyyymmdd")&amp;"_"&amp;TEXT(921,"0000"),RawData!$A$2:$F$1441,5,FALSE),"")</f>
        <v>0</v>
      </c>
      <c r="BN932" s="4">
        <f t="shared" si="15"/>
        <v>0</v>
      </c>
    </row>
    <row r="933" spans="63:66" x14ac:dyDescent="0.6">
      <c r="BK933" s="4" t="str">
        <f>IFERROR(VLOOKUP(TEXT($B$3,"yyyymmdd")&amp;"_"&amp;TEXT(922,"0000"),RawData!$A$2:$F$1441,4,FALSE),"")</f>
        <v>1E</v>
      </c>
      <c r="BL933" s="19">
        <f>TIME(0,0,0)+922/1440</f>
        <v>0.64027777777777772</v>
      </c>
      <c r="BM933" s="4">
        <f>IFERROR(VLOOKUP(TEXT($B$3,"yyyymmdd")&amp;"_"&amp;TEXT(922,"0000"),RawData!$A$2:$F$1441,5,FALSE),"")</f>
        <v>2.7500000000000002E-4</v>
      </c>
      <c r="BN933" s="4">
        <f t="shared" si="15"/>
        <v>1</v>
      </c>
    </row>
    <row r="934" spans="63:66" x14ac:dyDescent="0.6">
      <c r="BK934" s="4" t="str">
        <f>IFERROR(VLOOKUP(TEXT($B$3,"yyyymmdd")&amp;"_"&amp;TEXT(923,"0000"),RawData!$A$2:$F$1441,4,FALSE),"")</f>
        <v>1E</v>
      </c>
      <c r="BL934" s="19">
        <f>TIME(0,0,0)+923/1440</f>
        <v>0.64097222222222228</v>
      </c>
      <c r="BM934" s="4">
        <f>IFERROR(VLOOKUP(TEXT($B$3,"yyyymmdd")&amp;"_"&amp;TEXT(923,"0000"),RawData!$A$2:$F$1441,5,FALSE),"")</f>
        <v>0</v>
      </c>
      <c r="BN934" s="4">
        <f t="shared" si="15"/>
        <v>0</v>
      </c>
    </row>
    <row r="935" spans="63:66" x14ac:dyDescent="0.6">
      <c r="BK935" s="4" t="str">
        <f>IFERROR(VLOOKUP(TEXT($B$3,"yyyymmdd")&amp;"_"&amp;TEXT(924,"0000"),RawData!$A$2:$F$1441,4,FALSE),"")</f>
        <v>1E</v>
      </c>
      <c r="BL935" s="19">
        <f>TIME(0,0,0)+924/1440</f>
        <v>0.64166666666666672</v>
      </c>
      <c r="BM935" s="4">
        <f>IFERROR(VLOOKUP(TEXT($B$3,"yyyymmdd")&amp;"_"&amp;TEXT(924,"0000"),RawData!$A$2:$F$1441,5,FALSE),"")</f>
        <v>0</v>
      </c>
      <c r="BN935" s="4">
        <f t="shared" si="15"/>
        <v>0</v>
      </c>
    </row>
    <row r="936" spans="63:66" x14ac:dyDescent="0.6">
      <c r="BK936" s="4" t="str">
        <f>IFERROR(VLOOKUP(TEXT($B$3,"yyyymmdd")&amp;"_"&amp;TEXT(925,"0000"),RawData!$A$2:$F$1441,4,FALSE),"")</f>
        <v>1E</v>
      </c>
      <c r="BL936" s="19">
        <f>TIME(0,0,0)+925/1440</f>
        <v>0.64236111111111116</v>
      </c>
      <c r="BM936" s="4">
        <f>IFERROR(VLOOKUP(TEXT($B$3,"yyyymmdd")&amp;"_"&amp;TEXT(925,"0000"),RawData!$A$2:$F$1441,5,FALSE),"")</f>
        <v>0</v>
      </c>
      <c r="BN936" s="4">
        <f t="shared" si="15"/>
        <v>0</v>
      </c>
    </row>
    <row r="937" spans="63:66" x14ac:dyDescent="0.6">
      <c r="BK937" s="4" t="str">
        <f>IFERROR(VLOOKUP(TEXT($B$3,"yyyymmdd")&amp;"_"&amp;TEXT(926,"0000"),RawData!$A$2:$F$1441,4,FALSE),"")</f>
        <v>1E</v>
      </c>
      <c r="BL937" s="19">
        <f>TIME(0,0,0)+926/1440</f>
        <v>0.6430555555555556</v>
      </c>
      <c r="BM937" s="4">
        <f>IFERROR(VLOOKUP(TEXT($B$3,"yyyymmdd")&amp;"_"&amp;TEXT(926,"0000"),RawData!$A$2:$F$1441,5,FALSE),"")</f>
        <v>3.28E-4</v>
      </c>
      <c r="BN937" s="4">
        <f t="shared" si="15"/>
        <v>0</v>
      </c>
    </row>
    <row r="938" spans="63:66" x14ac:dyDescent="0.6">
      <c r="BK938" s="4" t="str">
        <f>IFERROR(VLOOKUP(TEXT($B$3,"yyyymmdd")&amp;"_"&amp;TEXT(927,"0000"),RawData!$A$2:$F$1441,4,FALSE),"")</f>
        <v>1E</v>
      </c>
      <c r="BL938" s="19">
        <f>TIME(0,0,0)+927/1440</f>
        <v>0.64375000000000004</v>
      </c>
      <c r="BM938" s="4">
        <f>IFERROR(VLOOKUP(TEXT($B$3,"yyyymmdd")&amp;"_"&amp;TEXT(927,"0000"),RawData!$A$2:$F$1441,5,FALSE),"")</f>
        <v>0</v>
      </c>
      <c r="BN938" s="4">
        <f t="shared" si="15"/>
        <v>0</v>
      </c>
    </row>
    <row r="939" spans="63:66" x14ac:dyDescent="0.6">
      <c r="BK939" s="4" t="str">
        <f>IFERROR(VLOOKUP(TEXT($B$3,"yyyymmdd")&amp;"_"&amp;TEXT(928,"0000"),RawData!$A$2:$F$1441,4,FALSE),"")</f>
        <v>1E</v>
      </c>
      <c r="BL939" s="19">
        <f>TIME(0,0,0)+928/1440</f>
        <v>0.64444444444444449</v>
      </c>
      <c r="BM939" s="4">
        <f>IFERROR(VLOOKUP(TEXT($B$3,"yyyymmdd")&amp;"_"&amp;TEXT(928,"0000"),RawData!$A$2:$F$1441,5,FALSE),"")</f>
        <v>0</v>
      </c>
      <c r="BN939" s="4">
        <f t="shared" si="15"/>
        <v>0</v>
      </c>
    </row>
    <row r="940" spans="63:66" x14ac:dyDescent="0.6">
      <c r="BK940" s="4" t="str">
        <f>IFERROR(VLOOKUP(TEXT($B$3,"yyyymmdd")&amp;"_"&amp;TEXT(929,"0000"),RawData!$A$2:$F$1441,4,FALSE),"")</f>
        <v>1E</v>
      </c>
      <c r="BL940" s="19">
        <f>TIME(0,0,0)+929/1440</f>
        <v>0.64513888888888893</v>
      </c>
      <c r="BM940" s="4">
        <f>IFERROR(VLOOKUP(TEXT($B$3,"yyyymmdd")&amp;"_"&amp;TEXT(929,"0000"),RawData!$A$2:$F$1441,5,FALSE),"")</f>
        <v>0</v>
      </c>
      <c r="BN940" s="4">
        <f t="shared" si="15"/>
        <v>0</v>
      </c>
    </row>
    <row r="941" spans="63:66" x14ac:dyDescent="0.6">
      <c r="BK941" s="4" t="str">
        <f>IFERROR(VLOOKUP(TEXT($B$3,"yyyymmdd")&amp;"_"&amp;TEXT(930,"0000"),RawData!$A$2:$F$1441,4,FALSE),"")</f>
        <v>1E</v>
      </c>
      <c r="BL941" s="19">
        <f>TIME(0,0,0)+930/1440</f>
        <v>0.64583333333333337</v>
      </c>
      <c r="BM941" s="4">
        <f>IFERROR(VLOOKUP(TEXT($B$3,"yyyymmdd")&amp;"_"&amp;TEXT(930,"0000"),RawData!$A$2:$F$1441,5,FALSE),"")</f>
        <v>0</v>
      </c>
      <c r="BN941" s="4">
        <f t="shared" si="15"/>
        <v>0</v>
      </c>
    </row>
    <row r="942" spans="63:66" x14ac:dyDescent="0.6">
      <c r="BK942" s="4" t="str">
        <f>IFERROR(VLOOKUP(TEXT($B$3,"yyyymmdd")&amp;"_"&amp;TEXT(931,"0000"),RawData!$A$2:$F$1441,4,FALSE),"")</f>
        <v>1E</v>
      </c>
      <c r="BL942" s="19">
        <f>TIME(0,0,0)+931/1440</f>
        <v>0.64652777777777781</v>
      </c>
      <c r="BM942" s="4">
        <f>IFERROR(VLOOKUP(TEXT($B$3,"yyyymmdd")&amp;"_"&amp;TEXT(931,"0000"),RawData!$A$2:$F$1441,5,FALSE),"")</f>
        <v>0</v>
      </c>
      <c r="BN942" s="4">
        <f t="shared" si="15"/>
        <v>0</v>
      </c>
    </row>
    <row r="943" spans="63:66" x14ac:dyDescent="0.6">
      <c r="BK943" s="4" t="str">
        <f>IFERROR(VLOOKUP(TEXT($B$3,"yyyymmdd")&amp;"_"&amp;TEXT(932,"0000"),RawData!$A$2:$F$1441,4,FALSE),"")</f>
        <v>1E</v>
      </c>
      <c r="BL943" s="19">
        <f>TIME(0,0,0)+932/1440</f>
        <v>0.64722222222222225</v>
      </c>
      <c r="BM943" s="4">
        <f>IFERROR(VLOOKUP(TEXT($B$3,"yyyymmdd")&amp;"_"&amp;TEXT(932,"0000"),RawData!$A$2:$F$1441,5,FALSE),"")</f>
        <v>0</v>
      </c>
      <c r="BN943" s="4">
        <f t="shared" si="15"/>
        <v>0</v>
      </c>
    </row>
    <row r="944" spans="63:66" x14ac:dyDescent="0.6">
      <c r="BK944" s="4" t="str">
        <f>IFERROR(VLOOKUP(TEXT($B$3,"yyyymmdd")&amp;"_"&amp;TEXT(933,"0000"),RawData!$A$2:$F$1441,4,FALSE),"")</f>
        <v>00</v>
      </c>
      <c r="BL944" s="19">
        <f>TIME(0,0,0)+933/1440</f>
        <v>0.6479166666666667</v>
      </c>
      <c r="BM944" s="4">
        <f>IFERROR(VLOOKUP(TEXT($B$3,"yyyymmdd")&amp;"_"&amp;TEXT(933,"0000"),RawData!$A$2:$F$1441,5,FALSE),"")</f>
        <v>0</v>
      </c>
      <c r="BN944" s="4">
        <f t="shared" ref="BN944:BN1007" si="16">IF(BK938="","",IF(BK938&lt;&gt;BK937,1,0))</f>
        <v>0</v>
      </c>
    </row>
    <row r="945" spans="63:66" x14ac:dyDescent="0.6">
      <c r="BK945" s="4" t="str">
        <f>IFERROR(VLOOKUP(TEXT($B$3,"yyyymmdd")&amp;"_"&amp;TEXT(934,"0000"),RawData!$A$2:$F$1441,4,FALSE),"")</f>
        <v>1E</v>
      </c>
      <c r="BL945" s="19">
        <f>TIME(0,0,0)+934/1440</f>
        <v>0.64861111111111114</v>
      </c>
      <c r="BM945" s="4">
        <f>IFERROR(VLOOKUP(TEXT($B$3,"yyyymmdd")&amp;"_"&amp;TEXT(934,"0000"),RawData!$A$2:$F$1441,5,FALSE),"")</f>
        <v>4.6200000000000001E-4</v>
      </c>
      <c r="BN945" s="4">
        <f t="shared" si="16"/>
        <v>0</v>
      </c>
    </row>
    <row r="946" spans="63:66" x14ac:dyDescent="0.6">
      <c r="BK946" s="4" t="str">
        <f>IFERROR(VLOOKUP(TEXT($B$3,"yyyymmdd")&amp;"_"&amp;TEXT(935,"0000"),RawData!$A$2:$F$1441,4,FALSE),"")</f>
        <v>00</v>
      </c>
      <c r="BL946" s="19">
        <f>TIME(0,0,0)+935/1440</f>
        <v>0.64930555555555558</v>
      </c>
      <c r="BM946" s="4">
        <f>IFERROR(VLOOKUP(TEXT($B$3,"yyyymmdd")&amp;"_"&amp;TEXT(935,"0000"),RawData!$A$2:$F$1441,5,FALSE),"")</f>
        <v>0</v>
      </c>
      <c r="BN946" s="4">
        <f t="shared" si="16"/>
        <v>0</v>
      </c>
    </row>
    <row r="947" spans="63:66" x14ac:dyDescent="0.6">
      <c r="BK947" s="4" t="str">
        <f>IFERROR(VLOOKUP(TEXT($B$3,"yyyymmdd")&amp;"_"&amp;TEXT(936,"0000"),RawData!$A$2:$F$1441,4,FALSE),"")</f>
        <v>00</v>
      </c>
      <c r="BL947" s="19">
        <f>TIME(0,0,0)+936/1440</f>
        <v>0.65</v>
      </c>
      <c r="BM947" s="4">
        <f>IFERROR(VLOOKUP(TEXT($B$3,"yyyymmdd")&amp;"_"&amp;TEXT(936,"0000"),RawData!$A$2:$F$1441,5,FALSE),"")</f>
        <v>0</v>
      </c>
      <c r="BN947" s="4">
        <f t="shared" si="16"/>
        <v>0</v>
      </c>
    </row>
    <row r="948" spans="63:66" x14ac:dyDescent="0.6">
      <c r="BK948" s="4" t="str">
        <f>IFERROR(VLOOKUP(TEXT($B$3,"yyyymmdd")&amp;"_"&amp;TEXT(937,"0000"),RawData!$A$2:$F$1441,4,FALSE),"")</f>
        <v>00</v>
      </c>
      <c r="BL948" s="19">
        <f>TIME(0,0,0)+937/1440</f>
        <v>0.65069444444444446</v>
      </c>
      <c r="BM948" s="4">
        <f>IFERROR(VLOOKUP(TEXT($B$3,"yyyymmdd")&amp;"_"&amp;TEXT(937,"0000"),RawData!$A$2:$F$1441,5,FALSE),"")</f>
        <v>0</v>
      </c>
      <c r="BN948" s="4">
        <f t="shared" si="16"/>
        <v>0</v>
      </c>
    </row>
    <row r="949" spans="63:66" x14ac:dyDescent="0.6">
      <c r="BK949" s="4" t="str">
        <f>IFERROR(VLOOKUP(TEXT($B$3,"yyyymmdd")&amp;"_"&amp;TEXT(938,"0000"),RawData!$A$2:$F$1441,4,FALSE),"")</f>
        <v>00</v>
      </c>
      <c r="BL949" s="19">
        <f>TIME(0,0,0)+938/1440</f>
        <v>0.65138888888888891</v>
      </c>
      <c r="BM949" s="4">
        <f>IFERROR(VLOOKUP(TEXT($B$3,"yyyymmdd")&amp;"_"&amp;TEXT(938,"0000"),RawData!$A$2:$F$1441,5,FALSE),"")</f>
        <v>0</v>
      </c>
      <c r="BN949" s="4">
        <f t="shared" si="16"/>
        <v>0</v>
      </c>
    </row>
    <row r="950" spans="63:66" x14ac:dyDescent="0.6">
      <c r="BK950" s="4" t="str">
        <f>IFERROR(VLOOKUP(TEXT($B$3,"yyyymmdd")&amp;"_"&amp;TEXT(939,"0000"),RawData!$A$2:$F$1441,4,FALSE),"")</f>
        <v>00</v>
      </c>
      <c r="BL950" s="19">
        <f>TIME(0,0,0)+939/1440</f>
        <v>0.65208333333333335</v>
      </c>
      <c r="BM950" s="4">
        <f>IFERROR(VLOOKUP(TEXT($B$3,"yyyymmdd")&amp;"_"&amp;TEXT(939,"0000"),RawData!$A$2:$F$1441,5,FALSE),"")</f>
        <v>4.0900000000000002E-4</v>
      </c>
      <c r="BN950" s="4">
        <f t="shared" si="16"/>
        <v>1</v>
      </c>
    </row>
    <row r="951" spans="63:66" x14ac:dyDescent="0.6">
      <c r="BK951" s="4" t="str">
        <f>IFERROR(VLOOKUP(TEXT($B$3,"yyyymmdd")&amp;"_"&amp;TEXT(940,"0000"),RawData!$A$2:$F$1441,4,FALSE),"")</f>
        <v>00</v>
      </c>
      <c r="BL951" s="19">
        <f>TIME(0,0,0)+940/1440</f>
        <v>0.65277777777777779</v>
      </c>
      <c r="BM951" s="4">
        <f>IFERROR(VLOOKUP(TEXT($B$3,"yyyymmdd")&amp;"_"&amp;TEXT(940,"0000"),RawData!$A$2:$F$1441,5,FALSE),"")</f>
        <v>0</v>
      </c>
      <c r="BN951" s="4">
        <f t="shared" si="16"/>
        <v>1</v>
      </c>
    </row>
    <row r="952" spans="63:66" x14ac:dyDescent="0.6">
      <c r="BK952" s="4" t="str">
        <f>IFERROR(VLOOKUP(TEXT($B$3,"yyyymmdd")&amp;"_"&amp;TEXT(941,"0000"),RawData!$A$2:$F$1441,4,FALSE),"")</f>
        <v>00</v>
      </c>
      <c r="BL952" s="19">
        <f>TIME(0,0,0)+941/1440</f>
        <v>0.65347222222222223</v>
      </c>
      <c r="BM952" s="4">
        <f>IFERROR(VLOOKUP(TEXT($B$3,"yyyymmdd")&amp;"_"&amp;TEXT(941,"0000"),RawData!$A$2:$F$1441,5,FALSE),"")</f>
        <v>0</v>
      </c>
      <c r="BN952" s="4">
        <f t="shared" si="16"/>
        <v>1</v>
      </c>
    </row>
    <row r="953" spans="63:66" x14ac:dyDescent="0.6">
      <c r="BK953" s="4" t="str">
        <f>IFERROR(VLOOKUP(TEXT($B$3,"yyyymmdd")&amp;"_"&amp;TEXT(942,"0000"),RawData!$A$2:$F$1441,4,FALSE),"")</f>
        <v>00</v>
      </c>
      <c r="BL953" s="19">
        <f>TIME(0,0,0)+942/1440</f>
        <v>0.65416666666666667</v>
      </c>
      <c r="BM953" s="4">
        <f>IFERROR(VLOOKUP(TEXT($B$3,"yyyymmdd")&amp;"_"&amp;TEXT(942,"0000"),RawData!$A$2:$F$1441,5,FALSE),"")</f>
        <v>0</v>
      </c>
      <c r="BN953" s="4">
        <f t="shared" si="16"/>
        <v>0</v>
      </c>
    </row>
    <row r="954" spans="63:66" x14ac:dyDescent="0.6">
      <c r="BK954" s="4" t="str">
        <f>IFERROR(VLOOKUP(TEXT($B$3,"yyyymmdd")&amp;"_"&amp;TEXT(943,"0000"),RawData!$A$2:$F$1441,4,FALSE),"")</f>
        <v>00</v>
      </c>
      <c r="BL954" s="19">
        <f>TIME(0,0,0)+943/1440</f>
        <v>0.65486111111111112</v>
      </c>
      <c r="BM954" s="4">
        <f>IFERROR(VLOOKUP(TEXT($B$3,"yyyymmdd")&amp;"_"&amp;TEXT(943,"0000"),RawData!$A$2:$F$1441,5,FALSE),"")</f>
        <v>0</v>
      </c>
      <c r="BN954" s="4">
        <f t="shared" si="16"/>
        <v>0</v>
      </c>
    </row>
    <row r="955" spans="63:66" x14ac:dyDescent="0.6">
      <c r="BK955" s="4" t="str">
        <f>IFERROR(VLOOKUP(TEXT($B$3,"yyyymmdd")&amp;"_"&amp;TEXT(944,"0000"),RawData!$A$2:$F$1441,4,FALSE),"")</f>
        <v>00</v>
      </c>
      <c r="BL955" s="19">
        <f>TIME(0,0,0)+944/1440</f>
        <v>0.65555555555555556</v>
      </c>
      <c r="BM955" s="4">
        <f>IFERROR(VLOOKUP(TEXT($B$3,"yyyymmdd")&amp;"_"&amp;TEXT(944,"0000"),RawData!$A$2:$F$1441,5,FALSE),"")</f>
        <v>0</v>
      </c>
      <c r="BN955" s="4">
        <f t="shared" si="16"/>
        <v>0</v>
      </c>
    </row>
    <row r="956" spans="63:66" x14ac:dyDescent="0.6">
      <c r="BK956" s="4" t="str">
        <f>IFERROR(VLOOKUP(TEXT($B$3,"yyyymmdd")&amp;"_"&amp;TEXT(945,"0000"),RawData!$A$2:$F$1441,4,FALSE),"")</f>
        <v>00</v>
      </c>
      <c r="BL956" s="19">
        <f>TIME(0,0,0)+945/1440</f>
        <v>0.65625</v>
      </c>
      <c r="BM956" s="4">
        <f>IFERROR(VLOOKUP(TEXT($B$3,"yyyymmdd")&amp;"_"&amp;TEXT(945,"0000"),RawData!$A$2:$F$1441,5,FALSE),"")</f>
        <v>0</v>
      </c>
      <c r="BN956" s="4">
        <f t="shared" si="16"/>
        <v>0</v>
      </c>
    </row>
    <row r="957" spans="63:66" x14ac:dyDescent="0.6">
      <c r="BK957" s="4" t="str">
        <f>IFERROR(VLOOKUP(TEXT($B$3,"yyyymmdd")&amp;"_"&amp;TEXT(946,"0000"),RawData!$A$2:$F$1441,4,FALSE),"")</f>
        <v>00</v>
      </c>
      <c r="BL957" s="19">
        <f>TIME(0,0,0)+946/1440</f>
        <v>0.65694444444444444</v>
      </c>
      <c r="BM957" s="4">
        <f>IFERROR(VLOOKUP(TEXT($B$3,"yyyymmdd")&amp;"_"&amp;TEXT(946,"0000"),RawData!$A$2:$F$1441,5,FALSE),"")</f>
        <v>0</v>
      </c>
      <c r="BN957" s="4">
        <f t="shared" si="16"/>
        <v>0</v>
      </c>
    </row>
    <row r="958" spans="63:66" x14ac:dyDescent="0.6">
      <c r="BK958" s="4" t="str">
        <f>IFERROR(VLOOKUP(TEXT($B$3,"yyyymmdd")&amp;"_"&amp;TEXT(947,"0000"),RawData!$A$2:$F$1441,4,FALSE),"")</f>
        <v>00</v>
      </c>
      <c r="BL958" s="19">
        <f>TIME(0,0,0)+947/1440</f>
        <v>0.65763888888888888</v>
      </c>
      <c r="BM958" s="4">
        <f>IFERROR(VLOOKUP(TEXT($B$3,"yyyymmdd")&amp;"_"&amp;TEXT(947,"0000"),RawData!$A$2:$F$1441,5,FALSE),"")</f>
        <v>0</v>
      </c>
      <c r="BN958" s="4">
        <f t="shared" si="16"/>
        <v>0</v>
      </c>
    </row>
    <row r="959" spans="63:66" x14ac:dyDescent="0.6">
      <c r="BK959" s="4" t="str">
        <f>IFERROR(VLOOKUP(TEXT($B$3,"yyyymmdd")&amp;"_"&amp;TEXT(948,"0000"),RawData!$A$2:$F$1441,4,FALSE),"")</f>
        <v>00</v>
      </c>
      <c r="BL959" s="19">
        <f>TIME(0,0,0)+948/1440</f>
        <v>0.65833333333333333</v>
      </c>
      <c r="BM959" s="4">
        <f>IFERROR(VLOOKUP(TEXT($B$3,"yyyymmdd")&amp;"_"&amp;TEXT(948,"0000"),RawData!$A$2:$F$1441,5,FALSE),"")</f>
        <v>0</v>
      </c>
      <c r="BN959" s="4">
        <f t="shared" si="16"/>
        <v>0</v>
      </c>
    </row>
    <row r="960" spans="63:66" x14ac:dyDescent="0.6">
      <c r="BK960" s="4" t="str">
        <f>IFERROR(VLOOKUP(TEXT($B$3,"yyyymmdd")&amp;"_"&amp;TEXT(949,"0000"),RawData!$A$2:$F$1441,4,FALSE),"")</f>
        <v>00</v>
      </c>
      <c r="BL960" s="19">
        <f>TIME(0,0,0)+949/1440</f>
        <v>0.65902777777777777</v>
      </c>
      <c r="BM960" s="4">
        <f>IFERROR(VLOOKUP(TEXT($B$3,"yyyymmdd")&amp;"_"&amp;TEXT(949,"0000"),RawData!$A$2:$F$1441,5,FALSE),"")</f>
        <v>0</v>
      </c>
      <c r="BN960" s="4">
        <f t="shared" si="16"/>
        <v>0</v>
      </c>
    </row>
    <row r="961" spans="63:66" x14ac:dyDescent="0.6">
      <c r="BK961" s="4" t="str">
        <f>IFERROR(VLOOKUP(TEXT($B$3,"yyyymmdd")&amp;"_"&amp;TEXT(950,"0000"),RawData!$A$2:$F$1441,4,FALSE),"")</f>
        <v>00</v>
      </c>
      <c r="BL961" s="19">
        <f>TIME(0,0,0)+950/1440</f>
        <v>0.65972222222222221</v>
      </c>
      <c r="BM961" s="4">
        <f>IFERROR(VLOOKUP(TEXT($B$3,"yyyymmdd")&amp;"_"&amp;TEXT(950,"0000"),RawData!$A$2:$F$1441,5,FALSE),"")</f>
        <v>0</v>
      </c>
      <c r="BN961" s="4">
        <f t="shared" si="16"/>
        <v>0</v>
      </c>
    </row>
    <row r="962" spans="63:66" x14ac:dyDescent="0.6">
      <c r="BK962" s="4" t="str">
        <f>IFERROR(VLOOKUP(TEXT($B$3,"yyyymmdd")&amp;"_"&amp;TEXT(951,"0000"),RawData!$A$2:$F$1441,4,FALSE),"")</f>
        <v>00</v>
      </c>
      <c r="BL962" s="19">
        <f>TIME(0,0,0)+951/1440</f>
        <v>0.66041666666666665</v>
      </c>
      <c r="BM962" s="4">
        <f>IFERROR(VLOOKUP(TEXT($B$3,"yyyymmdd")&amp;"_"&amp;TEXT(951,"0000"),RawData!$A$2:$F$1441,5,FALSE),"")</f>
        <v>0</v>
      </c>
      <c r="BN962" s="4">
        <f t="shared" si="16"/>
        <v>0</v>
      </c>
    </row>
    <row r="963" spans="63:66" x14ac:dyDescent="0.6">
      <c r="BK963" s="4" t="str">
        <f>IFERROR(VLOOKUP(TEXT($B$3,"yyyymmdd")&amp;"_"&amp;TEXT(952,"0000"),RawData!$A$2:$F$1441,4,FALSE),"")</f>
        <v>00</v>
      </c>
      <c r="BL963" s="19">
        <f>TIME(0,0,0)+952/1440</f>
        <v>0.66111111111111109</v>
      </c>
      <c r="BM963" s="4">
        <f>IFERROR(VLOOKUP(TEXT($B$3,"yyyymmdd")&amp;"_"&amp;TEXT(952,"0000"),RawData!$A$2:$F$1441,5,FALSE),"")</f>
        <v>2.8800000000000001E-4</v>
      </c>
      <c r="BN963" s="4">
        <f t="shared" si="16"/>
        <v>0</v>
      </c>
    </row>
    <row r="964" spans="63:66" x14ac:dyDescent="0.6">
      <c r="BK964" s="4" t="str">
        <f>IFERROR(VLOOKUP(TEXT($B$3,"yyyymmdd")&amp;"_"&amp;TEXT(953,"0000"),RawData!$A$2:$F$1441,4,FALSE),"")</f>
        <v>00</v>
      </c>
      <c r="BL964" s="19">
        <f>TIME(0,0,0)+953/1440</f>
        <v>0.66180555555555554</v>
      </c>
      <c r="BM964" s="4">
        <f>IFERROR(VLOOKUP(TEXT($B$3,"yyyymmdd")&amp;"_"&amp;TEXT(953,"0000"),RawData!$A$2:$F$1441,5,FALSE),"")</f>
        <v>0</v>
      </c>
      <c r="BN964" s="4">
        <f t="shared" si="16"/>
        <v>0</v>
      </c>
    </row>
    <row r="965" spans="63:66" x14ac:dyDescent="0.6">
      <c r="BK965" s="4" t="str">
        <f>IFERROR(VLOOKUP(TEXT($B$3,"yyyymmdd")&amp;"_"&amp;TEXT(954,"0000"),RawData!$A$2:$F$1441,4,FALSE),"")</f>
        <v>00</v>
      </c>
      <c r="BL965" s="19">
        <f>TIME(0,0,0)+954/1440</f>
        <v>0.66249999999999998</v>
      </c>
      <c r="BM965" s="4">
        <f>IFERROR(VLOOKUP(TEXT($B$3,"yyyymmdd")&amp;"_"&amp;TEXT(954,"0000"),RawData!$A$2:$F$1441,5,FALSE),"")</f>
        <v>0</v>
      </c>
      <c r="BN965" s="4">
        <f t="shared" si="16"/>
        <v>0</v>
      </c>
    </row>
    <row r="966" spans="63:66" x14ac:dyDescent="0.6">
      <c r="BK966" s="4" t="str">
        <f>IFERROR(VLOOKUP(TEXT($B$3,"yyyymmdd")&amp;"_"&amp;TEXT(955,"0000"),RawData!$A$2:$F$1441,4,FALSE),"")</f>
        <v>00</v>
      </c>
      <c r="BL966" s="19">
        <f>TIME(0,0,0)+955/1440</f>
        <v>0.66319444444444442</v>
      </c>
      <c r="BM966" s="4">
        <f>IFERROR(VLOOKUP(TEXT($B$3,"yyyymmdd")&amp;"_"&amp;TEXT(955,"0000"),RawData!$A$2:$F$1441,5,FALSE),"")</f>
        <v>3.9800000000000002E-4</v>
      </c>
      <c r="BN966" s="4">
        <f t="shared" si="16"/>
        <v>0</v>
      </c>
    </row>
    <row r="967" spans="63:66" x14ac:dyDescent="0.6">
      <c r="BK967" s="4" t="str">
        <f>IFERROR(VLOOKUP(TEXT($B$3,"yyyymmdd")&amp;"_"&amp;TEXT(956,"0000"),RawData!$A$2:$F$1441,4,FALSE),"")</f>
        <v>00</v>
      </c>
      <c r="BL967" s="19">
        <f>TIME(0,0,0)+956/1440</f>
        <v>0.66388888888888886</v>
      </c>
      <c r="BM967" s="4">
        <f>IFERROR(VLOOKUP(TEXT($B$3,"yyyymmdd")&amp;"_"&amp;TEXT(956,"0000"),RawData!$A$2:$F$1441,5,FALSE),"")</f>
        <v>0</v>
      </c>
      <c r="BN967" s="4">
        <f t="shared" si="16"/>
        <v>0</v>
      </c>
    </row>
    <row r="968" spans="63:66" x14ac:dyDescent="0.6">
      <c r="BK968" s="4" t="str">
        <f>IFERROR(VLOOKUP(TEXT($B$3,"yyyymmdd")&amp;"_"&amp;TEXT(957,"0000"),RawData!$A$2:$F$1441,4,FALSE),"")</f>
        <v>00</v>
      </c>
      <c r="BL968" s="19">
        <f>TIME(0,0,0)+957/1440</f>
        <v>0.6645833333333333</v>
      </c>
      <c r="BM968" s="4">
        <f>IFERROR(VLOOKUP(TEXT($B$3,"yyyymmdd")&amp;"_"&amp;TEXT(957,"0000"),RawData!$A$2:$F$1441,5,FALSE),"")</f>
        <v>0</v>
      </c>
      <c r="BN968" s="4">
        <f t="shared" si="16"/>
        <v>0</v>
      </c>
    </row>
    <row r="969" spans="63:66" x14ac:dyDescent="0.6">
      <c r="BK969" s="4" t="str">
        <f>IFERROR(VLOOKUP(TEXT($B$3,"yyyymmdd")&amp;"_"&amp;TEXT(958,"0000"),RawData!$A$2:$F$1441,4,FALSE),"")</f>
        <v>00</v>
      </c>
      <c r="BL969" s="19">
        <f>TIME(0,0,0)+958/1440</f>
        <v>0.66527777777777775</v>
      </c>
      <c r="BM969" s="4">
        <f>IFERROR(VLOOKUP(TEXT($B$3,"yyyymmdd")&amp;"_"&amp;TEXT(958,"0000"),RawData!$A$2:$F$1441,5,FALSE),"")</f>
        <v>0</v>
      </c>
      <c r="BN969" s="4">
        <f t="shared" si="16"/>
        <v>0</v>
      </c>
    </row>
    <row r="970" spans="63:66" x14ac:dyDescent="0.6">
      <c r="BK970" s="4" t="str">
        <f>IFERROR(VLOOKUP(TEXT($B$3,"yyyymmdd")&amp;"_"&amp;TEXT(959,"0000"),RawData!$A$2:$F$1441,4,FALSE),"")</f>
        <v>00</v>
      </c>
      <c r="BL970" s="19">
        <f>TIME(0,0,0)+959/1440</f>
        <v>0.66597222222222219</v>
      </c>
      <c r="BM970" s="4">
        <f>IFERROR(VLOOKUP(TEXT($B$3,"yyyymmdd")&amp;"_"&amp;TEXT(959,"0000"),RawData!$A$2:$F$1441,5,FALSE),"")</f>
        <v>0</v>
      </c>
      <c r="BN970" s="4">
        <f t="shared" si="16"/>
        <v>0</v>
      </c>
    </row>
    <row r="971" spans="63:66" x14ac:dyDescent="0.6">
      <c r="BK971" s="4" t="str">
        <f>IFERROR(VLOOKUP(TEXT($B$3,"yyyymmdd")&amp;"_"&amp;TEXT(960,"0000"),RawData!$A$2:$F$1441,4,FALSE),"")</f>
        <v>00</v>
      </c>
      <c r="BL971" s="19">
        <f>TIME(0,0,0)+960/1440</f>
        <v>0.66666666666666663</v>
      </c>
      <c r="BM971" s="4">
        <f>IFERROR(VLOOKUP(TEXT($B$3,"yyyymmdd")&amp;"_"&amp;TEXT(960,"0000"),RawData!$A$2:$F$1441,5,FALSE),"")</f>
        <v>0</v>
      </c>
      <c r="BN971" s="4">
        <f t="shared" si="16"/>
        <v>0</v>
      </c>
    </row>
    <row r="972" spans="63:66" x14ac:dyDescent="0.6">
      <c r="BK972" s="4" t="str">
        <f>IFERROR(VLOOKUP(TEXT($B$3,"yyyymmdd")&amp;"_"&amp;TEXT(961,"0000"),RawData!$A$2:$F$1441,4,FALSE),"")</f>
        <v>00</v>
      </c>
      <c r="BL972" s="19">
        <f>TIME(0,0,0)+961/1440</f>
        <v>0.66736111111111107</v>
      </c>
      <c r="BM972" s="4">
        <f>IFERROR(VLOOKUP(TEXT($B$3,"yyyymmdd")&amp;"_"&amp;TEXT(961,"0000"),RawData!$A$2:$F$1441,5,FALSE),"")</f>
        <v>0</v>
      </c>
      <c r="BN972" s="4">
        <f t="shared" si="16"/>
        <v>0</v>
      </c>
    </row>
    <row r="973" spans="63:66" x14ac:dyDescent="0.6">
      <c r="BK973" s="4" t="str">
        <f>IFERROR(VLOOKUP(TEXT($B$3,"yyyymmdd")&amp;"_"&amp;TEXT(962,"0000"),RawData!$A$2:$F$1441,4,FALSE),"")</f>
        <v>00</v>
      </c>
      <c r="BL973" s="19">
        <f>TIME(0,0,0)+962/1440</f>
        <v>0.66805555555555551</v>
      </c>
      <c r="BM973" s="4">
        <f>IFERROR(VLOOKUP(TEXT($B$3,"yyyymmdd")&amp;"_"&amp;TEXT(962,"0000"),RawData!$A$2:$F$1441,5,FALSE),"")</f>
        <v>3.3599999999999998E-4</v>
      </c>
      <c r="BN973" s="4">
        <f t="shared" si="16"/>
        <v>0</v>
      </c>
    </row>
    <row r="974" spans="63:66" x14ac:dyDescent="0.6">
      <c r="BK974" s="4" t="str">
        <f>IFERROR(VLOOKUP(TEXT($B$3,"yyyymmdd")&amp;"_"&amp;TEXT(963,"0000"),RawData!$A$2:$F$1441,4,FALSE),"")</f>
        <v>00</v>
      </c>
      <c r="BL974" s="19">
        <f>TIME(0,0,0)+963/1440</f>
        <v>0.66874999999999996</v>
      </c>
      <c r="BM974" s="4">
        <f>IFERROR(VLOOKUP(TEXT($B$3,"yyyymmdd")&amp;"_"&amp;TEXT(963,"0000"),RawData!$A$2:$F$1441,5,FALSE),"")</f>
        <v>5.1099999999999995E-4</v>
      </c>
      <c r="BN974" s="4">
        <f t="shared" si="16"/>
        <v>0</v>
      </c>
    </row>
    <row r="975" spans="63:66" x14ac:dyDescent="0.6">
      <c r="BK975" s="4" t="str">
        <f>IFERROR(VLOOKUP(TEXT($B$3,"yyyymmdd")&amp;"_"&amp;TEXT(964,"0000"),RawData!$A$2:$F$1441,4,FALSE),"")</f>
        <v>00</v>
      </c>
      <c r="BL975" s="19">
        <f>TIME(0,0,0)+964/1440</f>
        <v>0.6694444444444444</v>
      </c>
      <c r="BM975" s="4">
        <f>IFERROR(VLOOKUP(TEXT($B$3,"yyyymmdd")&amp;"_"&amp;TEXT(964,"0000"),RawData!$A$2:$F$1441,5,FALSE),"")</f>
        <v>0</v>
      </c>
      <c r="BN975" s="4">
        <f t="shared" si="16"/>
        <v>0</v>
      </c>
    </row>
    <row r="976" spans="63:66" x14ac:dyDescent="0.6">
      <c r="BK976" s="4" t="str">
        <f>IFERROR(VLOOKUP(TEXT($B$3,"yyyymmdd")&amp;"_"&amp;TEXT(965,"0000"),RawData!$A$2:$F$1441,4,FALSE),"")</f>
        <v>1E</v>
      </c>
      <c r="BL976" s="19">
        <f>TIME(0,0,0)+965/1440</f>
        <v>0.67013888888888884</v>
      </c>
      <c r="BM976" s="4">
        <f>IFERROR(VLOOKUP(TEXT($B$3,"yyyymmdd")&amp;"_"&amp;TEXT(965,"0000"),RawData!$A$2:$F$1441,5,FALSE),"")</f>
        <v>0</v>
      </c>
      <c r="BN976" s="4">
        <f t="shared" si="16"/>
        <v>0</v>
      </c>
    </row>
    <row r="977" spans="63:66" x14ac:dyDescent="0.6">
      <c r="BK977" s="4" t="str">
        <f>IFERROR(VLOOKUP(TEXT($B$3,"yyyymmdd")&amp;"_"&amp;TEXT(966,"0000"),RawData!$A$2:$F$1441,4,FALSE),"")</f>
        <v>00</v>
      </c>
      <c r="BL977" s="19">
        <f>TIME(0,0,0)+966/1440</f>
        <v>0.67083333333333328</v>
      </c>
      <c r="BM977" s="4">
        <f>IFERROR(VLOOKUP(TEXT($B$3,"yyyymmdd")&amp;"_"&amp;TEXT(966,"0000"),RawData!$A$2:$F$1441,5,FALSE),"")</f>
        <v>5.3399999999999997E-4</v>
      </c>
      <c r="BN977" s="4">
        <f t="shared" si="16"/>
        <v>0</v>
      </c>
    </row>
    <row r="978" spans="63:66" x14ac:dyDescent="0.6">
      <c r="BK978" s="4" t="str">
        <f>IFERROR(VLOOKUP(TEXT($B$3,"yyyymmdd")&amp;"_"&amp;TEXT(967,"0000"),RawData!$A$2:$F$1441,4,FALSE),"")</f>
        <v>00</v>
      </c>
      <c r="BL978" s="19">
        <f>TIME(0,0,0)+967/1440</f>
        <v>0.67152777777777772</v>
      </c>
      <c r="BM978" s="4">
        <f>IFERROR(VLOOKUP(TEXT($B$3,"yyyymmdd")&amp;"_"&amp;TEXT(967,"0000"),RawData!$A$2:$F$1441,5,FALSE),"")</f>
        <v>3.57E-4</v>
      </c>
      <c r="BN978" s="4">
        <f t="shared" si="16"/>
        <v>0</v>
      </c>
    </row>
    <row r="979" spans="63:66" x14ac:dyDescent="0.6">
      <c r="BK979" s="4" t="str">
        <f>IFERROR(VLOOKUP(TEXT($B$3,"yyyymmdd")&amp;"_"&amp;TEXT(968,"0000"),RawData!$A$2:$F$1441,4,FALSE),"")</f>
        <v>00</v>
      </c>
      <c r="BL979" s="19">
        <f>TIME(0,0,0)+968/1440</f>
        <v>0.67222222222222228</v>
      </c>
      <c r="BM979" s="4">
        <f>IFERROR(VLOOKUP(TEXT($B$3,"yyyymmdd")&amp;"_"&amp;TEXT(968,"0000"),RawData!$A$2:$F$1441,5,FALSE),"")</f>
        <v>0</v>
      </c>
      <c r="BN979" s="4">
        <f t="shared" si="16"/>
        <v>0</v>
      </c>
    </row>
    <row r="980" spans="63:66" x14ac:dyDescent="0.6">
      <c r="BK980" s="4" t="str">
        <f>IFERROR(VLOOKUP(TEXT($B$3,"yyyymmdd")&amp;"_"&amp;TEXT(969,"0000"),RawData!$A$2:$F$1441,4,FALSE),"")</f>
        <v>00</v>
      </c>
      <c r="BL980" s="19">
        <f>TIME(0,0,0)+969/1440</f>
        <v>0.67291666666666672</v>
      </c>
      <c r="BM980" s="4">
        <f>IFERROR(VLOOKUP(TEXT($B$3,"yyyymmdd")&amp;"_"&amp;TEXT(969,"0000"),RawData!$A$2:$F$1441,5,FALSE),"")</f>
        <v>0</v>
      </c>
      <c r="BN980" s="4">
        <f t="shared" si="16"/>
        <v>0</v>
      </c>
    </row>
    <row r="981" spans="63:66" x14ac:dyDescent="0.6">
      <c r="BK981" s="4" t="str">
        <f>IFERROR(VLOOKUP(TEXT($B$3,"yyyymmdd")&amp;"_"&amp;TEXT(970,"0000"),RawData!$A$2:$F$1441,4,FALSE),"")</f>
        <v>00</v>
      </c>
      <c r="BL981" s="19">
        <f>TIME(0,0,0)+970/1440</f>
        <v>0.67361111111111116</v>
      </c>
      <c r="BM981" s="4">
        <f>IFERROR(VLOOKUP(TEXT($B$3,"yyyymmdd")&amp;"_"&amp;TEXT(970,"0000"),RawData!$A$2:$F$1441,5,FALSE),"")</f>
        <v>0</v>
      </c>
      <c r="BN981" s="4">
        <f t="shared" si="16"/>
        <v>0</v>
      </c>
    </row>
    <row r="982" spans="63:66" x14ac:dyDescent="0.6">
      <c r="BK982" s="4" t="str">
        <f>IFERROR(VLOOKUP(TEXT($B$3,"yyyymmdd")&amp;"_"&amp;TEXT(971,"0000"),RawData!$A$2:$F$1441,4,FALSE),"")</f>
        <v>00</v>
      </c>
      <c r="BL982" s="19">
        <f>TIME(0,0,0)+971/1440</f>
        <v>0.6743055555555556</v>
      </c>
      <c r="BM982" s="4">
        <f>IFERROR(VLOOKUP(TEXT($B$3,"yyyymmdd")&amp;"_"&amp;TEXT(971,"0000"),RawData!$A$2:$F$1441,5,FALSE),"")</f>
        <v>0</v>
      </c>
      <c r="BN982" s="4">
        <f t="shared" si="16"/>
        <v>1</v>
      </c>
    </row>
    <row r="983" spans="63:66" x14ac:dyDescent="0.6">
      <c r="BK983" s="4" t="str">
        <f>IFERROR(VLOOKUP(TEXT($B$3,"yyyymmdd")&amp;"_"&amp;TEXT(972,"0000"),RawData!$A$2:$F$1441,4,FALSE),"")</f>
        <v>00</v>
      </c>
      <c r="BL983" s="19">
        <f>TIME(0,0,0)+972/1440</f>
        <v>0.67500000000000004</v>
      </c>
      <c r="BM983" s="4">
        <f>IFERROR(VLOOKUP(TEXT($B$3,"yyyymmdd")&amp;"_"&amp;TEXT(972,"0000"),RawData!$A$2:$F$1441,5,FALSE),"")</f>
        <v>0</v>
      </c>
      <c r="BN983" s="4">
        <f t="shared" si="16"/>
        <v>1</v>
      </c>
    </row>
    <row r="984" spans="63:66" x14ac:dyDescent="0.6">
      <c r="BK984" s="4" t="str">
        <f>IFERROR(VLOOKUP(TEXT($B$3,"yyyymmdd")&amp;"_"&amp;TEXT(973,"0000"),RawData!$A$2:$F$1441,4,FALSE),"")</f>
        <v>00</v>
      </c>
      <c r="BL984" s="19">
        <f>TIME(0,0,0)+973/1440</f>
        <v>0.67569444444444449</v>
      </c>
      <c r="BM984" s="4">
        <f>IFERROR(VLOOKUP(TEXT($B$3,"yyyymmdd")&amp;"_"&amp;TEXT(973,"0000"),RawData!$A$2:$F$1441,5,FALSE),"")</f>
        <v>0</v>
      </c>
      <c r="BN984" s="4">
        <f t="shared" si="16"/>
        <v>0</v>
      </c>
    </row>
    <row r="985" spans="63:66" x14ac:dyDescent="0.6">
      <c r="BK985" s="4" t="str">
        <f>IFERROR(VLOOKUP(TEXT($B$3,"yyyymmdd")&amp;"_"&amp;TEXT(974,"0000"),RawData!$A$2:$F$1441,4,FALSE),"")</f>
        <v>00</v>
      </c>
      <c r="BL985" s="19">
        <f>TIME(0,0,0)+974/1440</f>
        <v>0.67638888888888893</v>
      </c>
      <c r="BM985" s="4">
        <f>IFERROR(VLOOKUP(TEXT($B$3,"yyyymmdd")&amp;"_"&amp;TEXT(974,"0000"),RawData!$A$2:$F$1441,5,FALSE),"")</f>
        <v>3.4600000000000001E-4</v>
      </c>
      <c r="BN985" s="4">
        <f t="shared" si="16"/>
        <v>0</v>
      </c>
    </row>
    <row r="986" spans="63:66" x14ac:dyDescent="0.6">
      <c r="BK986" s="4" t="str">
        <f>IFERROR(VLOOKUP(TEXT($B$3,"yyyymmdd")&amp;"_"&amp;TEXT(975,"0000"),RawData!$A$2:$F$1441,4,FALSE),"")</f>
        <v>1E</v>
      </c>
      <c r="BL986" s="19">
        <f>TIME(0,0,0)+975/1440</f>
        <v>0.67708333333333337</v>
      </c>
      <c r="BM986" s="4">
        <f>IFERROR(VLOOKUP(TEXT($B$3,"yyyymmdd")&amp;"_"&amp;TEXT(975,"0000"),RawData!$A$2:$F$1441,5,FALSE),"")</f>
        <v>0</v>
      </c>
      <c r="BN986" s="4">
        <f t="shared" si="16"/>
        <v>0</v>
      </c>
    </row>
    <row r="987" spans="63:66" x14ac:dyDescent="0.6">
      <c r="BK987" s="4" t="str">
        <f>IFERROR(VLOOKUP(TEXT($B$3,"yyyymmdd")&amp;"_"&amp;TEXT(976,"0000"),RawData!$A$2:$F$1441,4,FALSE),"")</f>
        <v>0A</v>
      </c>
      <c r="BL987" s="19">
        <f>TIME(0,0,0)+976/1440</f>
        <v>0.67777777777777781</v>
      </c>
      <c r="BM987" s="4">
        <f>IFERROR(VLOOKUP(TEXT($B$3,"yyyymmdd")&amp;"_"&amp;TEXT(976,"0000"),RawData!$A$2:$F$1441,5,FALSE),"")</f>
        <v>0</v>
      </c>
      <c r="BN987" s="4">
        <f t="shared" si="16"/>
        <v>0</v>
      </c>
    </row>
    <row r="988" spans="63:66" x14ac:dyDescent="0.6">
      <c r="BK988" s="4" t="str">
        <f>IFERROR(VLOOKUP(TEXT($B$3,"yyyymmdd")&amp;"_"&amp;TEXT(977,"0000"),RawData!$A$2:$F$1441,4,FALSE),"")</f>
        <v>0A</v>
      </c>
      <c r="BL988" s="19">
        <f>TIME(0,0,0)+977/1440</f>
        <v>0.67847222222222225</v>
      </c>
      <c r="BM988" s="4">
        <f>IFERROR(VLOOKUP(TEXT($B$3,"yyyymmdd")&amp;"_"&amp;TEXT(977,"0000"),RawData!$A$2:$F$1441,5,FALSE),"")</f>
        <v>0</v>
      </c>
      <c r="BN988" s="4">
        <f t="shared" si="16"/>
        <v>0</v>
      </c>
    </row>
    <row r="989" spans="63:66" x14ac:dyDescent="0.6">
      <c r="BK989" s="4" t="str">
        <f>IFERROR(VLOOKUP(TEXT($B$3,"yyyymmdd")&amp;"_"&amp;TEXT(978,"0000"),RawData!$A$2:$F$1441,4,FALSE),"")</f>
        <v>0A</v>
      </c>
      <c r="BL989" s="19">
        <f>TIME(0,0,0)+978/1440</f>
        <v>0.6791666666666667</v>
      </c>
      <c r="BM989" s="4">
        <f>IFERROR(VLOOKUP(TEXT($B$3,"yyyymmdd")&amp;"_"&amp;TEXT(978,"0000"),RawData!$A$2:$F$1441,5,FALSE),"")</f>
        <v>7.4100000000000001E-4</v>
      </c>
      <c r="BN989" s="4">
        <f t="shared" si="16"/>
        <v>0</v>
      </c>
    </row>
    <row r="990" spans="63:66" x14ac:dyDescent="0.6">
      <c r="BK990" s="4" t="str">
        <f>IFERROR(VLOOKUP(TEXT($B$3,"yyyymmdd")&amp;"_"&amp;TEXT(979,"0000"),RawData!$A$2:$F$1441,4,FALSE),"")</f>
        <v>1E</v>
      </c>
      <c r="BL990" s="19">
        <f>TIME(0,0,0)+979/1440</f>
        <v>0.67986111111111114</v>
      </c>
      <c r="BM990" s="4">
        <f>IFERROR(VLOOKUP(TEXT($B$3,"yyyymmdd")&amp;"_"&amp;TEXT(979,"0000"),RawData!$A$2:$F$1441,5,FALSE),"")</f>
        <v>4.3199999999999998E-4</v>
      </c>
      <c r="BN990" s="4">
        <f t="shared" si="16"/>
        <v>0</v>
      </c>
    </row>
    <row r="991" spans="63:66" x14ac:dyDescent="0.6">
      <c r="BK991" s="4" t="str">
        <f>IFERROR(VLOOKUP(TEXT($B$3,"yyyymmdd")&amp;"_"&amp;TEXT(980,"0000"),RawData!$A$2:$F$1441,4,FALSE),"")</f>
        <v>1E</v>
      </c>
      <c r="BL991" s="19">
        <f>TIME(0,0,0)+980/1440</f>
        <v>0.68055555555555558</v>
      </c>
      <c r="BM991" s="4">
        <f>IFERROR(VLOOKUP(TEXT($B$3,"yyyymmdd")&amp;"_"&amp;TEXT(980,"0000"),RawData!$A$2:$F$1441,5,FALSE),"")</f>
        <v>3.7599999999999998E-4</v>
      </c>
      <c r="BN991" s="4">
        <f t="shared" si="16"/>
        <v>0</v>
      </c>
    </row>
    <row r="992" spans="63:66" x14ac:dyDescent="0.6">
      <c r="BK992" s="4" t="str">
        <f>IFERROR(VLOOKUP(TEXT($B$3,"yyyymmdd")&amp;"_"&amp;TEXT(981,"0000"),RawData!$A$2:$F$1441,4,FALSE),"")</f>
        <v>1E</v>
      </c>
      <c r="BL992" s="19">
        <f>TIME(0,0,0)+981/1440</f>
        <v>0.68125000000000002</v>
      </c>
      <c r="BM992" s="4">
        <f>IFERROR(VLOOKUP(TEXT($B$3,"yyyymmdd")&amp;"_"&amp;TEXT(981,"0000"),RawData!$A$2:$F$1441,5,FALSE),"")</f>
        <v>0</v>
      </c>
      <c r="BN992" s="4">
        <f t="shared" si="16"/>
        <v>1</v>
      </c>
    </row>
    <row r="993" spans="63:66" x14ac:dyDescent="0.6">
      <c r="BK993" s="4" t="str">
        <f>IFERROR(VLOOKUP(TEXT($B$3,"yyyymmdd")&amp;"_"&amp;TEXT(982,"0000"),RawData!$A$2:$F$1441,4,FALSE),"")</f>
        <v>1E</v>
      </c>
      <c r="BL993" s="19">
        <f>TIME(0,0,0)+982/1440</f>
        <v>0.68194444444444446</v>
      </c>
      <c r="BM993" s="4">
        <f>IFERROR(VLOOKUP(TEXT($B$3,"yyyymmdd")&amp;"_"&amp;TEXT(982,"0000"),RawData!$A$2:$F$1441,5,FALSE),"")</f>
        <v>0</v>
      </c>
      <c r="BN993" s="4">
        <f t="shared" si="16"/>
        <v>1</v>
      </c>
    </row>
    <row r="994" spans="63:66" x14ac:dyDescent="0.6">
      <c r="BK994" s="4" t="str">
        <f>IFERROR(VLOOKUP(TEXT($B$3,"yyyymmdd")&amp;"_"&amp;TEXT(983,"0000"),RawData!$A$2:$F$1441,4,FALSE),"")</f>
        <v>0A</v>
      </c>
      <c r="BL994" s="19">
        <f>TIME(0,0,0)+983/1440</f>
        <v>0.68263888888888891</v>
      </c>
      <c r="BM994" s="4">
        <f>IFERROR(VLOOKUP(TEXT($B$3,"yyyymmdd")&amp;"_"&amp;TEXT(983,"0000"),RawData!$A$2:$F$1441,5,FALSE),"")</f>
        <v>0</v>
      </c>
      <c r="BN994" s="4">
        <f t="shared" si="16"/>
        <v>0</v>
      </c>
    </row>
    <row r="995" spans="63:66" x14ac:dyDescent="0.6">
      <c r="BK995" s="4" t="str">
        <f>IFERROR(VLOOKUP(TEXT($B$3,"yyyymmdd")&amp;"_"&amp;TEXT(984,"0000"),RawData!$A$2:$F$1441,4,FALSE),"")</f>
        <v>0A</v>
      </c>
      <c r="BL995" s="19">
        <f>TIME(0,0,0)+984/1440</f>
        <v>0.68333333333333335</v>
      </c>
      <c r="BM995" s="4">
        <f>IFERROR(VLOOKUP(TEXT($B$3,"yyyymmdd")&amp;"_"&amp;TEXT(984,"0000"),RawData!$A$2:$F$1441,5,FALSE),"")</f>
        <v>0</v>
      </c>
      <c r="BN995" s="4">
        <f t="shared" si="16"/>
        <v>0</v>
      </c>
    </row>
    <row r="996" spans="63:66" x14ac:dyDescent="0.6">
      <c r="BK996" s="4" t="str">
        <f>IFERROR(VLOOKUP(TEXT($B$3,"yyyymmdd")&amp;"_"&amp;TEXT(985,"0000"),RawData!$A$2:$F$1441,4,FALSE),"")</f>
        <v>0A</v>
      </c>
      <c r="BL996" s="19">
        <f>TIME(0,0,0)+985/1440</f>
        <v>0.68402777777777779</v>
      </c>
      <c r="BM996" s="4">
        <f>IFERROR(VLOOKUP(TEXT($B$3,"yyyymmdd")&amp;"_"&amp;TEXT(985,"0000"),RawData!$A$2:$F$1441,5,FALSE),"")</f>
        <v>2.6699999999999998E-4</v>
      </c>
      <c r="BN996" s="4">
        <f t="shared" si="16"/>
        <v>1</v>
      </c>
    </row>
    <row r="997" spans="63:66" x14ac:dyDescent="0.6">
      <c r="BK997" s="4" t="str">
        <f>IFERROR(VLOOKUP(TEXT($B$3,"yyyymmdd")&amp;"_"&amp;TEXT(986,"0000"),RawData!$A$2:$F$1441,4,FALSE),"")</f>
        <v>0A</v>
      </c>
      <c r="BL997" s="19">
        <f>TIME(0,0,0)+986/1440</f>
        <v>0.68472222222222223</v>
      </c>
      <c r="BM997" s="4">
        <f>IFERROR(VLOOKUP(TEXT($B$3,"yyyymmdd")&amp;"_"&amp;TEXT(986,"0000"),RawData!$A$2:$F$1441,5,FALSE),"")</f>
        <v>0</v>
      </c>
      <c r="BN997" s="4">
        <f t="shared" si="16"/>
        <v>0</v>
      </c>
    </row>
    <row r="998" spans="63:66" x14ac:dyDescent="0.6">
      <c r="BK998" s="4" t="str">
        <f>IFERROR(VLOOKUP(TEXT($B$3,"yyyymmdd")&amp;"_"&amp;TEXT(987,"0000"),RawData!$A$2:$F$1441,4,FALSE),"")</f>
        <v>0A</v>
      </c>
      <c r="BL998" s="19">
        <f>TIME(0,0,0)+987/1440</f>
        <v>0.68541666666666667</v>
      </c>
      <c r="BM998" s="4">
        <f>IFERROR(VLOOKUP(TEXT($B$3,"yyyymmdd")&amp;"_"&amp;TEXT(987,"0000"),RawData!$A$2:$F$1441,5,FALSE),"")</f>
        <v>0</v>
      </c>
      <c r="BN998" s="4">
        <f t="shared" si="16"/>
        <v>0</v>
      </c>
    </row>
    <row r="999" spans="63:66" x14ac:dyDescent="0.6">
      <c r="BK999" s="4" t="str">
        <f>IFERROR(VLOOKUP(TEXT($B$3,"yyyymmdd")&amp;"_"&amp;TEXT(988,"0000"),RawData!$A$2:$F$1441,4,FALSE),"")</f>
        <v>0A</v>
      </c>
      <c r="BL999" s="19">
        <f>TIME(0,0,0)+988/1440</f>
        <v>0.68611111111111112</v>
      </c>
      <c r="BM999" s="4">
        <f>IFERROR(VLOOKUP(TEXT($B$3,"yyyymmdd")&amp;"_"&amp;TEXT(988,"0000"),RawData!$A$2:$F$1441,5,FALSE),"")</f>
        <v>0</v>
      </c>
      <c r="BN999" s="4">
        <f t="shared" si="16"/>
        <v>0</v>
      </c>
    </row>
    <row r="1000" spans="63:66" x14ac:dyDescent="0.6">
      <c r="BK1000" s="4" t="str">
        <f>IFERROR(VLOOKUP(TEXT($B$3,"yyyymmdd")&amp;"_"&amp;TEXT(989,"0000"),RawData!$A$2:$F$1441,4,FALSE),"")</f>
        <v>0A</v>
      </c>
      <c r="BL1000" s="19">
        <f>TIME(0,0,0)+989/1440</f>
        <v>0.68680555555555556</v>
      </c>
      <c r="BM1000" s="4">
        <f>IFERROR(VLOOKUP(TEXT($B$3,"yyyymmdd")&amp;"_"&amp;TEXT(989,"0000"),RawData!$A$2:$F$1441,5,FALSE),"")</f>
        <v>4.37E-4</v>
      </c>
      <c r="BN1000" s="4">
        <f t="shared" si="16"/>
        <v>1</v>
      </c>
    </row>
    <row r="1001" spans="63:66" x14ac:dyDescent="0.6">
      <c r="BK1001" s="4" t="str">
        <f>IFERROR(VLOOKUP(TEXT($B$3,"yyyymmdd")&amp;"_"&amp;TEXT(990,"0000"),RawData!$A$2:$F$1441,4,FALSE),"")</f>
        <v>14</v>
      </c>
      <c r="BL1001" s="19">
        <f>TIME(0,0,0)+990/1440</f>
        <v>0.6875</v>
      </c>
      <c r="BM1001" s="4">
        <f>IFERROR(VLOOKUP(TEXT($B$3,"yyyymmdd")&amp;"_"&amp;TEXT(990,"0000"),RawData!$A$2:$F$1441,5,FALSE),"")</f>
        <v>0</v>
      </c>
      <c r="BN1001" s="4">
        <f t="shared" si="16"/>
        <v>0</v>
      </c>
    </row>
    <row r="1002" spans="63:66" x14ac:dyDescent="0.6">
      <c r="BK1002" s="4" t="str">
        <f>IFERROR(VLOOKUP(TEXT($B$3,"yyyymmdd")&amp;"_"&amp;TEXT(991,"0000"),RawData!$A$2:$F$1441,4,FALSE),"")</f>
        <v>1E</v>
      </c>
      <c r="BL1002" s="19">
        <f>TIME(0,0,0)+991/1440</f>
        <v>0.68819444444444444</v>
      </c>
      <c r="BM1002" s="4">
        <f>IFERROR(VLOOKUP(TEXT($B$3,"yyyymmdd")&amp;"_"&amp;TEXT(991,"0000"),RawData!$A$2:$F$1441,5,FALSE),"")</f>
        <v>0</v>
      </c>
      <c r="BN1002" s="4">
        <f t="shared" si="16"/>
        <v>0</v>
      </c>
    </row>
    <row r="1003" spans="63:66" x14ac:dyDescent="0.6">
      <c r="BK1003" s="4" t="str">
        <f>IFERROR(VLOOKUP(TEXT($B$3,"yyyymmdd")&amp;"_"&amp;TEXT(992,"0000"),RawData!$A$2:$F$1441,4,FALSE),"")</f>
        <v>1E</v>
      </c>
      <c r="BL1003" s="19">
        <f>TIME(0,0,0)+992/1440</f>
        <v>0.68888888888888888</v>
      </c>
      <c r="BM1003" s="4">
        <f>IFERROR(VLOOKUP(TEXT($B$3,"yyyymmdd")&amp;"_"&amp;TEXT(992,"0000"),RawData!$A$2:$F$1441,5,FALSE),"")</f>
        <v>0</v>
      </c>
      <c r="BN1003" s="4">
        <f t="shared" si="16"/>
        <v>0</v>
      </c>
    </row>
    <row r="1004" spans="63:66" x14ac:dyDescent="0.6">
      <c r="BK1004" s="4" t="str">
        <f>IFERROR(VLOOKUP(TEXT($B$3,"yyyymmdd")&amp;"_"&amp;TEXT(993,"0000"),RawData!$A$2:$F$1441,4,FALSE),"")</f>
        <v>0A</v>
      </c>
      <c r="BL1004" s="19">
        <f>TIME(0,0,0)+993/1440</f>
        <v>0.68958333333333333</v>
      </c>
      <c r="BM1004" s="4">
        <f>IFERROR(VLOOKUP(TEXT($B$3,"yyyymmdd")&amp;"_"&amp;TEXT(993,"0000"),RawData!$A$2:$F$1441,5,FALSE),"")</f>
        <v>5.2300000000000003E-4</v>
      </c>
      <c r="BN1004" s="4">
        <f t="shared" si="16"/>
        <v>0</v>
      </c>
    </row>
    <row r="1005" spans="63:66" x14ac:dyDescent="0.6">
      <c r="BK1005" s="4" t="str">
        <f>IFERROR(VLOOKUP(TEXT($B$3,"yyyymmdd")&amp;"_"&amp;TEXT(994,"0000"),RawData!$A$2:$F$1441,4,FALSE),"")</f>
        <v>0A</v>
      </c>
      <c r="BL1005" s="19">
        <f>TIME(0,0,0)+994/1440</f>
        <v>0.69027777777777777</v>
      </c>
      <c r="BM1005" s="4">
        <f>IFERROR(VLOOKUP(TEXT($B$3,"yyyymmdd")&amp;"_"&amp;TEXT(994,"0000"),RawData!$A$2:$F$1441,5,FALSE),"")</f>
        <v>0</v>
      </c>
      <c r="BN1005" s="4">
        <f t="shared" si="16"/>
        <v>0</v>
      </c>
    </row>
    <row r="1006" spans="63:66" x14ac:dyDescent="0.6">
      <c r="BK1006" s="4" t="str">
        <f>IFERROR(VLOOKUP(TEXT($B$3,"yyyymmdd")&amp;"_"&amp;TEXT(995,"0000"),RawData!$A$2:$F$1441,4,FALSE),"")</f>
        <v>0A</v>
      </c>
      <c r="BL1006" s="19">
        <f>TIME(0,0,0)+995/1440</f>
        <v>0.69097222222222221</v>
      </c>
      <c r="BM1006" s="4">
        <f>IFERROR(VLOOKUP(TEXT($B$3,"yyyymmdd")&amp;"_"&amp;TEXT(995,"0000"),RawData!$A$2:$F$1441,5,FALSE),"")</f>
        <v>0</v>
      </c>
      <c r="BN1006" s="4">
        <f t="shared" si="16"/>
        <v>0</v>
      </c>
    </row>
    <row r="1007" spans="63:66" x14ac:dyDescent="0.6">
      <c r="BK1007" s="4" t="str">
        <f>IFERROR(VLOOKUP(TEXT($B$3,"yyyymmdd")&amp;"_"&amp;TEXT(996,"0000"),RawData!$A$2:$F$1441,4,FALSE),"")</f>
        <v>FE</v>
      </c>
      <c r="BL1007" s="19">
        <f>TIME(0,0,0)+996/1440</f>
        <v>0.69166666666666665</v>
      </c>
      <c r="BM1007" s="4">
        <f>IFERROR(VLOOKUP(TEXT($B$3,"yyyymmdd")&amp;"_"&amp;TEXT(996,"0000"),RawData!$A$2:$F$1441,5,FALSE),"")</f>
        <v>3.5E-4</v>
      </c>
      <c r="BN1007" s="4">
        <f t="shared" si="16"/>
        <v>1</v>
      </c>
    </row>
    <row r="1008" spans="63:66" x14ac:dyDescent="0.6">
      <c r="BK1008" s="4" t="str">
        <f>IFERROR(VLOOKUP(TEXT($B$3,"yyyymmdd")&amp;"_"&amp;TEXT(997,"0000"),RawData!$A$2:$F$1441,4,FALSE),"")</f>
        <v>FE</v>
      </c>
      <c r="BL1008" s="19">
        <f>TIME(0,0,0)+997/1440</f>
        <v>0.69236111111111109</v>
      </c>
      <c r="BM1008" s="4">
        <f>IFERROR(VLOOKUP(TEXT($B$3,"yyyymmdd")&amp;"_"&amp;TEXT(997,"0000"),RawData!$A$2:$F$1441,5,FALSE),"")</f>
        <v>8.3900000000000001E-4</v>
      </c>
      <c r="BN1008" s="4">
        <f t="shared" ref="BN1008:BN1071" si="17">IF(BK1002="","",IF(BK1002&lt;&gt;BK1001,1,0))</f>
        <v>1</v>
      </c>
    </row>
    <row r="1009" spans="63:66" x14ac:dyDescent="0.6">
      <c r="BK1009" s="4" t="str">
        <f>IFERROR(VLOOKUP(TEXT($B$3,"yyyymmdd")&amp;"_"&amp;TEXT(998,"0000"),RawData!$A$2:$F$1441,4,FALSE),"")</f>
        <v>FE</v>
      </c>
      <c r="BL1009" s="19">
        <f>TIME(0,0,0)+998/1440</f>
        <v>0.69305555555555554</v>
      </c>
      <c r="BM1009" s="4">
        <f>IFERROR(VLOOKUP(TEXT($B$3,"yyyymmdd")&amp;"_"&amp;TEXT(998,"0000"),RawData!$A$2:$F$1441,5,FALSE),"")</f>
        <v>2.6800000000000001E-4</v>
      </c>
      <c r="BN1009" s="4">
        <f t="shared" si="17"/>
        <v>0</v>
      </c>
    </row>
    <row r="1010" spans="63:66" x14ac:dyDescent="0.6">
      <c r="BK1010" s="4" t="str">
        <f>IFERROR(VLOOKUP(TEXT($B$3,"yyyymmdd")&amp;"_"&amp;TEXT(999,"0000"),RawData!$A$2:$F$1441,4,FALSE),"")</f>
        <v>0A</v>
      </c>
      <c r="BL1010" s="19">
        <f>TIME(0,0,0)+999/1440</f>
        <v>0.69374999999999998</v>
      </c>
      <c r="BM1010" s="4">
        <f>IFERROR(VLOOKUP(TEXT($B$3,"yyyymmdd")&amp;"_"&amp;TEXT(999,"0000"),RawData!$A$2:$F$1441,5,FALSE),"")</f>
        <v>0</v>
      </c>
      <c r="BN1010" s="4">
        <f t="shared" si="17"/>
        <v>1</v>
      </c>
    </row>
    <row r="1011" spans="63:66" x14ac:dyDescent="0.6">
      <c r="BK1011" s="4" t="str">
        <f>IFERROR(VLOOKUP(TEXT($B$3,"yyyymmdd")&amp;"_"&amp;TEXT(1000,"0000"),RawData!$A$2:$F$1441,4,FALSE),"")</f>
        <v>FE</v>
      </c>
      <c r="BL1011" s="19">
        <f>TIME(0,0,0)+1000/1440</f>
        <v>0.69444444444444442</v>
      </c>
      <c r="BM1011" s="4">
        <f>IFERROR(VLOOKUP(TEXT($B$3,"yyyymmdd")&amp;"_"&amp;TEXT(1000,"0000"),RawData!$A$2:$F$1441,5,FALSE),"")</f>
        <v>2.7300000000000002E-4</v>
      </c>
      <c r="BN1011" s="4">
        <f t="shared" si="17"/>
        <v>0</v>
      </c>
    </row>
    <row r="1012" spans="63:66" x14ac:dyDescent="0.6">
      <c r="BK1012" s="4" t="str">
        <f>IFERROR(VLOOKUP(TEXT($B$3,"yyyymmdd")&amp;"_"&amp;TEXT(1001,"0000"),RawData!$A$2:$F$1441,4,FALSE),"")</f>
        <v>FE</v>
      </c>
      <c r="BL1012" s="19">
        <f>TIME(0,0,0)+1001/1440</f>
        <v>0.69513888888888886</v>
      </c>
      <c r="BM1012" s="4">
        <f>IFERROR(VLOOKUP(TEXT($B$3,"yyyymmdd")&amp;"_"&amp;TEXT(1001,"0000"),RawData!$A$2:$F$1441,5,FALSE),"")</f>
        <v>5.5599999999999996E-4</v>
      </c>
      <c r="BN1012" s="4">
        <f t="shared" si="17"/>
        <v>0</v>
      </c>
    </row>
    <row r="1013" spans="63:66" x14ac:dyDescent="0.6">
      <c r="BK1013" s="4" t="str">
        <f>IFERROR(VLOOKUP(TEXT($B$3,"yyyymmdd")&amp;"_"&amp;TEXT(1002,"0000"),RawData!$A$2:$F$1441,4,FALSE),"")</f>
        <v>FE</v>
      </c>
      <c r="BL1013" s="19">
        <f>TIME(0,0,0)+1002/1440</f>
        <v>0.6958333333333333</v>
      </c>
      <c r="BM1013" s="4">
        <f>IFERROR(VLOOKUP(TEXT($B$3,"yyyymmdd")&amp;"_"&amp;TEXT(1002,"0000"),RawData!$A$2:$F$1441,5,FALSE),"")</f>
        <v>3.4299999999999999E-4</v>
      </c>
      <c r="BN1013" s="4">
        <f t="shared" si="17"/>
        <v>1</v>
      </c>
    </row>
    <row r="1014" spans="63:66" x14ac:dyDescent="0.6">
      <c r="BK1014" s="4" t="str">
        <f>IFERROR(VLOOKUP(TEXT($B$3,"yyyymmdd")&amp;"_"&amp;TEXT(1003,"0000"),RawData!$A$2:$F$1441,4,FALSE),"")</f>
        <v>FE</v>
      </c>
      <c r="BL1014" s="19">
        <f>TIME(0,0,0)+1003/1440</f>
        <v>0.69652777777777775</v>
      </c>
      <c r="BM1014" s="4">
        <f>IFERROR(VLOOKUP(TEXT($B$3,"yyyymmdd")&amp;"_"&amp;TEXT(1003,"0000"),RawData!$A$2:$F$1441,5,FALSE),"")</f>
        <v>1.185937E-3</v>
      </c>
      <c r="BN1014" s="4">
        <f t="shared" si="17"/>
        <v>0</v>
      </c>
    </row>
    <row r="1015" spans="63:66" x14ac:dyDescent="0.6">
      <c r="BK1015" s="4" t="str">
        <f>IFERROR(VLOOKUP(TEXT($B$3,"yyyymmdd")&amp;"_"&amp;TEXT(1004,"0000"),RawData!$A$2:$F$1441,4,FALSE),"")</f>
        <v>FE</v>
      </c>
      <c r="BL1015" s="19">
        <f>TIME(0,0,0)+1004/1440</f>
        <v>0.69722222222222219</v>
      </c>
      <c r="BM1015" s="4">
        <f>IFERROR(VLOOKUP(TEXT($B$3,"yyyymmdd")&amp;"_"&amp;TEXT(1004,"0000"),RawData!$A$2:$F$1441,5,FALSE),"")</f>
        <v>7.2999999999999996E-4</v>
      </c>
      <c r="BN1015" s="4">
        <f t="shared" si="17"/>
        <v>0</v>
      </c>
    </row>
    <row r="1016" spans="63:66" x14ac:dyDescent="0.6">
      <c r="BK1016" s="4" t="str">
        <f>IFERROR(VLOOKUP(TEXT($B$3,"yyyymmdd")&amp;"_"&amp;TEXT(1005,"0000"),RawData!$A$2:$F$1441,4,FALSE),"")</f>
        <v>FE</v>
      </c>
      <c r="BL1016" s="19">
        <f>TIME(0,0,0)+1005/1440</f>
        <v>0.69791666666666663</v>
      </c>
      <c r="BM1016" s="4">
        <f>IFERROR(VLOOKUP(TEXT($B$3,"yyyymmdd")&amp;"_"&amp;TEXT(1005,"0000"),RawData!$A$2:$F$1441,5,FALSE),"")</f>
        <v>0</v>
      </c>
      <c r="BN1016" s="4">
        <f t="shared" si="17"/>
        <v>1</v>
      </c>
    </row>
    <row r="1017" spans="63:66" x14ac:dyDescent="0.6">
      <c r="BK1017" s="4" t="str">
        <f>IFERROR(VLOOKUP(TEXT($B$3,"yyyymmdd")&amp;"_"&amp;TEXT(1006,"0000"),RawData!$A$2:$F$1441,4,FALSE),"")</f>
        <v>FE</v>
      </c>
      <c r="BL1017" s="19">
        <f>TIME(0,0,0)+1006/1440</f>
        <v>0.69861111111111107</v>
      </c>
      <c r="BM1017" s="4">
        <f>IFERROR(VLOOKUP(TEXT($B$3,"yyyymmdd")&amp;"_"&amp;TEXT(1006,"0000"),RawData!$A$2:$F$1441,5,FALSE),"")</f>
        <v>4.4499999999999997E-4</v>
      </c>
      <c r="BN1017" s="4">
        <f t="shared" si="17"/>
        <v>1</v>
      </c>
    </row>
    <row r="1018" spans="63:66" x14ac:dyDescent="0.6">
      <c r="BK1018" s="4" t="str">
        <f>IFERROR(VLOOKUP(TEXT($B$3,"yyyymmdd")&amp;"_"&amp;TEXT(1007,"0000"),RawData!$A$2:$F$1441,4,FALSE),"")</f>
        <v>FE</v>
      </c>
      <c r="BL1018" s="19">
        <f>TIME(0,0,0)+1007/1440</f>
        <v>0.69930555555555551</v>
      </c>
      <c r="BM1018" s="4">
        <f>IFERROR(VLOOKUP(TEXT($B$3,"yyyymmdd")&amp;"_"&amp;TEXT(1007,"0000"),RawData!$A$2:$F$1441,5,FALSE),"")</f>
        <v>0</v>
      </c>
      <c r="BN1018" s="4">
        <f t="shared" si="17"/>
        <v>0</v>
      </c>
    </row>
    <row r="1019" spans="63:66" x14ac:dyDescent="0.6">
      <c r="BK1019" s="4" t="str">
        <f>IFERROR(VLOOKUP(TEXT($B$3,"yyyymmdd")&amp;"_"&amp;TEXT(1008,"0000"),RawData!$A$2:$F$1441,4,FALSE),"")</f>
        <v>FE</v>
      </c>
      <c r="BL1019" s="19">
        <f>TIME(0,0,0)+1008/1440</f>
        <v>0.7</v>
      </c>
      <c r="BM1019" s="4">
        <f>IFERROR(VLOOKUP(TEXT($B$3,"yyyymmdd")&amp;"_"&amp;TEXT(1008,"0000"),RawData!$A$2:$F$1441,5,FALSE),"")</f>
        <v>3.7500000000000001E-4</v>
      </c>
      <c r="BN1019" s="4">
        <f t="shared" si="17"/>
        <v>0</v>
      </c>
    </row>
    <row r="1020" spans="63:66" x14ac:dyDescent="0.6">
      <c r="BK1020" s="4" t="str">
        <f>IFERROR(VLOOKUP(TEXT($B$3,"yyyymmdd")&amp;"_"&amp;TEXT(1009,"0000"),RawData!$A$2:$F$1441,4,FALSE),"")</f>
        <v>FE</v>
      </c>
      <c r="BL1020" s="19">
        <f>TIME(0,0,0)+1009/1440</f>
        <v>0.7006944444444444</v>
      </c>
      <c r="BM1020" s="4">
        <f>IFERROR(VLOOKUP(TEXT($B$3,"yyyymmdd")&amp;"_"&amp;TEXT(1009,"0000"),RawData!$A$2:$F$1441,5,FALSE),"")</f>
        <v>0</v>
      </c>
      <c r="BN1020" s="4">
        <f t="shared" si="17"/>
        <v>0</v>
      </c>
    </row>
    <row r="1021" spans="63:66" x14ac:dyDescent="0.6">
      <c r="BK1021" s="4" t="str">
        <f>IFERROR(VLOOKUP(TEXT($B$3,"yyyymmdd")&amp;"_"&amp;TEXT(1010,"0000"),RawData!$A$2:$F$1441,4,FALSE),"")</f>
        <v>FE</v>
      </c>
      <c r="BL1021" s="19">
        <f>TIME(0,0,0)+1010/1440</f>
        <v>0.70138888888888884</v>
      </c>
      <c r="BM1021" s="4">
        <f>IFERROR(VLOOKUP(TEXT($B$3,"yyyymmdd")&amp;"_"&amp;TEXT(1010,"0000"),RawData!$A$2:$F$1441,5,FALSE),"")</f>
        <v>6.1300000000000005E-4</v>
      </c>
      <c r="BN1021" s="4">
        <f t="shared" si="17"/>
        <v>0</v>
      </c>
    </row>
    <row r="1022" spans="63:66" x14ac:dyDescent="0.6">
      <c r="BK1022" s="4" t="str">
        <f>IFERROR(VLOOKUP(TEXT($B$3,"yyyymmdd")&amp;"_"&amp;TEXT(1011,"0000"),RawData!$A$2:$F$1441,4,FALSE),"")</f>
        <v>FE</v>
      </c>
      <c r="BL1022" s="19">
        <f>TIME(0,0,0)+1011/1440</f>
        <v>0.70208333333333328</v>
      </c>
      <c r="BM1022" s="4">
        <f>IFERROR(VLOOKUP(TEXT($B$3,"yyyymmdd")&amp;"_"&amp;TEXT(1011,"0000"),RawData!$A$2:$F$1441,5,FALSE),"")</f>
        <v>6.1600000000000001E-4</v>
      </c>
      <c r="BN1022" s="4">
        <f t="shared" si="17"/>
        <v>0</v>
      </c>
    </row>
    <row r="1023" spans="63:66" x14ac:dyDescent="0.6">
      <c r="BK1023" s="4" t="str">
        <f>IFERROR(VLOOKUP(TEXT($B$3,"yyyymmdd")&amp;"_"&amp;TEXT(1012,"0000"),RawData!$A$2:$F$1441,4,FALSE),"")</f>
        <v>FE</v>
      </c>
      <c r="BL1023" s="19">
        <f>TIME(0,0,0)+1012/1440</f>
        <v>0.70277777777777772</v>
      </c>
      <c r="BM1023" s="4">
        <f>IFERROR(VLOOKUP(TEXT($B$3,"yyyymmdd")&amp;"_"&amp;TEXT(1012,"0000"),RawData!$A$2:$F$1441,5,FALSE),"")</f>
        <v>2.6899999999999998E-4</v>
      </c>
      <c r="BN1023" s="4">
        <f t="shared" si="17"/>
        <v>0</v>
      </c>
    </row>
    <row r="1024" spans="63:66" x14ac:dyDescent="0.6">
      <c r="BK1024" s="4" t="str">
        <f>IFERROR(VLOOKUP(TEXT($B$3,"yyyymmdd")&amp;"_"&amp;TEXT(1013,"0000"),RawData!$A$2:$F$1441,4,FALSE),"")</f>
        <v>FE</v>
      </c>
      <c r="BL1024" s="19">
        <f>TIME(0,0,0)+1013/1440</f>
        <v>0.70347222222222228</v>
      </c>
      <c r="BM1024" s="4">
        <f>IFERROR(VLOOKUP(TEXT($B$3,"yyyymmdd")&amp;"_"&amp;TEXT(1013,"0000"),RawData!$A$2:$F$1441,5,FALSE),"")</f>
        <v>0</v>
      </c>
      <c r="BN1024" s="4">
        <f t="shared" si="17"/>
        <v>0</v>
      </c>
    </row>
    <row r="1025" spans="63:66" x14ac:dyDescent="0.6">
      <c r="BK1025" s="4" t="str">
        <f>IFERROR(VLOOKUP(TEXT($B$3,"yyyymmdd")&amp;"_"&amp;TEXT(1014,"0000"),RawData!$A$2:$F$1441,4,FALSE),"")</f>
        <v>FE</v>
      </c>
      <c r="BL1025" s="19">
        <f>TIME(0,0,0)+1014/1440</f>
        <v>0.70416666666666672</v>
      </c>
      <c r="BM1025" s="4">
        <f>IFERROR(VLOOKUP(TEXT($B$3,"yyyymmdd")&amp;"_"&amp;TEXT(1014,"0000"),RawData!$A$2:$F$1441,5,FALSE),"")</f>
        <v>0</v>
      </c>
      <c r="BN1025" s="4">
        <f t="shared" si="17"/>
        <v>0</v>
      </c>
    </row>
    <row r="1026" spans="63:66" x14ac:dyDescent="0.6">
      <c r="BK1026" s="4" t="str">
        <f>IFERROR(VLOOKUP(TEXT($B$3,"yyyymmdd")&amp;"_"&amp;TEXT(1015,"0000"),RawData!$A$2:$F$1441,4,FALSE),"")</f>
        <v>FE</v>
      </c>
      <c r="BL1026" s="19">
        <f>TIME(0,0,0)+1015/1440</f>
        <v>0.70486111111111116</v>
      </c>
      <c r="BM1026" s="4">
        <f>IFERROR(VLOOKUP(TEXT($B$3,"yyyymmdd")&amp;"_"&amp;TEXT(1015,"0000"),RawData!$A$2:$F$1441,5,FALSE),"")</f>
        <v>0</v>
      </c>
      <c r="BN1026" s="4">
        <f t="shared" si="17"/>
        <v>0</v>
      </c>
    </row>
    <row r="1027" spans="63:66" x14ac:dyDescent="0.6">
      <c r="BK1027" s="4" t="str">
        <f>IFERROR(VLOOKUP(TEXT($B$3,"yyyymmdd")&amp;"_"&amp;TEXT(1016,"0000"),RawData!$A$2:$F$1441,4,FALSE),"")</f>
        <v>FE</v>
      </c>
      <c r="BL1027" s="19">
        <f>TIME(0,0,0)+1016/1440</f>
        <v>0.7055555555555556</v>
      </c>
      <c r="BM1027" s="4">
        <f>IFERROR(VLOOKUP(TEXT($B$3,"yyyymmdd")&amp;"_"&amp;TEXT(1016,"0000"),RawData!$A$2:$F$1441,5,FALSE),"")</f>
        <v>2.2499999999999999E-4</v>
      </c>
      <c r="BN1027" s="4">
        <f t="shared" si="17"/>
        <v>0</v>
      </c>
    </row>
    <row r="1028" spans="63:66" x14ac:dyDescent="0.6">
      <c r="BK1028" s="4" t="str">
        <f>IFERROR(VLOOKUP(TEXT($B$3,"yyyymmdd")&amp;"_"&amp;TEXT(1017,"0000"),RawData!$A$2:$F$1441,4,FALSE),"")</f>
        <v>FE</v>
      </c>
      <c r="BL1028" s="19">
        <f>TIME(0,0,0)+1017/1440</f>
        <v>0.70625000000000004</v>
      </c>
      <c r="BM1028" s="4">
        <f>IFERROR(VLOOKUP(TEXT($B$3,"yyyymmdd")&amp;"_"&amp;TEXT(1017,"0000"),RawData!$A$2:$F$1441,5,FALSE),"")</f>
        <v>0</v>
      </c>
      <c r="BN1028" s="4">
        <f t="shared" si="17"/>
        <v>0</v>
      </c>
    </row>
    <row r="1029" spans="63:66" x14ac:dyDescent="0.6">
      <c r="BK1029" s="4" t="str">
        <f>IFERROR(VLOOKUP(TEXT($B$3,"yyyymmdd")&amp;"_"&amp;TEXT(1018,"0000"),RawData!$A$2:$F$1441,4,FALSE),"")</f>
        <v>FE</v>
      </c>
      <c r="BL1029" s="19">
        <f>TIME(0,0,0)+1018/1440</f>
        <v>0.70694444444444449</v>
      </c>
      <c r="BM1029" s="4">
        <f>IFERROR(VLOOKUP(TEXT($B$3,"yyyymmdd")&amp;"_"&amp;TEXT(1018,"0000"),RawData!$A$2:$F$1441,5,FALSE),"")</f>
        <v>0</v>
      </c>
      <c r="BN1029" s="4">
        <f t="shared" si="17"/>
        <v>0</v>
      </c>
    </row>
    <row r="1030" spans="63:66" x14ac:dyDescent="0.6">
      <c r="BK1030" s="4" t="str">
        <f>IFERROR(VLOOKUP(TEXT($B$3,"yyyymmdd")&amp;"_"&amp;TEXT(1019,"0000"),RawData!$A$2:$F$1441,4,FALSE),"")</f>
        <v>FE</v>
      </c>
      <c r="BL1030" s="19">
        <f>TIME(0,0,0)+1019/1440</f>
        <v>0.70763888888888893</v>
      </c>
      <c r="BM1030" s="4">
        <f>IFERROR(VLOOKUP(TEXT($B$3,"yyyymmdd")&amp;"_"&amp;TEXT(1019,"0000"),RawData!$A$2:$F$1441,5,FALSE),"")</f>
        <v>0</v>
      </c>
      <c r="BN1030" s="4">
        <f t="shared" si="17"/>
        <v>0</v>
      </c>
    </row>
    <row r="1031" spans="63:66" x14ac:dyDescent="0.6">
      <c r="BK1031" s="4" t="str">
        <f>IFERROR(VLOOKUP(TEXT($B$3,"yyyymmdd")&amp;"_"&amp;TEXT(1020,"0000"),RawData!$A$2:$F$1441,4,FALSE),"")</f>
        <v>FE</v>
      </c>
      <c r="BL1031" s="19">
        <f>TIME(0,0,0)+1020/1440</f>
        <v>0.70833333333333337</v>
      </c>
      <c r="BM1031" s="4">
        <f>IFERROR(VLOOKUP(TEXT($B$3,"yyyymmdd")&amp;"_"&amp;TEXT(1020,"0000"),RawData!$A$2:$F$1441,5,FALSE),"")</f>
        <v>7.5600000000000005E-4</v>
      </c>
      <c r="BN1031" s="4">
        <f t="shared" si="17"/>
        <v>0</v>
      </c>
    </row>
    <row r="1032" spans="63:66" x14ac:dyDescent="0.6">
      <c r="BK1032" s="4" t="str">
        <f>IFERROR(VLOOKUP(TEXT($B$3,"yyyymmdd")&amp;"_"&amp;TEXT(1021,"0000"),RawData!$A$2:$F$1441,4,FALSE),"")</f>
        <v>FE</v>
      </c>
      <c r="BL1032" s="19">
        <f>TIME(0,0,0)+1021/1440</f>
        <v>0.70902777777777781</v>
      </c>
      <c r="BM1032" s="4">
        <f>IFERROR(VLOOKUP(TEXT($B$3,"yyyymmdd")&amp;"_"&amp;TEXT(1021,"0000"),RawData!$A$2:$F$1441,5,FALSE),"")</f>
        <v>4.4099999999999999E-4</v>
      </c>
      <c r="BN1032" s="4">
        <f t="shared" si="17"/>
        <v>0</v>
      </c>
    </row>
    <row r="1033" spans="63:66" x14ac:dyDescent="0.6">
      <c r="BK1033" s="4" t="str">
        <f>IFERROR(VLOOKUP(TEXT($B$3,"yyyymmdd")&amp;"_"&amp;TEXT(1022,"0000"),RawData!$A$2:$F$1441,4,FALSE),"")</f>
        <v>FE</v>
      </c>
      <c r="BL1033" s="19">
        <f>TIME(0,0,0)+1022/1440</f>
        <v>0.70972222222222225</v>
      </c>
      <c r="BM1033" s="4">
        <f>IFERROR(VLOOKUP(TEXT($B$3,"yyyymmdd")&amp;"_"&amp;TEXT(1022,"0000"),RawData!$A$2:$F$1441,5,FALSE),"")</f>
        <v>0</v>
      </c>
      <c r="BN1033" s="4">
        <f t="shared" si="17"/>
        <v>0</v>
      </c>
    </row>
    <row r="1034" spans="63:66" x14ac:dyDescent="0.6">
      <c r="BK1034" s="4" t="str">
        <f>IFERROR(VLOOKUP(TEXT($B$3,"yyyymmdd")&amp;"_"&amp;TEXT(1023,"0000"),RawData!$A$2:$F$1441,4,FALSE),"")</f>
        <v>FF</v>
      </c>
      <c r="BL1034" s="19">
        <f>TIME(0,0,0)+1023/1440</f>
        <v>0.7104166666666667</v>
      </c>
      <c r="BM1034" s="4">
        <f>IFERROR(VLOOKUP(TEXT($B$3,"yyyymmdd")&amp;"_"&amp;TEXT(1023,"0000"),RawData!$A$2:$F$1441,5,FALSE),"")</f>
        <v>0</v>
      </c>
      <c r="BN1034" s="4">
        <f t="shared" si="17"/>
        <v>0</v>
      </c>
    </row>
    <row r="1035" spans="63:66" x14ac:dyDescent="0.6">
      <c r="BK1035" s="4" t="str">
        <f>IFERROR(VLOOKUP(TEXT($B$3,"yyyymmdd")&amp;"_"&amp;TEXT(1024,"0000"),RawData!$A$2:$F$1441,4,FALSE),"")</f>
        <v>FE</v>
      </c>
      <c r="BL1035" s="19">
        <f>TIME(0,0,0)+1024/1440</f>
        <v>0.71111111111111114</v>
      </c>
      <c r="BM1035" s="4">
        <f>IFERROR(VLOOKUP(TEXT($B$3,"yyyymmdd")&amp;"_"&amp;TEXT(1024,"0000"),RawData!$A$2:$F$1441,5,FALSE),"")</f>
        <v>0</v>
      </c>
      <c r="BN1035" s="4">
        <f t="shared" si="17"/>
        <v>0</v>
      </c>
    </row>
    <row r="1036" spans="63:66" x14ac:dyDescent="0.6">
      <c r="BK1036" s="4" t="str">
        <f>IFERROR(VLOOKUP(TEXT($B$3,"yyyymmdd")&amp;"_"&amp;TEXT(1025,"0000"),RawData!$A$2:$F$1441,4,FALSE),"")</f>
        <v>FE</v>
      </c>
      <c r="BL1036" s="19">
        <f>TIME(0,0,0)+1025/1440</f>
        <v>0.71180555555555558</v>
      </c>
      <c r="BM1036" s="4">
        <f>IFERROR(VLOOKUP(TEXT($B$3,"yyyymmdd")&amp;"_"&amp;TEXT(1025,"0000"),RawData!$A$2:$F$1441,5,FALSE),"")</f>
        <v>0</v>
      </c>
      <c r="BN1036" s="4">
        <f t="shared" si="17"/>
        <v>0</v>
      </c>
    </row>
    <row r="1037" spans="63:66" x14ac:dyDescent="0.6">
      <c r="BK1037" s="4" t="str">
        <f>IFERROR(VLOOKUP(TEXT($B$3,"yyyymmdd")&amp;"_"&amp;TEXT(1026,"0000"),RawData!$A$2:$F$1441,4,FALSE),"")</f>
        <v>FE</v>
      </c>
      <c r="BL1037" s="19">
        <f>TIME(0,0,0)+1026/1440</f>
        <v>0.71250000000000002</v>
      </c>
      <c r="BM1037" s="4">
        <f>IFERROR(VLOOKUP(TEXT($B$3,"yyyymmdd")&amp;"_"&amp;TEXT(1026,"0000"),RawData!$A$2:$F$1441,5,FALSE),"")</f>
        <v>0</v>
      </c>
      <c r="BN1037" s="4">
        <f t="shared" si="17"/>
        <v>0</v>
      </c>
    </row>
    <row r="1038" spans="63:66" x14ac:dyDescent="0.6">
      <c r="BK1038" s="4" t="str">
        <f>IFERROR(VLOOKUP(TEXT($B$3,"yyyymmdd")&amp;"_"&amp;TEXT(1027,"0000"),RawData!$A$2:$F$1441,4,FALSE),"")</f>
        <v>FE</v>
      </c>
      <c r="BL1038" s="19">
        <f>TIME(0,0,0)+1027/1440</f>
        <v>0.71319444444444446</v>
      </c>
      <c r="BM1038" s="4">
        <f>IFERROR(VLOOKUP(TEXT($B$3,"yyyymmdd")&amp;"_"&amp;TEXT(1027,"0000"),RawData!$A$2:$F$1441,5,FALSE),"")</f>
        <v>2.3800000000000001E-4</v>
      </c>
      <c r="BN1038" s="4">
        <f t="shared" si="17"/>
        <v>0</v>
      </c>
    </row>
    <row r="1039" spans="63:66" x14ac:dyDescent="0.6">
      <c r="BK1039" s="4" t="str">
        <f>IFERROR(VLOOKUP(TEXT($B$3,"yyyymmdd")&amp;"_"&amp;TEXT(1028,"0000"),RawData!$A$2:$F$1441,4,FALSE),"")</f>
        <v>FE</v>
      </c>
      <c r="BL1039" s="19">
        <f>TIME(0,0,0)+1028/1440</f>
        <v>0.71388888888888891</v>
      </c>
      <c r="BM1039" s="4">
        <f>IFERROR(VLOOKUP(TEXT($B$3,"yyyymmdd")&amp;"_"&amp;TEXT(1028,"0000"),RawData!$A$2:$F$1441,5,FALSE),"")</f>
        <v>0</v>
      </c>
      <c r="BN1039" s="4">
        <f t="shared" si="17"/>
        <v>0</v>
      </c>
    </row>
    <row r="1040" spans="63:66" x14ac:dyDescent="0.6">
      <c r="BK1040" s="4" t="str">
        <f>IFERROR(VLOOKUP(TEXT($B$3,"yyyymmdd")&amp;"_"&amp;TEXT(1029,"0000"),RawData!$A$2:$F$1441,4,FALSE),"")</f>
        <v>FE</v>
      </c>
      <c r="BL1040" s="19">
        <f>TIME(0,0,0)+1029/1440</f>
        <v>0.71458333333333335</v>
      </c>
      <c r="BM1040" s="4">
        <f>IFERROR(VLOOKUP(TEXT($B$3,"yyyymmdd")&amp;"_"&amp;TEXT(1029,"0000"),RawData!$A$2:$F$1441,5,FALSE),"")</f>
        <v>0</v>
      </c>
      <c r="BN1040" s="4">
        <f t="shared" si="17"/>
        <v>1</v>
      </c>
    </row>
    <row r="1041" spans="63:66" x14ac:dyDescent="0.6">
      <c r="BK1041" s="4" t="str">
        <f>IFERROR(VLOOKUP(TEXT($B$3,"yyyymmdd")&amp;"_"&amp;TEXT(1030,"0000"),RawData!$A$2:$F$1441,4,FALSE),"")</f>
        <v>FE</v>
      </c>
      <c r="BL1041" s="19">
        <f>TIME(0,0,0)+1030/1440</f>
        <v>0.71527777777777779</v>
      </c>
      <c r="BM1041" s="4">
        <f>IFERROR(VLOOKUP(TEXT($B$3,"yyyymmdd")&amp;"_"&amp;TEXT(1030,"0000"),RawData!$A$2:$F$1441,5,FALSE),"")</f>
        <v>5.7700000000000004E-4</v>
      </c>
      <c r="BN1041" s="4">
        <f t="shared" si="17"/>
        <v>1</v>
      </c>
    </row>
    <row r="1042" spans="63:66" x14ac:dyDescent="0.6">
      <c r="BK1042" s="4" t="str">
        <f>IFERROR(VLOOKUP(TEXT($B$3,"yyyymmdd")&amp;"_"&amp;TEXT(1031,"0000"),RawData!$A$2:$F$1441,4,FALSE),"")</f>
        <v>FE</v>
      </c>
      <c r="BL1042" s="19">
        <f>TIME(0,0,0)+1031/1440</f>
        <v>0.71597222222222223</v>
      </c>
      <c r="BM1042" s="4">
        <f>IFERROR(VLOOKUP(TEXT($B$3,"yyyymmdd")&amp;"_"&amp;TEXT(1031,"0000"),RawData!$A$2:$F$1441,5,FALSE),"")</f>
        <v>3.2899999999999997E-4</v>
      </c>
      <c r="BN1042" s="4">
        <f t="shared" si="17"/>
        <v>0</v>
      </c>
    </row>
    <row r="1043" spans="63:66" x14ac:dyDescent="0.6">
      <c r="BK1043" s="4" t="str">
        <f>IFERROR(VLOOKUP(TEXT($B$3,"yyyymmdd")&amp;"_"&amp;TEXT(1032,"0000"),RawData!$A$2:$F$1441,4,FALSE),"")</f>
        <v>FE</v>
      </c>
      <c r="BL1043" s="19">
        <f>TIME(0,0,0)+1032/1440</f>
        <v>0.71666666666666667</v>
      </c>
      <c r="BM1043" s="4">
        <f>IFERROR(VLOOKUP(TEXT($B$3,"yyyymmdd")&amp;"_"&amp;TEXT(1032,"0000"),RawData!$A$2:$F$1441,5,FALSE),"")</f>
        <v>0</v>
      </c>
      <c r="BN1043" s="4">
        <f t="shared" si="17"/>
        <v>0</v>
      </c>
    </row>
    <row r="1044" spans="63:66" x14ac:dyDescent="0.6">
      <c r="BK1044" s="4" t="str">
        <f>IFERROR(VLOOKUP(TEXT($B$3,"yyyymmdd")&amp;"_"&amp;TEXT(1033,"0000"),RawData!$A$2:$F$1441,4,FALSE),"")</f>
        <v>FE</v>
      </c>
      <c r="BL1044" s="19">
        <f>TIME(0,0,0)+1033/1440</f>
        <v>0.71736111111111112</v>
      </c>
      <c r="BM1044" s="4">
        <f>IFERROR(VLOOKUP(TEXT($B$3,"yyyymmdd")&amp;"_"&amp;TEXT(1033,"0000"),RawData!$A$2:$F$1441,5,FALSE),"")</f>
        <v>0</v>
      </c>
      <c r="BN1044" s="4">
        <f t="shared" si="17"/>
        <v>0</v>
      </c>
    </row>
    <row r="1045" spans="63:66" x14ac:dyDescent="0.6">
      <c r="BK1045" s="4" t="str">
        <f>IFERROR(VLOOKUP(TEXT($B$3,"yyyymmdd")&amp;"_"&amp;TEXT(1034,"0000"),RawData!$A$2:$F$1441,4,FALSE),"")</f>
        <v>FE</v>
      </c>
      <c r="BL1045" s="19">
        <f>TIME(0,0,0)+1034/1440</f>
        <v>0.71805555555555556</v>
      </c>
      <c r="BM1045" s="4">
        <f>IFERROR(VLOOKUP(TEXT($B$3,"yyyymmdd")&amp;"_"&amp;TEXT(1034,"0000"),RawData!$A$2:$F$1441,5,FALSE),"")</f>
        <v>4.4799999999999999E-4</v>
      </c>
      <c r="BN1045" s="4">
        <f t="shared" si="17"/>
        <v>0</v>
      </c>
    </row>
    <row r="1046" spans="63:66" x14ac:dyDescent="0.6">
      <c r="BK1046" s="4" t="str">
        <f>IFERROR(VLOOKUP(TEXT($B$3,"yyyymmdd")&amp;"_"&amp;TEXT(1035,"0000"),RawData!$A$2:$F$1441,4,FALSE),"")</f>
        <v>FE</v>
      </c>
      <c r="BL1046" s="19">
        <f>TIME(0,0,0)+1035/1440</f>
        <v>0.71875</v>
      </c>
      <c r="BM1046" s="4">
        <f>IFERROR(VLOOKUP(TEXT($B$3,"yyyymmdd")&amp;"_"&amp;TEXT(1035,"0000"),RawData!$A$2:$F$1441,5,FALSE),"")</f>
        <v>0</v>
      </c>
      <c r="BN1046" s="4">
        <f t="shared" si="17"/>
        <v>0</v>
      </c>
    </row>
    <row r="1047" spans="63:66" x14ac:dyDescent="0.6">
      <c r="BK1047" s="4" t="str">
        <f>IFERROR(VLOOKUP(TEXT($B$3,"yyyymmdd")&amp;"_"&amp;TEXT(1036,"0000"),RawData!$A$2:$F$1441,4,FALSE),"")</f>
        <v>FE</v>
      </c>
      <c r="BL1047" s="19">
        <f>TIME(0,0,0)+1036/1440</f>
        <v>0.71944444444444444</v>
      </c>
      <c r="BM1047" s="4">
        <f>IFERROR(VLOOKUP(TEXT($B$3,"yyyymmdd")&amp;"_"&amp;TEXT(1036,"0000"),RawData!$A$2:$F$1441,5,FALSE),"")</f>
        <v>0</v>
      </c>
      <c r="BN1047" s="4">
        <f t="shared" si="17"/>
        <v>0</v>
      </c>
    </row>
    <row r="1048" spans="63:66" x14ac:dyDescent="0.6">
      <c r="BK1048" s="4" t="str">
        <f>IFERROR(VLOOKUP(TEXT($B$3,"yyyymmdd")&amp;"_"&amp;TEXT(1037,"0000"),RawData!$A$2:$F$1441,4,FALSE),"")</f>
        <v>FE</v>
      </c>
      <c r="BL1048" s="19">
        <f>TIME(0,0,0)+1037/1440</f>
        <v>0.72013888888888888</v>
      </c>
      <c r="BM1048" s="4">
        <f>IFERROR(VLOOKUP(TEXT($B$3,"yyyymmdd")&amp;"_"&amp;TEXT(1037,"0000"),RawData!$A$2:$F$1441,5,FALSE),"")</f>
        <v>0</v>
      </c>
      <c r="BN1048" s="4">
        <f t="shared" si="17"/>
        <v>0</v>
      </c>
    </row>
    <row r="1049" spans="63:66" x14ac:dyDescent="0.6">
      <c r="BK1049" s="4" t="str">
        <f>IFERROR(VLOOKUP(TEXT($B$3,"yyyymmdd")&amp;"_"&amp;TEXT(1038,"0000"),RawData!$A$2:$F$1441,4,FALSE),"")</f>
        <v>FE</v>
      </c>
      <c r="BL1049" s="19">
        <f>TIME(0,0,0)+1038/1440</f>
        <v>0.72083333333333333</v>
      </c>
      <c r="BM1049" s="4">
        <f>IFERROR(VLOOKUP(TEXT($B$3,"yyyymmdd")&amp;"_"&amp;TEXT(1038,"0000"),RawData!$A$2:$F$1441,5,FALSE),"")</f>
        <v>0</v>
      </c>
      <c r="BN1049" s="4">
        <f t="shared" si="17"/>
        <v>0</v>
      </c>
    </row>
    <row r="1050" spans="63:66" x14ac:dyDescent="0.6">
      <c r="BK1050" s="4" t="str">
        <f>IFERROR(VLOOKUP(TEXT($B$3,"yyyymmdd")&amp;"_"&amp;TEXT(1039,"0000"),RawData!$A$2:$F$1441,4,FALSE),"")</f>
        <v>FE</v>
      </c>
      <c r="BL1050" s="19">
        <f>TIME(0,0,0)+1039/1440</f>
        <v>0.72152777777777777</v>
      </c>
      <c r="BM1050" s="4">
        <f>IFERROR(VLOOKUP(TEXT($B$3,"yyyymmdd")&amp;"_"&amp;TEXT(1039,"0000"),RawData!$A$2:$F$1441,5,FALSE),"")</f>
        <v>0</v>
      </c>
      <c r="BN1050" s="4">
        <f t="shared" si="17"/>
        <v>0</v>
      </c>
    </row>
    <row r="1051" spans="63:66" x14ac:dyDescent="0.6">
      <c r="BK1051" s="4" t="str">
        <f>IFERROR(VLOOKUP(TEXT($B$3,"yyyymmdd")&amp;"_"&amp;TEXT(1040,"0000"),RawData!$A$2:$F$1441,4,FALSE),"")</f>
        <v>FE</v>
      </c>
      <c r="BL1051" s="19">
        <f>TIME(0,0,0)+1040/1440</f>
        <v>0.72222222222222221</v>
      </c>
      <c r="BM1051" s="4">
        <f>IFERROR(VLOOKUP(TEXT($B$3,"yyyymmdd")&amp;"_"&amp;TEXT(1040,"0000"),RawData!$A$2:$F$1441,5,FALSE),"")</f>
        <v>5.2700000000000002E-4</v>
      </c>
      <c r="BN1051" s="4">
        <f t="shared" si="17"/>
        <v>0</v>
      </c>
    </row>
    <row r="1052" spans="63:66" x14ac:dyDescent="0.6">
      <c r="BK1052" s="4" t="str">
        <f>IFERROR(VLOOKUP(TEXT($B$3,"yyyymmdd")&amp;"_"&amp;TEXT(1041,"0000"),RawData!$A$2:$F$1441,4,FALSE),"")</f>
        <v>FE</v>
      </c>
      <c r="BL1052" s="19">
        <f>TIME(0,0,0)+1041/1440</f>
        <v>0.72291666666666665</v>
      </c>
      <c r="BM1052" s="4">
        <f>IFERROR(VLOOKUP(TEXT($B$3,"yyyymmdd")&amp;"_"&amp;TEXT(1041,"0000"),RawData!$A$2:$F$1441,5,FALSE),"")</f>
        <v>0</v>
      </c>
      <c r="BN1052" s="4">
        <f t="shared" si="17"/>
        <v>0</v>
      </c>
    </row>
    <row r="1053" spans="63:66" x14ac:dyDescent="0.6">
      <c r="BK1053" s="4" t="str">
        <f>IFERROR(VLOOKUP(TEXT($B$3,"yyyymmdd")&amp;"_"&amp;TEXT(1042,"0000"),RawData!$A$2:$F$1441,4,FALSE),"")</f>
        <v>FE</v>
      </c>
      <c r="BL1053" s="19">
        <f>TIME(0,0,0)+1042/1440</f>
        <v>0.72361111111111109</v>
      </c>
      <c r="BM1053" s="4">
        <f>IFERROR(VLOOKUP(TEXT($B$3,"yyyymmdd")&amp;"_"&amp;TEXT(1042,"0000"),RawData!$A$2:$F$1441,5,FALSE),"")</f>
        <v>0</v>
      </c>
      <c r="BN1053" s="4">
        <f t="shared" si="17"/>
        <v>0</v>
      </c>
    </row>
    <row r="1054" spans="63:66" x14ac:dyDescent="0.6">
      <c r="BK1054" s="4" t="str">
        <f>IFERROR(VLOOKUP(TEXT($B$3,"yyyymmdd")&amp;"_"&amp;TEXT(1043,"0000"),RawData!$A$2:$F$1441,4,FALSE),"")</f>
        <v>FE</v>
      </c>
      <c r="BL1054" s="19">
        <f>TIME(0,0,0)+1043/1440</f>
        <v>0.72430555555555554</v>
      </c>
      <c r="BM1054" s="4">
        <f>IFERROR(VLOOKUP(TEXT($B$3,"yyyymmdd")&amp;"_"&amp;TEXT(1043,"0000"),RawData!$A$2:$F$1441,5,FALSE),"")</f>
        <v>5.1000000000000004E-4</v>
      </c>
      <c r="BN1054" s="4">
        <f t="shared" si="17"/>
        <v>0</v>
      </c>
    </row>
    <row r="1055" spans="63:66" x14ac:dyDescent="0.6">
      <c r="BK1055" s="4" t="str">
        <f>IFERROR(VLOOKUP(TEXT($B$3,"yyyymmdd")&amp;"_"&amp;TEXT(1044,"0000"),RawData!$A$2:$F$1441,4,FALSE),"")</f>
        <v>FE</v>
      </c>
      <c r="BL1055" s="19">
        <f>TIME(0,0,0)+1044/1440</f>
        <v>0.72499999999999998</v>
      </c>
      <c r="BM1055" s="4">
        <f>IFERROR(VLOOKUP(TEXT($B$3,"yyyymmdd")&amp;"_"&amp;TEXT(1044,"0000"),RawData!$A$2:$F$1441,5,FALSE),"")</f>
        <v>2.61E-4</v>
      </c>
      <c r="BN1055" s="4">
        <f t="shared" si="17"/>
        <v>0</v>
      </c>
    </row>
    <row r="1056" spans="63:66" x14ac:dyDescent="0.6">
      <c r="BK1056" s="4" t="str">
        <f>IFERROR(VLOOKUP(TEXT($B$3,"yyyymmdd")&amp;"_"&amp;TEXT(1045,"0000"),RawData!$A$2:$F$1441,4,FALSE),"")</f>
        <v>FE</v>
      </c>
      <c r="BL1056" s="19">
        <f>TIME(0,0,0)+1045/1440</f>
        <v>0.72569444444444442</v>
      </c>
      <c r="BM1056" s="4">
        <f>IFERROR(VLOOKUP(TEXT($B$3,"yyyymmdd")&amp;"_"&amp;TEXT(1045,"0000"),RawData!$A$2:$F$1441,5,FALSE),"")</f>
        <v>0</v>
      </c>
      <c r="BN1056" s="4">
        <f t="shared" si="17"/>
        <v>0</v>
      </c>
    </row>
    <row r="1057" spans="63:66" x14ac:dyDescent="0.6">
      <c r="BK1057" s="4" t="str">
        <f>IFERROR(VLOOKUP(TEXT($B$3,"yyyymmdd")&amp;"_"&amp;TEXT(1046,"0000"),RawData!$A$2:$F$1441,4,FALSE),"")</f>
        <v>FE</v>
      </c>
      <c r="BL1057" s="19">
        <f>TIME(0,0,0)+1046/1440</f>
        <v>0.72638888888888886</v>
      </c>
      <c r="BM1057" s="4">
        <f>IFERROR(VLOOKUP(TEXT($B$3,"yyyymmdd")&amp;"_"&amp;TEXT(1046,"0000"),RawData!$A$2:$F$1441,5,FALSE),"")</f>
        <v>3.9100000000000002E-4</v>
      </c>
      <c r="BN1057" s="4">
        <f t="shared" si="17"/>
        <v>0</v>
      </c>
    </row>
    <row r="1058" spans="63:66" x14ac:dyDescent="0.6">
      <c r="BK1058" s="4" t="str">
        <f>IFERROR(VLOOKUP(TEXT($B$3,"yyyymmdd")&amp;"_"&amp;TEXT(1047,"0000"),RawData!$A$2:$F$1441,4,FALSE),"")</f>
        <v>FE</v>
      </c>
      <c r="BL1058" s="19">
        <f>TIME(0,0,0)+1047/1440</f>
        <v>0.7270833333333333</v>
      </c>
      <c r="BM1058" s="4">
        <f>IFERROR(VLOOKUP(TEXT($B$3,"yyyymmdd")&amp;"_"&amp;TEXT(1047,"0000"),RawData!$A$2:$F$1441,5,FALSE),"")</f>
        <v>3.5300000000000002E-4</v>
      </c>
      <c r="BN1058" s="4">
        <f t="shared" si="17"/>
        <v>0</v>
      </c>
    </row>
    <row r="1059" spans="63:66" x14ac:dyDescent="0.6">
      <c r="BK1059" s="4" t="str">
        <f>IFERROR(VLOOKUP(TEXT($B$3,"yyyymmdd")&amp;"_"&amp;TEXT(1048,"0000"),RawData!$A$2:$F$1441,4,FALSE),"")</f>
        <v>FE</v>
      </c>
      <c r="BL1059" s="19">
        <f>TIME(0,0,0)+1048/1440</f>
        <v>0.72777777777777775</v>
      </c>
      <c r="BM1059" s="4">
        <f>IFERROR(VLOOKUP(TEXT($B$3,"yyyymmdd")&amp;"_"&amp;TEXT(1048,"0000"),RawData!$A$2:$F$1441,5,FALSE),"")</f>
        <v>0</v>
      </c>
      <c r="BN1059" s="4">
        <f t="shared" si="17"/>
        <v>0</v>
      </c>
    </row>
    <row r="1060" spans="63:66" x14ac:dyDescent="0.6">
      <c r="BK1060" s="4" t="str">
        <f>IFERROR(VLOOKUP(TEXT($B$3,"yyyymmdd")&amp;"_"&amp;TEXT(1049,"0000"),RawData!$A$2:$F$1441,4,FALSE),"")</f>
        <v>FE</v>
      </c>
      <c r="BL1060" s="19">
        <f>TIME(0,0,0)+1049/1440</f>
        <v>0.72847222222222219</v>
      </c>
      <c r="BM1060" s="4">
        <f>IFERROR(VLOOKUP(TEXT($B$3,"yyyymmdd")&amp;"_"&amp;TEXT(1049,"0000"),RawData!$A$2:$F$1441,5,FALSE),"")</f>
        <v>0</v>
      </c>
      <c r="BN1060" s="4">
        <f t="shared" si="17"/>
        <v>0</v>
      </c>
    </row>
    <row r="1061" spans="63:66" x14ac:dyDescent="0.6">
      <c r="BK1061" s="4" t="str">
        <f>IFERROR(VLOOKUP(TEXT($B$3,"yyyymmdd")&amp;"_"&amp;TEXT(1050,"0000"),RawData!$A$2:$F$1441,4,FALSE),"")</f>
        <v>FE</v>
      </c>
      <c r="BL1061" s="19">
        <f>TIME(0,0,0)+1050/1440</f>
        <v>0.72916666666666663</v>
      </c>
      <c r="BM1061" s="4">
        <f>IFERROR(VLOOKUP(TEXT($B$3,"yyyymmdd")&amp;"_"&amp;TEXT(1050,"0000"),RawData!$A$2:$F$1441,5,FALSE),"")</f>
        <v>3.3E-4</v>
      </c>
      <c r="BN1061" s="4">
        <f t="shared" si="17"/>
        <v>0</v>
      </c>
    </row>
    <row r="1062" spans="63:66" x14ac:dyDescent="0.6">
      <c r="BK1062" s="4" t="str">
        <f>IFERROR(VLOOKUP(TEXT($B$3,"yyyymmdd")&amp;"_"&amp;TEXT(1051,"0000"),RawData!$A$2:$F$1441,4,FALSE),"")</f>
        <v>FE</v>
      </c>
      <c r="BL1062" s="19">
        <f>TIME(0,0,0)+1051/1440</f>
        <v>0.72986111111111107</v>
      </c>
      <c r="BM1062" s="4">
        <f>IFERROR(VLOOKUP(TEXT($B$3,"yyyymmdd")&amp;"_"&amp;TEXT(1051,"0000"),RawData!$A$2:$F$1441,5,FALSE),"")</f>
        <v>0</v>
      </c>
      <c r="BN1062" s="4">
        <f t="shared" si="17"/>
        <v>0</v>
      </c>
    </row>
    <row r="1063" spans="63:66" x14ac:dyDescent="0.6">
      <c r="BK1063" s="4" t="str">
        <f>IFERROR(VLOOKUP(TEXT($B$3,"yyyymmdd")&amp;"_"&amp;TEXT(1052,"0000"),RawData!$A$2:$F$1441,4,FALSE),"")</f>
        <v>FE</v>
      </c>
      <c r="BL1063" s="19">
        <f>TIME(0,0,0)+1052/1440</f>
        <v>0.73055555555555551</v>
      </c>
      <c r="BM1063" s="4">
        <f>IFERROR(VLOOKUP(TEXT($B$3,"yyyymmdd")&amp;"_"&amp;TEXT(1052,"0000"),RawData!$A$2:$F$1441,5,FALSE),"")</f>
        <v>4.4799999999999999E-4</v>
      </c>
      <c r="BN1063" s="4">
        <f t="shared" si="17"/>
        <v>0</v>
      </c>
    </row>
    <row r="1064" spans="63:66" x14ac:dyDescent="0.6">
      <c r="BK1064" s="4" t="str">
        <f>IFERROR(VLOOKUP(TEXT($B$3,"yyyymmdd")&amp;"_"&amp;TEXT(1053,"0000"),RawData!$A$2:$F$1441,4,FALSE),"")</f>
        <v>FE</v>
      </c>
      <c r="BL1064" s="19">
        <f>TIME(0,0,0)+1053/1440</f>
        <v>0.73124999999999996</v>
      </c>
      <c r="BM1064" s="4">
        <f>IFERROR(VLOOKUP(TEXT($B$3,"yyyymmdd")&amp;"_"&amp;TEXT(1053,"0000"),RawData!$A$2:$F$1441,5,FALSE),"")</f>
        <v>7.1699999999999997E-4</v>
      </c>
      <c r="BN1064" s="4">
        <f t="shared" si="17"/>
        <v>0</v>
      </c>
    </row>
    <row r="1065" spans="63:66" x14ac:dyDescent="0.6">
      <c r="BK1065" s="4" t="str">
        <f>IFERROR(VLOOKUP(TEXT($B$3,"yyyymmdd")&amp;"_"&amp;TEXT(1054,"0000"),RawData!$A$2:$F$1441,4,FALSE),"")</f>
        <v>FE</v>
      </c>
      <c r="BL1065" s="19">
        <f>TIME(0,0,0)+1054/1440</f>
        <v>0.7319444444444444</v>
      </c>
      <c r="BM1065" s="4">
        <f>IFERROR(VLOOKUP(TEXT($B$3,"yyyymmdd")&amp;"_"&amp;TEXT(1054,"0000"),RawData!$A$2:$F$1441,5,FALSE),"")</f>
        <v>0</v>
      </c>
      <c r="BN1065" s="4">
        <f t="shared" si="17"/>
        <v>0</v>
      </c>
    </row>
    <row r="1066" spans="63:66" x14ac:dyDescent="0.6">
      <c r="BK1066" s="4" t="str">
        <f>IFERROR(VLOOKUP(TEXT($B$3,"yyyymmdd")&amp;"_"&amp;TEXT(1055,"0000"),RawData!$A$2:$F$1441,4,FALSE),"")</f>
        <v>FE</v>
      </c>
      <c r="BL1066" s="19">
        <f>TIME(0,0,0)+1055/1440</f>
        <v>0.73263888888888884</v>
      </c>
      <c r="BM1066" s="4">
        <f>IFERROR(VLOOKUP(TEXT($B$3,"yyyymmdd")&amp;"_"&amp;TEXT(1055,"0000"),RawData!$A$2:$F$1441,5,FALSE),"")</f>
        <v>0</v>
      </c>
      <c r="BN1066" s="4">
        <f t="shared" si="17"/>
        <v>0</v>
      </c>
    </row>
    <row r="1067" spans="63:66" x14ac:dyDescent="0.6">
      <c r="BK1067" s="4" t="str">
        <f>IFERROR(VLOOKUP(TEXT($B$3,"yyyymmdd")&amp;"_"&amp;TEXT(1056,"0000"),RawData!$A$2:$F$1441,4,FALSE),"")</f>
        <v>FE</v>
      </c>
      <c r="BL1067" s="19">
        <f>TIME(0,0,0)+1056/1440</f>
        <v>0.73333333333333328</v>
      </c>
      <c r="BM1067" s="4">
        <f>IFERROR(VLOOKUP(TEXT($B$3,"yyyymmdd")&amp;"_"&amp;TEXT(1056,"0000"),RawData!$A$2:$F$1441,5,FALSE),"")</f>
        <v>3.4200000000000002E-4</v>
      </c>
      <c r="BN1067" s="4">
        <f t="shared" si="17"/>
        <v>0</v>
      </c>
    </row>
    <row r="1068" spans="63:66" x14ac:dyDescent="0.6">
      <c r="BK1068" s="4" t="str">
        <f>IFERROR(VLOOKUP(TEXT($B$3,"yyyymmdd")&amp;"_"&amp;TEXT(1057,"0000"),RawData!$A$2:$F$1441,4,FALSE),"")</f>
        <v>FE</v>
      </c>
      <c r="BL1068" s="19">
        <f>TIME(0,0,0)+1057/1440</f>
        <v>0.73402777777777772</v>
      </c>
      <c r="BM1068" s="4">
        <f>IFERROR(VLOOKUP(TEXT($B$3,"yyyymmdd")&amp;"_"&amp;TEXT(1057,"0000"),RawData!$A$2:$F$1441,5,FALSE),"")</f>
        <v>2.7599999999999999E-4</v>
      </c>
      <c r="BN1068" s="4">
        <f t="shared" si="17"/>
        <v>0</v>
      </c>
    </row>
    <row r="1069" spans="63:66" x14ac:dyDescent="0.6">
      <c r="BK1069" s="4" t="str">
        <f>IFERROR(VLOOKUP(TEXT($B$3,"yyyymmdd")&amp;"_"&amp;TEXT(1058,"0000"),RawData!$A$2:$F$1441,4,FALSE),"")</f>
        <v>FE</v>
      </c>
      <c r="BL1069" s="19">
        <f>TIME(0,0,0)+1058/1440</f>
        <v>0.73472222222222228</v>
      </c>
      <c r="BM1069" s="4">
        <f>IFERROR(VLOOKUP(TEXT($B$3,"yyyymmdd")&amp;"_"&amp;TEXT(1058,"0000"),RawData!$A$2:$F$1441,5,FALSE),"")</f>
        <v>0</v>
      </c>
      <c r="BN1069" s="4">
        <f t="shared" si="17"/>
        <v>0</v>
      </c>
    </row>
    <row r="1070" spans="63:66" x14ac:dyDescent="0.6">
      <c r="BK1070" s="4" t="str">
        <f>IFERROR(VLOOKUP(TEXT($B$3,"yyyymmdd")&amp;"_"&amp;TEXT(1059,"0000"),RawData!$A$2:$F$1441,4,FALSE),"")</f>
        <v>FE</v>
      </c>
      <c r="BL1070" s="19">
        <f>TIME(0,0,0)+1059/1440</f>
        <v>0.73541666666666672</v>
      </c>
      <c r="BM1070" s="4">
        <f>IFERROR(VLOOKUP(TEXT($B$3,"yyyymmdd")&amp;"_"&amp;TEXT(1059,"0000"),RawData!$A$2:$F$1441,5,FALSE),"")</f>
        <v>3.4600000000000001E-4</v>
      </c>
      <c r="BN1070" s="4">
        <f t="shared" si="17"/>
        <v>0</v>
      </c>
    </row>
    <row r="1071" spans="63:66" x14ac:dyDescent="0.6">
      <c r="BK1071" s="4" t="str">
        <f>IFERROR(VLOOKUP(TEXT($B$3,"yyyymmdd")&amp;"_"&amp;TEXT(1060,"0000"),RawData!$A$2:$F$1441,4,FALSE),"")</f>
        <v>FE</v>
      </c>
      <c r="BL1071" s="19">
        <f>TIME(0,0,0)+1060/1440</f>
        <v>0.73611111111111116</v>
      </c>
      <c r="BM1071" s="4">
        <f>IFERROR(VLOOKUP(TEXT($B$3,"yyyymmdd")&amp;"_"&amp;TEXT(1060,"0000"),RawData!$A$2:$F$1441,5,FALSE),"")</f>
        <v>4.5100000000000001E-4</v>
      </c>
      <c r="BN1071" s="4">
        <f t="shared" si="17"/>
        <v>0</v>
      </c>
    </row>
    <row r="1072" spans="63:66" x14ac:dyDescent="0.6">
      <c r="BK1072" s="4" t="str">
        <f>IFERROR(VLOOKUP(TEXT($B$3,"yyyymmdd")&amp;"_"&amp;TEXT(1061,"0000"),RawData!$A$2:$F$1441,4,FALSE),"")</f>
        <v>FE</v>
      </c>
      <c r="BL1072" s="19">
        <f>TIME(0,0,0)+1061/1440</f>
        <v>0.7368055555555556</v>
      </c>
      <c r="BM1072" s="4">
        <f>IFERROR(VLOOKUP(TEXT($B$3,"yyyymmdd")&amp;"_"&amp;TEXT(1061,"0000"),RawData!$A$2:$F$1441,5,FALSE),"")</f>
        <v>2.9500000000000001E-4</v>
      </c>
      <c r="BN1072" s="4">
        <f t="shared" ref="BN1072:BN1135" si="18">IF(BK1066="","",IF(BK1066&lt;&gt;BK1065,1,0))</f>
        <v>0</v>
      </c>
    </row>
    <row r="1073" spans="63:66" x14ac:dyDescent="0.6">
      <c r="BK1073" s="4" t="str">
        <f>IFERROR(VLOOKUP(TEXT($B$3,"yyyymmdd")&amp;"_"&amp;TEXT(1062,"0000"),RawData!$A$2:$F$1441,4,FALSE),"")</f>
        <v>FE</v>
      </c>
      <c r="BL1073" s="19">
        <f>TIME(0,0,0)+1062/1440</f>
        <v>0.73750000000000004</v>
      </c>
      <c r="BM1073" s="4">
        <f>IFERROR(VLOOKUP(TEXT($B$3,"yyyymmdd")&amp;"_"&amp;TEXT(1062,"0000"),RawData!$A$2:$F$1441,5,FALSE),"")</f>
        <v>0</v>
      </c>
      <c r="BN1073" s="4">
        <f t="shared" si="18"/>
        <v>0</v>
      </c>
    </row>
    <row r="1074" spans="63:66" x14ac:dyDescent="0.6">
      <c r="BK1074" s="4" t="str">
        <f>IFERROR(VLOOKUP(TEXT($B$3,"yyyymmdd")&amp;"_"&amp;TEXT(1063,"0000"),RawData!$A$2:$F$1441,4,FALSE),"")</f>
        <v>FE</v>
      </c>
      <c r="BL1074" s="19">
        <f>TIME(0,0,0)+1063/1440</f>
        <v>0.73819444444444449</v>
      </c>
      <c r="BM1074" s="4">
        <f>IFERROR(VLOOKUP(TEXT($B$3,"yyyymmdd")&amp;"_"&amp;TEXT(1063,"0000"),RawData!$A$2:$F$1441,5,FALSE),"")</f>
        <v>0</v>
      </c>
      <c r="BN1074" s="4">
        <f t="shared" si="18"/>
        <v>0</v>
      </c>
    </row>
    <row r="1075" spans="63:66" x14ac:dyDescent="0.6">
      <c r="BK1075" s="4" t="str">
        <f>IFERROR(VLOOKUP(TEXT($B$3,"yyyymmdd")&amp;"_"&amp;TEXT(1064,"0000"),RawData!$A$2:$F$1441,4,FALSE),"")</f>
        <v>FE</v>
      </c>
      <c r="BL1075" s="19">
        <f>TIME(0,0,0)+1064/1440</f>
        <v>0.73888888888888893</v>
      </c>
      <c r="BM1075" s="4">
        <f>IFERROR(VLOOKUP(TEXT($B$3,"yyyymmdd")&amp;"_"&amp;TEXT(1064,"0000"),RawData!$A$2:$F$1441,5,FALSE),"")</f>
        <v>6.2E-4</v>
      </c>
      <c r="BN1075" s="4">
        <f t="shared" si="18"/>
        <v>0</v>
      </c>
    </row>
    <row r="1076" spans="63:66" x14ac:dyDescent="0.6">
      <c r="BK1076" s="4" t="str">
        <f>IFERROR(VLOOKUP(TEXT($B$3,"yyyymmdd")&amp;"_"&amp;TEXT(1065,"0000"),RawData!$A$2:$F$1441,4,FALSE),"")</f>
        <v>FE</v>
      </c>
      <c r="BL1076" s="19">
        <f>TIME(0,0,0)+1065/1440</f>
        <v>0.73958333333333337</v>
      </c>
      <c r="BM1076" s="4">
        <f>IFERROR(VLOOKUP(TEXT($B$3,"yyyymmdd")&amp;"_"&amp;TEXT(1065,"0000"),RawData!$A$2:$F$1441,5,FALSE),"")</f>
        <v>4.6500000000000003E-4</v>
      </c>
      <c r="BN1076" s="4">
        <f t="shared" si="18"/>
        <v>0</v>
      </c>
    </row>
    <row r="1077" spans="63:66" x14ac:dyDescent="0.6">
      <c r="BK1077" s="4" t="str">
        <f>IFERROR(VLOOKUP(TEXT($B$3,"yyyymmdd")&amp;"_"&amp;TEXT(1066,"0000"),RawData!$A$2:$F$1441,4,FALSE),"")</f>
        <v>FE</v>
      </c>
      <c r="BL1077" s="19">
        <f>TIME(0,0,0)+1066/1440</f>
        <v>0.74027777777777781</v>
      </c>
      <c r="BM1077" s="4">
        <f>IFERROR(VLOOKUP(TEXT($B$3,"yyyymmdd")&amp;"_"&amp;TEXT(1066,"0000"),RawData!$A$2:$F$1441,5,FALSE),"")</f>
        <v>3.5E-4</v>
      </c>
      <c r="BN1077" s="4">
        <f t="shared" si="18"/>
        <v>0</v>
      </c>
    </row>
    <row r="1078" spans="63:66" x14ac:dyDescent="0.6">
      <c r="BK1078" s="4" t="str">
        <f>IFERROR(VLOOKUP(TEXT($B$3,"yyyymmdd")&amp;"_"&amp;TEXT(1067,"0000"),RawData!$A$2:$F$1441,4,FALSE),"")</f>
        <v>FE</v>
      </c>
      <c r="BL1078" s="19">
        <f>TIME(0,0,0)+1067/1440</f>
        <v>0.74097222222222225</v>
      </c>
      <c r="BM1078" s="4">
        <f>IFERROR(VLOOKUP(TEXT($B$3,"yyyymmdd")&amp;"_"&amp;TEXT(1067,"0000"),RawData!$A$2:$F$1441,5,FALSE),"")</f>
        <v>2.3000000000000001E-4</v>
      </c>
      <c r="BN1078" s="4">
        <f t="shared" si="18"/>
        <v>0</v>
      </c>
    </row>
    <row r="1079" spans="63:66" x14ac:dyDescent="0.6">
      <c r="BK1079" s="4" t="str">
        <f>IFERROR(VLOOKUP(TEXT($B$3,"yyyymmdd")&amp;"_"&amp;TEXT(1068,"0000"),RawData!$A$2:$F$1441,4,FALSE),"")</f>
        <v>FE</v>
      </c>
      <c r="BL1079" s="19">
        <f>TIME(0,0,0)+1068/1440</f>
        <v>0.7416666666666667</v>
      </c>
      <c r="BM1079" s="4">
        <f>IFERROR(VLOOKUP(TEXT($B$3,"yyyymmdd")&amp;"_"&amp;TEXT(1068,"0000"),RawData!$A$2:$F$1441,5,FALSE),"")</f>
        <v>0</v>
      </c>
      <c r="BN1079" s="4">
        <f t="shared" si="18"/>
        <v>0</v>
      </c>
    </row>
    <row r="1080" spans="63:66" x14ac:dyDescent="0.6">
      <c r="BK1080" s="4" t="str">
        <f>IFERROR(VLOOKUP(TEXT($B$3,"yyyymmdd")&amp;"_"&amp;TEXT(1069,"0000"),RawData!$A$2:$F$1441,4,FALSE),"")</f>
        <v>FE</v>
      </c>
      <c r="BL1080" s="19">
        <f>TIME(0,0,0)+1069/1440</f>
        <v>0.74236111111111114</v>
      </c>
      <c r="BM1080" s="4">
        <f>IFERROR(VLOOKUP(TEXT($B$3,"yyyymmdd")&amp;"_"&amp;TEXT(1069,"0000"),RawData!$A$2:$F$1441,5,FALSE),"")</f>
        <v>6.6799999999999997E-4</v>
      </c>
      <c r="BN1080" s="4">
        <f t="shared" si="18"/>
        <v>0</v>
      </c>
    </row>
    <row r="1081" spans="63:66" x14ac:dyDescent="0.6">
      <c r="BK1081" s="4" t="str">
        <f>IFERROR(VLOOKUP(TEXT($B$3,"yyyymmdd")&amp;"_"&amp;TEXT(1070,"0000"),RawData!$A$2:$F$1441,4,FALSE),"")</f>
        <v>FE</v>
      </c>
      <c r="BL1081" s="19">
        <f>TIME(0,0,0)+1070/1440</f>
        <v>0.74305555555555558</v>
      </c>
      <c r="BM1081" s="4">
        <f>IFERROR(VLOOKUP(TEXT($B$3,"yyyymmdd")&amp;"_"&amp;TEXT(1070,"0000"),RawData!$A$2:$F$1441,5,FALSE),"")</f>
        <v>0</v>
      </c>
      <c r="BN1081" s="4">
        <f t="shared" si="18"/>
        <v>0</v>
      </c>
    </row>
    <row r="1082" spans="63:66" x14ac:dyDescent="0.6">
      <c r="BK1082" s="4" t="str">
        <f>IFERROR(VLOOKUP(TEXT($B$3,"yyyymmdd")&amp;"_"&amp;TEXT(1071,"0000"),RawData!$A$2:$F$1441,4,FALSE),"")</f>
        <v>FE</v>
      </c>
      <c r="BL1082" s="19">
        <f>TIME(0,0,0)+1071/1440</f>
        <v>0.74375000000000002</v>
      </c>
      <c r="BM1082" s="4">
        <f>IFERROR(VLOOKUP(TEXT($B$3,"yyyymmdd")&amp;"_"&amp;TEXT(1071,"0000"),RawData!$A$2:$F$1441,5,FALSE),"")</f>
        <v>5.2400000000000005E-4</v>
      </c>
      <c r="BN1082" s="4">
        <f t="shared" si="18"/>
        <v>0</v>
      </c>
    </row>
    <row r="1083" spans="63:66" x14ac:dyDescent="0.6">
      <c r="BK1083" s="4" t="str">
        <f>IFERROR(VLOOKUP(TEXT($B$3,"yyyymmdd")&amp;"_"&amp;TEXT(1072,"0000"),RawData!$A$2:$F$1441,4,FALSE),"")</f>
        <v>FE</v>
      </c>
      <c r="BL1083" s="19">
        <f>TIME(0,0,0)+1072/1440</f>
        <v>0.74444444444444446</v>
      </c>
      <c r="BM1083" s="4">
        <f>IFERROR(VLOOKUP(TEXT($B$3,"yyyymmdd")&amp;"_"&amp;TEXT(1072,"0000"),RawData!$A$2:$F$1441,5,FALSE),"")</f>
        <v>0</v>
      </c>
      <c r="BN1083" s="4">
        <f t="shared" si="18"/>
        <v>0</v>
      </c>
    </row>
    <row r="1084" spans="63:66" x14ac:dyDescent="0.6">
      <c r="BK1084" s="4" t="str">
        <f>IFERROR(VLOOKUP(TEXT($B$3,"yyyymmdd")&amp;"_"&amp;TEXT(1073,"0000"),RawData!$A$2:$F$1441,4,FALSE),"")</f>
        <v>FE</v>
      </c>
      <c r="BL1084" s="19">
        <f>TIME(0,0,0)+1073/1440</f>
        <v>0.74513888888888891</v>
      </c>
      <c r="BM1084" s="4">
        <f>IFERROR(VLOOKUP(TEXT($B$3,"yyyymmdd")&amp;"_"&amp;TEXT(1073,"0000"),RawData!$A$2:$F$1441,5,FALSE),"")</f>
        <v>4.86E-4</v>
      </c>
      <c r="BN1084" s="4">
        <f t="shared" si="18"/>
        <v>0</v>
      </c>
    </row>
    <row r="1085" spans="63:66" x14ac:dyDescent="0.6">
      <c r="BK1085" s="4" t="str">
        <f>IFERROR(VLOOKUP(TEXT($B$3,"yyyymmdd")&amp;"_"&amp;TEXT(1074,"0000"),RawData!$A$2:$F$1441,4,FALSE),"")</f>
        <v>FE</v>
      </c>
      <c r="BL1085" s="19">
        <f>TIME(0,0,0)+1074/1440</f>
        <v>0.74583333333333335</v>
      </c>
      <c r="BM1085" s="4">
        <f>IFERROR(VLOOKUP(TEXT($B$3,"yyyymmdd")&amp;"_"&amp;TEXT(1074,"0000"),RawData!$A$2:$F$1441,5,FALSE),"")</f>
        <v>2.5900000000000001E-4</v>
      </c>
      <c r="BN1085" s="4">
        <f t="shared" si="18"/>
        <v>0</v>
      </c>
    </row>
    <row r="1086" spans="63:66" x14ac:dyDescent="0.6">
      <c r="BK1086" s="4" t="str">
        <f>IFERROR(VLOOKUP(TEXT($B$3,"yyyymmdd")&amp;"_"&amp;TEXT(1075,"0000"),RawData!$A$2:$F$1441,4,FALSE),"")</f>
        <v>FE</v>
      </c>
      <c r="BL1086" s="19">
        <f>TIME(0,0,0)+1075/1440</f>
        <v>0.74652777777777779</v>
      </c>
      <c r="BM1086" s="4">
        <f>IFERROR(VLOOKUP(TEXT($B$3,"yyyymmdd")&amp;"_"&amp;TEXT(1075,"0000"),RawData!$A$2:$F$1441,5,FALSE),"")</f>
        <v>0</v>
      </c>
      <c r="BN1086" s="4">
        <f t="shared" si="18"/>
        <v>0</v>
      </c>
    </row>
    <row r="1087" spans="63:66" x14ac:dyDescent="0.6">
      <c r="BK1087" s="4" t="str">
        <f>IFERROR(VLOOKUP(TEXT($B$3,"yyyymmdd")&amp;"_"&amp;TEXT(1076,"0000"),RawData!$A$2:$F$1441,4,FALSE),"")</f>
        <v>14</v>
      </c>
      <c r="BL1087" s="19">
        <f>TIME(0,0,0)+1076/1440</f>
        <v>0.74722222222222223</v>
      </c>
      <c r="BM1087" s="4">
        <f>IFERROR(VLOOKUP(TEXT($B$3,"yyyymmdd")&amp;"_"&amp;TEXT(1076,"0000"),RawData!$A$2:$F$1441,5,FALSE),"")</f>
        <v>0</v>
      </c>
      <c r="BN1087" s="4">
        <f t="shared" si="18"/>
        <v>0</v>
      </c>
    </row>
    <row r="1088" spans="63:66" x14ac:dyDescent="0.6">
      <c r="BK1088" s="4" t="str">
        <f>IFERROR(VLOOKUP(TEXT($B$3,"yyyymmdd")&amp;"_"&amp;TEXT(1077,"0000"),RawData!$A$2:$F$1441,4,FALSE),"")</f>
        <v>01</v>
      </c>
      <c r="BL1088" s="19">
        <f>TIME(0,0,0)+1077/1440</f>
        <v>0.74791666666666667</v>
      </c>
      <c r="BM1088" s="4">
        <f>IFERROR(VLOOKUP(TEXT($B$3,"yyyymmdd")&amp;"_"&amp;TEXT(1077,"0000"),RawData!$A$2:$F$1441,5,FALSE),"")</f>
        <v>0</v>
      </c>
      <c r="BN1088" s="4">
        <f t="shared" si="18"/>
        <v>0</v>
      </c>
    </row>
    <row r="1089" spans="63:66" x14ac:dyDescent="0.6">
      <c r="BK1089" s="4" t="str">
        <f>IFERROR(VLOOKUP(TEXT($B$3,"yyyymmdd")&amp;"_"&amp;TEXT(1078,"0000"),RawData!$A$2:$F$1441,4,FALSE),"")</f>
        <v>01</v>
      </c>
      <c r="BL1089" s="19">
        <f>TIME(0,0,0)+1078/1440</f>
        <v>0.74861111111111112</v>
      </c>
      <c r="BM1089" s="4">
        <f>IFERROR(VLOOKUP(TEXT($B$3,"yyyymmdd")&amp;"_"&amp;TEXT(1078,"0000"),RawData!$A$2:$F$1441,5,FALSE),"")</f>
        <v>3.6000000000000002E-4</v>
      </c>
      <c r="BN1089" s="4">
        <f t="shared" si="18"/>
        <v>0</v>
      </c>
    </row>
    <row r="1090" spans="63:66" x14ac:dyDescent="0.6">
      <c r="BK1090" s="4" t="str">
        <f>IFERROR(VLOOKUP(TEXT($B$3,"yyyymmdd")&amp;"_"&amp;TEXT(1079,"0000"),RawData!$A$2:$F$1441,4,FALSE),"")</f>
        <v>01</v>
      </c>
      <c r="BL1090" s="19">
        <f>TIME(0,0,0)+1079/1440</f>
        <v>0.74930555555555556</v>
      </c>
      <c r="BM1090" s="4">
        <f>IFERROR(VLOOKUP(TEXT($B$3,"yyyymmdd")&amp;"_"&amp;TEXT(1079,"0000"),RawData!$A$2:$F$1441,5,FALSE),"")</f>
        <v>4.9799999999999996E-4</v>
      </c>
      <c r="BN1090" s="4">
        <f t="shared" si="18"/>
        <v>0</v>
      </c>
    </row>
    <row r="1091" spans="63:66" x14ac:dyDescent="0.6">
      <c r="BK1091" s="4" t="str">
        <f>IFERROR(VLOOKUP(TEXT($B$3,"yyyymmdd")&amp;"_"&amp;TEXT(1080,"0000"),RawData!$A$2:$F$1441,4,FALSE),"")</f>
        <v>01</v>
      </c>
      <c r="BL1091" s="19">
        <f>TIME(0,0,0)+1080/1440</f>
        <v>0.75</v>
      </c>
      <c r="BM1091" s="4">
        <f>IFERROR(VLOOKUP(TEXT($B$3,"yyyymmdd")&amp;"_"&amp;TEXT(1080,"0000"),RawData!$A$2:$F$1441,5,FALSE),"")</f>
        <v>0</v>
      </c>
      <c r="BN1091" s="4">
        <f t="shared" si="18"/>
        <v>0</v>
      </c>
    </row>
    <row r="1092" spans="63:66" x14ac:dyDescent="0.6">
      <c r="BK1092" s="4" t="str">
        <f>IFERROR(VLOOKUP(TEXT($B$3,"yyyymmdd")&amp;"_"&amp;TEXT(1081,"0000"),RawData!$A$2:$F$1441,4,FALSE),"")</f>
        <v>01</v>
      </c>
      <c r="BL1092" s="19">
        <f>TIME(0,0,0)+1081/1440</f>
        <v>0.75069444444444444</v>
      </c>
      <c r="BM1092" s="4">
        <f>IFERROR(VLOOKUP(TEXT($B$3,"yyyymmdd")&amp;"_"&amp;TEXT(1081,"0000"),RawData!$A$2:$F$1441,5,FALSE),"")</f>
        <v>4.7800000000000002E-4</v>
      </c>
      <c r="BN1092" s="4">
        <f t="shared" si="18"/>
        <v>0</v>
      </c>
    </row>
    <row r="1093" spans="63:66" x14ac:dyDescent="0.6">
      <c r="BK1093" s="4" t="str">
        <f>IFERROR(VLOOKUP(TEXT($B$3,"yyyymmdd")&amp;"_"&amp;TEXT(1082,"0000"),RawData!$A$2:$F$1441,4,FALSE),"")</f>
        <v>01</v>
      </c>
      <c r="BL1093" s="19">
        <f>TIME(0,0,0)+1082/1440</f>
        <v>0.75138888888888888</v>
      </c>
      <c r="BM1093" s="4">
        <f>IFERROR(VLOOKUP(TEXT($B$3,"yyyymmdd")&amp;"_"&amp;TEXT(1082,"0000"),RawData!$A$2:$F$1441,5,FALSE),"")</f>
        <v>0</v>
      </c>
      <c r="BN1093" s="4">
        <f t="shared" si="18"/>
        <v>1</v>
      </c>
    </row>
    <row r="1094" spans="63:66" x14ac:dyDescent="0.6">
      <c r="BK1094" s="4" t="str">
        <f>IFERROR(VLOOKUP(TEXT($B$3,"yyyymmdd")&amp;"_"&amp;TEXT(1083,"0000"),RawData!$A$2:$F$1441,4,FALSE),"")</f>
        <v>01</v>
      </c>
      <c r="BL1094" s="19">
        <f>TIME(0,0,0)+1083/1440</f>
        <v>0.75208333333333333</v>
      </c>
      <c r="BM1094" s="4">
        <f>IFERROR(VLOOKUP(TEXT($B$3,"yyyymmdd")&amp;"_"&amp;TEXT(1083,"0000"),RawData!$A$2:$F$1441,5,FALSE),"")</f>
        <v>0</v>
      </c>
      <c r="BN1094" s="4">
        <f t="shared" si="18"/>
        <v>1</v>
      </c>
    </row>
    <row r="1095" spans="63:66" x14ac:dyDescent="0.6">
      <c r="BK1095" s="4" t="str">
        <f>IFERROR(VLOOKUP(TEXT($B$3,"yyyymmdd")&amp;"_"&amp;TEXT(1084,"0000"),RawData!$A$2:$F$1441,4,FALSE),"")</f>
        <v>01</v>
      </c>
      <c r="BL1095" s="19">
        <f>TIME(0,0,0)+1084/1440</f>
        <v>0.75277777777777777</v>
      </c>
      <c r="BM1095" s="4">
        <f>IFERROR(VLOOKUP(TEXT($B$3,"yyyymmdd")&amp;"_"&amp;TEXT(1084,"0000"),RawData!$A$2:$F$1441,5,FALSE),"")</f>
        <v>3.4299999999999999E-4</v>
      </c>
      <c r="BN1095" s="4">
        <f t="shared" si="18"/>
        <v>0</v>
      </c>
    </row>
    <row r="1096" spans="63:66" x14ac:dyDescent="0.6">
      <c r="BK1096" s="4" t="str">
        <f>IFERROR(VLOOKUP(TEXT($B$3,"yyyymmdd")&amp;"_"&amp;TEXT(1085,"0000"),RawData!$A$2:$F$1441,4,FALSE),"")</f>
        <v>1E</v>
      </c>
      <c r="BL1096" s="19">
        <f>TIME(0,0,0)+1085/1440</f>
        <v>0.75347222222222221</v>
      </c>
      <c r="BM1096" s="4">
        <f>IFERROR(VLOOKUP(TEXT($B$3,"yyyymmdd")&amp;"_"&amp;TEXT(1085,"0000"),RawData!$A$2:$F$1441,5,FALSE),"")</f>
        <v>3.9100000000000002E-4</v>
      </c>
      <c r="BN1096" s="4">
        <f t="shared" si="18"/>
        <v>0</v>
      </c>
    </row>
    <row r="1097" spans="63:66" x14ac:dyDescent="0.6">
      <c r="BK1097" s="4" t="str">
        <f>IFERROR(VLOOKUP(TEXT($B$3,"yyyymmdd")&amp;"_"&amp;TEXT(1086,"0000"),RawData!$A$2:$F$1441,4,FALSE),"")</f>
        <v>01</v>
      </c>
      <c r="BL1097" s="19">
        <f>TIME(0,0,0)+1086/1440</f>
        <v>0.75416666666666665</v>
      </c>
      <c r="BM1097" s="4">
        <f>IFERROR(VLOOKUP(TEXT($B$3,"yyyymmdd")&amp;"_"&amp;TEXT(1086,"0000"),RawData!$A$2:$F$1441,5,FALSE),"")</f>
        <v>0</v>
      </c>
      <c r="BN1097" s="4">
        <f t="shared" si="18"/>
        <v>0</v>
      </c>
    </row>
    <row r="1098" spans="63:66" x14ac:dyDescent="0.6">
      <c r="BK1098" s="4" t="str">
        <f>IFERROR(VLOOKUP(TEXT($B$3,"yyyymmdd")&amp;"_"&amp;TEXT(1087,"0000"),RawData!$A$2:$F$1441,4,FALSE),"")</f>
        <v>0A</v>
      </c>
      <c r="BL1098" s="19">
        <f>TIME(0,0,0)+1087/1440</f>
        <v>0.75486111111111109</v>
      </c>
      <c r="BM1098" s="4">
        <f>IFERROR(VLOOKUP(TEXT($B$3,"yyyymmdd")&amp;"_"&amp;TEXT(1087,"0000"),RawData!$A$2:$F$1441,5,FALSE),"")</f>
        <v>8.9899999999999995E-4</v>
      </c>
      <c r="BN1098" s="4">
        <f t="shared" si="18"/>
        <v>0</v>
      </c>
    </row>
    <row r="1099" spans="63:66" x14ac:dyDescent="0.6">
      <c r="BK1099" s="4" t="str">
        <f>IFERROR(VLOOKUP(TEXT($B$3,"yyyymmdd")&amp;"_"&amp;TEXT(1088,"0000"),RawData!$A$2:$F$1441,4,FALSE),"")</f>
        <v>01</v>
      </c>
      <c r="BL1099" s="19">
        <f>TIME(0,0,0)+1088/1440</f>
        <v>0.75555555555555554</v>
      </c>
      <c r="BM1099" s="4">
        <f>IFERROR(VLOOKUP(TEXT($B$3,"yyyymmdd")&amp;"_"&amp;TEXT(1088,"0000"),RawData!$A$2:$F$1441,5,FALSE),"")</f>
        <v>5.53E-4</v>
      </c>
      <c r="BN1099" s="4">
        <f t="shared" si="18"/>
        <v>0</v>
      </c>
    </row>
    <row r="1100" spans="63:66" x14ac:dyDescent="0.6">
      <c r="BK1100" s="4" t="str">
        <f>IFERROR(VLOOKUP(TEXT($B$3,"yyyymmdd")&amp;"_"&amp;TEXT(1089,"0000"),RawData!$A$2:$F$1441,4,FALSE),"")</f>
        <v>01</v>
      </c>
      <c r="BL1100" s="19">
        <f>TIME(0,0,0)+1089/1440</f>
        <v>0.75624999999999998</v>
      </c>
      <c r="BM1100" s="4">
        <f>IFERROR(VLOOKUP(TEXT($B$3,"yyyymmdd")&amp;"_"&amp;TEXT(1089,"0000"),RawData!$A$2:$F$1441,5,FALSE),"")</f>
        <v>4.4099999999999999E-4</v>
      </c>
      <c r="BN1100" s="4">
        <f t="shared" si="18"/>
        <v>0</v>
      </c>
    </row>
    <row r="1101" spans="63:66" x14ac:dyDescent="0.6">
      <c r="BK1101" s="4" t="str">
        <f>IFERROR(VLOOKUP(TEXT($B$3,"yyyymmdd")&amp;"_"&amp;TEXT(1090,"0000"),RawData!$A$2:$F$1441,4,FALSE),"")</f>
        <v>01</v>
      </c>
      <c r="BL1101" s="19">
        <f>TIME(0,0,0)+1090/1440</f>
        <v>0.75694444444444442</v>
      </c>
      <c r="BM1101" s="4">
        <f>IFERROR(VLOOKUP(TEXT($B$3,"yyyymmdd")&amp;"_"&amp;TEXT(1090,"0000"),RawData!$A$2:$F$1441,5,FALSE),"")</f>
        <v>0</v>
      </c>
      <c r="BN1101" s="4">
        <f t="shared" si="18"/>
        <v>0</v>
      </c>
    </row>
    <row r="1102" spans="63:66" x14ac:dyDescent="0.6">
      <c r="BK1102" s="4" t="str">
        <f>IFERROR(VLOOKUP(TEXT($B$3,"yyyymmdd")&amp;"_"&amp;TEXT(1091,"0000"),RawData!$A$2:$F$1441,4,FALSE),"")</f>
        <v>01</v>
      </c>
      <c r="BL1102" s="19">
        <f>TIME(0,0,0)+1091/1440</f>
        <v>0.75763888888888886</v>
      </c>
      <c r="BM1102" s="4">
        <f>IFERROR(VLOOKUP(TEXT($B$3,"yyyymmdd")&amp;"_"&amp;TEXT(1091,"0000"),RawData!$A$2:$F$1441,5,FALSE),"")</f>
        <v>6.2699999999999995E-4</v>
      </c>
      <c r="BN1102" s="4">
        <f t="shared" si="18"/>
        <v>1</v>
      </c>
    </row>
    <row r="1103" spans="63:66" x14ac:dyDescent="0.6">
      <c r="BK1103" s="4" t="str">
        <f>IFERROR(VLOOKUP(TEXT($B$3,"yyyymmdd")&amp;"_"&amp;TEXT(1092,"0000"),RawData!$A$2:$F$1441,4,FALSE),"")</f>
        <v>01</v>
      </c>
      <c r="BL1103" s="19">
        <f>TIME(0,0,0)+1092/1440</f>
        <v>0.7583333333333333</v>
      </c>
      <c r="BM1103" s="4">
        <f>IFERROR(VLOOKUP(TEXT($B$3,"yyyymmdd")&amp;"_"&amp;TEXT(1092,"0000"),RawData!$A$2:$F$1441,5,FALSE),"")</f>
        <v>7.2400000000000003E-4</v>
      </c>
      <c r="BN1103" s="4">
        <f t="shared" si="18"/>
        <v>1</v>
      </c>
    </row>
    <row r="1104" spans="63:66" x14ac:dyDescent="0.6">
      <c r="BK1104" s="4" t="str">
        <f>IFERROR(VLOOKUP(TEXT($B$3,"yyyymmdd")&amp;"_"&amp;TEXT(1093,"0000"),RawData!$A$2:$F$1441,4,FALSE),"")</f>
        <v>01</v>
      </c>
      <c r="BL1104" s="19">
        <f>TIME(0,0,0)+1093/1440</f>
        <v>0.75902777777777775</v>
      </c>
      <c r="BM1104" s="4">
        <f>IFERROR(VLOOKUP(TEXT($B$3,"yyyymmdd")&amp;"_"&amp;TEXT(1093,"0000"),RawData!$A$2:$F$1441,5,FALSE),"")</f>
        <v>0</v>
      </c>
      <c r="BN1104" s="4">
        <f t="shared" si="18"/>
        <v>1</v>
      </c>
    </row>
    <row r="1105" spans="63:66" x14ac:dyDescent="0.6">
      <c r="BK1105" s="4" t="str">
        <f>IFERROR(VLOOKUP(TEXT($B$3,"yyyymmdd")&amp;"_"&amp;TEXT(1094,"0000"),RawData!$A$2:$F$1441,4,FALSE),"")</f>
        <v>01</v>
      </c>
      <c r="BL1105" s="19">
        <f>TIME(0,0,0)+1094/1440</f>
        <v>0.75972222222222219</v>
      </c>
      <c r="BM1105" s="4">
        <f>IFERROR(VLOOKUP(TEXT($B$3,"yyyymmdd")&amp;"_"&amp;TEXT(1094,"0000"),RawData!$A$2:$F$1441,5,FALSE),"")</f>
        <v>0</v>
      </c>
      <c r="BN1105" s="4">
        <f t="shared" si="18"/>
        <v>1</v>
      </c>
    </row>
    <row r="1106" spans="63:66" x14ac:dyDescent="0.6">
      <c r="BK1106" s="4" t="str">
        <f>IFERROR(VLOOKUP(TEXT($B$3,"yyyymmdd")&amp;"_"&amp;TEXT(1095,"0000"),RawData!$A$2:$F$1441,4,FALSE),"")</f>
        <v>01</v>
      </c>
      <c r="BL1106" s="19">
        <f>TIME(0,0,0)+1095/1440</f>
        <v>0.76041666666666663</v>
      </c>
      <c r="BM1106" s="4">
        <f>IFERROR(VLOOKUP(TEXT($B$3,"yyyymmdd")&amp;"_"&amp;TEXT(1095,"0000"),RawData!$A$2:$F$1441,5,FALSE),"")</f>
        <v>0</v>
      </c>
      <c r="BN1106" s="4">
        <f t="shared" si="18"/>
        <v>0</v>
      </c>
    </row>
    <row r="1107" spans="63:66" x14ac:dyDescent="0.6">
      <c r="BK1107" s="4" t="str">
        <f>IFERROR(VLOOKUP(TEXT($B$3,"yyyymmdd")&amp;"_"&amp;TEXT(1096,"0000"),RawData!$A$2:$F$1441,4,FALSE),"")</f>
        <v>01</v>
      </c>
      <c r="BL1107" s="19">
        <f>TIME(0,0,0)+1096/1440</f>
        <v>0.76111111111111107</v>
      </c>
      <c r="BM1107" s="4">
        <f>IFERROR(VLOOKUP(TEXT($B$3,"yyyymmdd")&amp;"_"&amp;TEXT(1096,"0000"),RawData!$A$2:$F$1441,5,FALSE),"")</f>
        <v>2.2699999999999999E-4</v>
      </c>
      <c r="BN1107" s="4">
        <f t="shared" si="18"/>
        <v>0</v>
      </c>
    </row>
    <row r="1108" spans="63:66" x14ac:dyDescent="0.6">
      <c r="BK1108" s="4" t="str">
        <f>IFERROR(VLOOKUP(TEXT($B$3,"yyyymmdd")&amp;"_"&amp;TEXT(1097,"0000"),RawData!$A$2:$F$1441,4,FALSE),"")</f>
        <v>01</v>
      </c>
      <c r="BL1108" s="19">
        <f>TIME(0,0,0)+1097/1440</f>
        <v>0.76180555555555551</v>
      </c>
      <c r="BM1108" s="4">
        <f>IFERROR(VLOOKUP(TEXT($B$3,"yyyymmdd")&amp;"_"&amp;TEXT(1097,"0000"),RawData!$A$2:$F$1441,5,FALSE),"")</f>
        <v>3.5E-4</v>
      </c>
      <c r="BN1108" s="4">
        <f t="shared" si="18"/>
        <v>0</v>
      </c>
    </row>
    <row r="1109" spans="63:66" x14ac:dyDescent="0.6">
      <c r="BK1109" s="4" t="str">
        <f>IFERROR(VLOOKUP(TEXT($B$3,"yyyymmdd")&amp;"_"&amp;TEXT(1098,"0000"),RawData!$A$2:$F$1441,4,FALSE),"")</f>
        <v>01</v>
      </c>
      <c r="BL1109" s="19">
        <f>TIME(0,0,0)+1098/1440</f>
        <v>0.76249999999999996</v>
      </c>
      <c r="BM1109" s="4">
        <f>IFERROR(VLOOKUP(TEXT($B$3,"yyyymmdd")&amp;"_"&amp;TEXT(1098,"0000"),RawData!$A$2:$F$1441,5,FALSE),"")</f>
        <v>0</v>
      </c>
      <c r="BN1109" s="4">
        <f t="shared" si="18"/>
        <v>0</v>
      </c>
    </row>
    <row r="1110" spans="63:66" x14ac:dyDescent="0.6">
      <c r="BK1110" s="4" t="str">
        <f>IFERROR(VLOOKUP(TEXT($B$3,"yyyymmdd")&amp;"_"&amp;TEXT(1099,"0000"),RawData!$A$2:$F$1441,4,FALSE),"")</f>
        <v>01</v>
      </c>
      <c r="BL1110" s="19">
        <f>TIME(0,0,0)+1099/1440</f>
        <v>0.7631944444444444</v>
      </c>
      <c r="BM1110" s="4">
        <f>IFERROR(VLOOKUP(TEXT($B$3,"yyyymmdd")&amp;"_"&amp;TEXT(1099,"0000"),RawData!$A$2:$F$1441,5,FALSE),"")</f>
        <v>0</v>
      </c>
      <c r="BN1110" s="4">
        <f t="shared" si="18"/>
        <v>0</v>
      </c>
    </row>
    <row r="1111" spans="63:66" x14ac:dyDescent="0.6">
      <c r="BK1111" s="4" t="str">
        <f>IFERROR(VLOOKUP(TEXT($B$3,"yyyymmdd")&amp;"_"&amp;TEXT(1100,"0000"),RawData!$A$2:$F$1441,4,FALSE),"")</f>
        <v>01</v>
      </c>
      <c r="BL1111" s="19">
        <f>TIME(0,0,0)+1100/1440</f>
        <v>0.76388888888888884</v>
      </c>
      <c r="BM1111" s="4">
        <f>IFERROR(VLOOKUP(TEXT($B$3,"yyyymmdd")&amp;"_"&amp;TEXT(1100,"0000"),RawData!$A$2:$F$1441,5,FALSE),"")</f>
        <v>0</v>
      </c>
      <c r="BN1111" s="4">
        <f t="shared" si="18"/>
        <v>0</v>
      </c>
    </row>
    <row r="1112" spans="63:66" x14ac:dyDescent="0.6">
      <c r="BK1112" s="4" t="str">
        <f>IFERROR(VLOOKUP(TEXT($B$3,"yyyymmdd")&amp;"_"&amp;TEXT(1101,"0000"),RawData!$A$2:$F$1441,4,FALSE),"")</f>
        <v>01</v>
      </c>
      <c r="BL1112" s="19">
        <f>TIME(0,0,0)+1101/1440</f>
        <v>0.76458333333333328</v>
      </c>
      <c r="BM1112" s="4">
        <f>IFERROR(VLOOKUP(TEXT($B$3,"yyyymmdd")&amp;"_"&amp;TEXT(1101,"0000"),RawData!$A$2:$F$1441,5,FALSE),"")</f>
        <v>0</v>
      </c>
      <c r="BN1112" s="4">
        <f t="shared" si="18"/>
        <v>0</v>
      </c>
    </row>
    <row r="1113" spans="63:66" x14ac:dyDescent="0.6">
      <c r="BK1113" s="4" t="str">
        <f>IFERROR(VLOOKUP(TEXT($B$3,"yyyymmdd")&amp;"_"&amp;TEXT(1102,"0000"),RawData!$A$2:$F$1441,4,FALSE),"")</f>
        <v>01</v>
      </c>
      <c r="BL1113" s="19">
        <f>TIME(0,0,0)+1102/1440</f>
        <v>0.76527777777777772</v>
      </c>
      <c r="BM1113" s="4">
        <f>IFERROR(VLOOKUP(TEXT($B$3,"yyyymmdd")&amp;"_"&amp;TEXT(1102,"0000"),RawData!$A$2:$F$1441,5,FALSE),"")</f>
        <v>0</v>
      </c>
      <c r="BN1113" s="4">
        <f t="shared" si="18"/>
        <v>0</v>
      </c>
    </row>
    <row r="1114" spans="63:66" x14ac:dyDescent="0.6">
      <c r="BK1114" s="4" t="str">
        <f>IFERROR(VLOOKUP(TEXT($B$3,"yyyymmdd")&amp;"_"&amp;TEXT(1103,"0000"),RawData!$A$2:$F$1441,4,FALSE),"")</f>
        <v>01</v>
      </c>
      <c r="BL1114" s="19">
        <f>TIME(0,0,0)+1103/1440</f>
        <v>0.76597222222222228</v>
      </c>
      <c r="BM1114" s="4">
        <f>IFERROR(VLOOKUP(TEXT($B$3,"yyyymmdd")&amp;"_"&amp;TEXT(1103,"0000"),RawData!$A$2:$F$1441,5,FALSE),"")</f>
        <v>0</v>
      </c>
      <c r="BN1114" s="4">
        <f t="shared" si="18"/>
        <v>0</v>
      </c>
    </row>
    <row r="1115" spans="63:66" x14ac:dyDescent="0.6">
      <c r="BK1115" s="4" t="str">
        <f>IFERROR(VLOOKUP(TEXT($B$3,"yyyymmdd")&amp;"_"&amp;TEXT(1104,"0000"),RawData!$A$2:$F$1441,4,FALSE),"")</f>
        <v>01</v>
      </c>
      <c r="BL1115" s="19">
        <f>TIME(0,0,0)+1104/1440</f>
        <v>0.76666666666666672</v>
      </c>
      <c r="BM1115" s="4">
        <f>IFERROR(VLOOKUP(TEXT($B$3,"yyyymmdd")&amp;"_"&amp;TEXT(1104,"0000"),RawData!$A$2:$F$1441,5,FALSE),"")</f>
        <v>3.6999999999999999E-4</v>
      </c>
      <c r="BN1115" s="4">
        <f t="shared" si="18"/>
        <v>0</v>
      </c>
    </row>
    <row r="1116" spans="63:66" x14ac:dyDescent="0.6">
      <c r="BK1116" s="4" t="str">
        <f>IFERROR(VLOOKUP(TEXT($B$3,"yyyymmdd")&amp;"_"&amp;TEXT(1105,"0000"),RawData!$A$2:$F$1441,4,FALSE),"")</f>
        <v>01</v>
      </c>
      <c r="BL1116" s="19">
        <f>TIME(0,0,0)+1105/1440</f>
        <v>0.76736111111111116</v>
      </c>
      <c r="BM1116" s="4">
        <f>IFERROR(VLOOKUP(TEXT($B$3,"yyyymmdd")&amp;"_"&amp;TEXT(1105,"0000"),RawData!$A$2:$F$1441,5,FALSE),"")</f>
        <v>4.37E-4</v>
      </c>
      <c r="BN1116" s="4">
        <f t="shared" si="18"/>
        <v>0</v>
      </c>
    </row>
    <row r="1117" spans="63:66" x14ac:dyDescent="0.6">
      <c r="BK1117" s="4" t="str">
        <f>IFERROR(VLOOKUP(TEXT($B$3,"yyyymmdd")&amp;"_"&amp;TEXT(1106,"0000"),RawData!$A$2:$F$1441,4,FALSE),"")</f>
        <v>01</v>
      </c>
      <c r="BL1117" s="19">
        <f>TIME(0,0,0)+1106/1440</f>
        <v>0.7680555555555556</v>
      </c>
      <c r="BM1117" s="4">
        <f>IFERROR(VLOOKUP(TEXT($B$3,"yyyymmdd")&amp;"_"&amp;TEXT(1106,"0000"),RawData!$A$2:$F$1441,5,FALSE),"")</f>
        <v>2.9399999999999999E-4</v>
      </c>
      <c r="BN1117" s="4">
        <f t="shared" si="18"/>
        <v>0</v>
      </c>
    </row>
    <row r="1118" spans="63:66" x14ac:dyDescent="0.6">
      <c r="BK1118" s="4" t="str">
        <f>IFERROR(VLOOKUP(TEXT($B$3,"yyyymmdd")&amp;"_"&amp;TEXT(1107,"0000"),RawData!$A$2:$F$1441,4,FALSE),"")</f>
        <v>01</v>
      </c>
      <c r="BL1118" s="19">
        <f>TIME(0,0,0)+1107/1440</f>
        <v>0.76875000000000004</v>
      </c>
      <c r="BM1118" s="4">
        <f>IFERROR(VLOOKUP(TEXT($B$3,"yyyymmdd")&amp;"_"&amp;TEXT(1107,"0000"),RawData!$A$2:$F$1441,5,FALSE),"")</f>
        <v>0</v>
      </c>
      <c r="BN1118" s="4">
        <f t="shared" si="18"/>
        <v>0</v>
      </c>
    </row>
    <row r="1119" spans="63:66" x14ac:dyDescent="0.6">
      <c r="BK1119" s="4" t="str">
        <f>IFERROR(VLOOKUP(TEXT($B$3,"yyyymmdd")&amp;"_"&amp;TEXT(1108,"0000"),RawData!$A$2:$F$1441,4,FALSE),"")</f>
        <v>01</v>
      </c>
      <c r="BL1119" s="19">
        <f>TIME(0,0,0)+1108/1440</f>
        <v>0.76944444444444449</v>
      </c>
      <c r="BM1119" s="4">
        <f>IFERROR(VLOOKUP(TEXT($B$3,"yyyymmdd")&amp;"_"&amp;TEXT(1108,"0000"),RawData!$A$2:$F$1441,5,FALSE),"")</f>
        <v>0</v>
      </c>
      <c r="BN1119" s="4">
        <f t="shared" si="18"/>
        <v>0</v>
      </c>
    </row>
    <row r="1120" spans="63:66" x14ac:dyDescent="0.6">
      <c r="BK1120" s="4" t="str">
        <f>IFERROR(VLOOKUP(TEXT($B$3,"yyyymmdd")&amp;"_"&amp;TEXT(1109,"0000"),RawData!$A$2:$F$1441,4,FALSE),"")</f>
        <v>01</v>
      </c>
      <c r="BL1120" s="19">
        <f>TIME(0,0,0)+1109/1440</f>
        <v>0.77013888888888893</v>
      </c>
      <c r="BM1120" s="4">
        <f>IFERROR(VLOOKUP(TEXT($B$3,"yyyymmdd")&amp;"_"&amp;TEXT(1109,"0000"),RawData!$A$2:$F$1441,5,FALSE),"")</f>
        <v>2.5599999999999999E-4</v>
      </c>
      <c r="BN1120" s="4">
        <f t="shared" si="18"/>
        <v>0</v>
      </c>
    </row>
    <row r="1121" spans="63:66" x14ac:dyDescent="0.6">
      <c r="BK1121" s="4" t="str">
        <f>IFERROR(VLOOKUP(TEXT($B$3,"yyyymmdd")&amp;"_"&amp;TEXT(1110,"0000"),RawData!$A$2:$F$1441,4,FALSE),"")</f>
        <v>01</v>
      </c>
      <c r="BL1121" s="19">
        <f>TIME(0,0,0)+1110/1440</f>
        <v>0.77083333333333337</v>
      </c>
      <c r="BM1121" s="4">
        <f>IFERROR(VLOOKUP(TEXT($B$3,"yyyymmdd")&amp;"_"&amp;TEXT(1110,"0000"),RawData!$A$2:$F$1441,5,FALSE),"")</f>
        <v>1.3999999999999999E-4</v>
      </c>
      <c r="BN1121" s="4">
        <f t="shared" si="18"/>
        <v>0</v>
      </c>
    </row>
    <row r="1122" spans="63:66" x14ac:dyDescent="0.6">
      <c r="BK1122" s="4" t="str">
        <f>IFERROR(VLOOKUP(TEXT($B$3,"yyyymmdd")&amp;"_"&amp;TEXT(1111,"0000"),RawData!$A$2:$F$1441,4,FALSE),"")</f>
        <v>01</v>
      </c>
      <c r="BL1122" s="19">
        <f>TIME(0,0,0)+1111/1440</f>
        <v>0.77152777777777781</v>
      </c>
      <c r="BM1122" s="4">
        <f>IFERROR(VLOOKUP(TEXT($B$3,"yyyymmdd")&amp;"_"&amp;TEXT(1111,"0000"),RawData!$A$2:$F$1441,5,FALSE),"")</f>
        <v>3.5799999999999997E-4</v>
      </c>
      <c r="BN1122" s="4">
        <f t="shared" si="18"/>
        <v>0</v>
      </c>
    </row>
    <row r="1123" spans="63:66" x14ac:dyDescent="0.6">
      <c r="BK1123" s="4" t="str">
        <f>IFERROR(VLOOKUP(TEXT($B$3,"yyyymmdd")&amp;"_"&amp;TEXT(1112,"0000"),RawData!$A$2:$F$1441,4,FALSE),"")</f>
        <v>01</v>
      </c>
      <c r="BL1123" s="19">
        <f>TIME(0,0,0)+1112/1440</f>
        <v>0.77222222222222225</v>
      </c>
      <c r="BM1123" s="4">
        <f>IFERROR(VLOOKUP(TEXT($B$3,"yyyymmdd")&amp;"_"&amp;TEXT(1112,"0000"),RawData!$A$2:$F$1441,5,FALSE),"")</f>
        <v>5.2499999999999997E-4</v>
      </c>
      <c r="BN1123" s="4">
        <f t="shared" si="18"/>
        <v>0</v>
      </c>
    </row>
    <row r="1124" spans="63:66" x14ac:dyDescent="0.6">
      <c r="BK1124" s="4" t="str">
        <f>IFERROR(VLOOKUP(TEXT($B$3,"yyyymmdd")&amp;"_"&amp;TEXT(1113,"0000"),RawData!$A$2:$F$1441,4,FALSE),"")</f>
        <v>01</v>
      </c>
      <c r="BL1124" s="19">
        <f>TIME(0,0,0)+1113/1440</f>
        <v>0.7729166666666667</v>
      </c>
      <c r="BM1124" s="4">
        <f>IFERROR(VLOOKUP(TEXT($B$3,"yyyymmdd")&amp;"_"&amp;TEXT(1113,"0000"),RawData!$A$2:$F$1441,5,FALSE),"")</f>
        <v>4.35E-4</v>
      </c>
      <c r="BN1124" s="4">
        <f t="shared" si="18"/>
        <v>0</v>
      </c>
    </row>
    <row r="1125" spans="63:66" x14ac:dyDescent="0.6">
      <c r="BK1125" s="4" t="str">
        <f>IFERROR(VLOOKUP(TEXT($B$3,"yyyymmdd")&amp;"_"&amp;TEXT(1114,"0000"),RawData!$A$2:$F$1441,4,FALSE),"")</f>
        <v>01</v>
      </c>
      <c r="BL1125" s="19">
        <f>TIME(0,0,0)+1114/1440</f>
        <v>0.77361111111111114</v>
      </c>
      <c r="BM1125" s="4">
        <f>IFERROR(VLOOKUP(TEXT($B$3,"yyyymmdd")&amp;"_"&amp;TEXT(1114,"0000"),RawData!$A$2:$F$1441,5,FALSE),"")</f>
        <v>0</v>
      </c>
      <c r="BN1125" s="4">
        <f t="shared" si="18"/>
        <v>0</v>
      </c>
    </row>
    <row r="1126" spans="63:66" x14ac:dyDescent="0.6">
      <c r="BK1126" s="4" t="str">
        <f>IFERROR(VLOOKUP(TEXT($B$3,"yyyymmdd")&amp;"_"&amp;TEXT(1115,"0000"),RawData!$A$2:$F$1441,4,FALSE),"")</f>
        <v>01</v>
      </c>
      <c r="BL1126" s="19">
        <f>TIME(0,0,0)+1115/1440</f>
        <v>0.77430555555555558</v>
      </c>
      <c r="BM1126" s="4">
        <f>IFERROR(VLOOKUP(TEXT($B$3,"yyyymmdd")&amp;"_"&amp;TEXT(1115,"0000"),RawData!$A$2:$F$1441,5,FALSE),"")</f>
        <v>5.3300000000000005E-4</v>
      </c>
      <c r="BN1126" s="4">
        <f t="shared" si="18"/>
        <v>0</v>
      </c>
    </row>
    <row r="1127" spans="63:66" x14ac:dyDescent="0.6">
      <c r="BK1127" s="4" t="str">
        <f>IFERROR(VLOOKUP(TEXT($B$3,"yyyymmdd")&amp;"_"&amp;TEXT(1116,"0000"),RawData!$A$2:$F$1441,4,FALSE),"")</f>
        <v>01</v>
      </c>
      <c r="BL1127" s="19">
        <f>TIME(0,0,0)+1116/1440</f>
        <v>0.77500000000000002</v>
      </c>
      <c r="BM1127" s="4">
        <f>IFERROR(VLOOKUP(TEXT($B$3,"yyyymmdd")&amp;"_"&amp;TEXT(1116,"0000"),RawData!$A$2:$F$1441,5,FALSE),"")</f>
        <v>2.7700000000000001E-4</v>
      </c>
      <c r="BN1127" s="4">
        <f t="shared" si="18"/>
        <v>0</v>
      </c>
    </row>
    <row r="1128" spans="63:66" x14ac:dyDescent="0.6">
      <c r="BK1128" s="4" t="str">
        <f>IFERROR(VLOOKUP(TEXT($B$3,"yyyymmdd")&amp;"_"&amp;TEXT(1117,"0000"),RawData!$A$2:$F$1441,4,FALSE),"")</f>
        <v>01</v>
      </c>
      <c r="BL1128" s="19">
        <f>TIME(0,0,0)+1117/1440</f>
        <v>0.77569444444444446</v>
      </c>
      <c r="BM1128" s="4">
        <f>IFERROR(VLOOKUP(TEXT($B$3,"yyyymmdd")&amp;"_"&amp;TEXT(1117,"0000"),RawData!$A$2:$F$1441,5,FALSE),"")</f>
        <v>5.1999999999999995E-4</v>
      </c>
      <c r="BN1128" s="4">
        <f t="shared" si="18"/>
        <v>0</v>
      </c>
    </row>
    <row r="1129" spans="63:66" x14ac:dyDescent="0.6">
      <c r="BK1129" s="4" t="str">
        <f>IFERROR(VLOOKUP(TEXT($B$3,"yyyymmdd")&amp;"_"&amp;TEXT(1118,"0000"),RawData!$A$2:$F$1441,4,FALSE),"")</f>
        <v>01</v>
      </c>
      <c r="BL1129" s="19">
        <f>TIME(0,0,0)+1118/1440</f>
        <v>0.77638888888888891</v>
      </c>
      <c r="BM1129" s="4">
        <f>IFERROR(VLOOKUP(TEXT($B$3,"yyyymmdd")&amp;"_"&amp;TEXT(1118,"0000"),RawData!$A$2:$F$1441,5,FALSE),"")</f>
        <v>5.4100000000000003E-4</v>
      </c>
      <c r="BN1129" s="4">
        <f t="shared" si="18"/>
        <v>0</v>
      </c>
    </row>
    <row r="1130" spans="63:66" x14ac:dyDescent="0.6">
      <c r="BK1130" s="4" t="str">
        <f>IFERROR(VLOOKUP(TEXT($B$3,"yyyymmdd")&amp;"_"&amp;TEXT(1119,"0000"),RawData!$A$2:$F$1441,4,FALSE),"")</f>
        <v>01</v>
      </c>
      <c r="BL1130" s="19">
        <f>TIME(0,0,0)+1119/1440</f>
        <v>0.77708333333333335</v>
      </c>
      <c r="BM1130" s="4">
        <f>IFERROR(VLOOKUP(TEXT($B$3,"yyyymmdd")&amp;"_"&amp;TEXT(1119,"0000"),RawData!$A$2:$F$1441,5,FALSE),"")</f>
        <v>7.5100000000000004E-4</v>
      </c>
      <c r="BN1130" s="4">
        <f t="shared" si="18"/>
        <v>0</v>
      </c>
    </row>
    <row r="1131" spans="63:66" x14ac:dyDescent="0.6">
      <c r="BK1131" s="4" t="str">
        <f>IFERROR(VLOOKUP(TEXT($B$3,"yyyymmdd")&amp;"_"&amp;TEXT(1120,"0000"),RawData!$A$2:$F$1441,4,FALSE),"")</f>
        <v>01</v>
      </c>
      <c r="BL1131" s="19">
        <f>TIME(0,0,0)+1120/1440</f>
        <v>0.77777777777777779</v>
      </c>
      <c r="BM1131" s="4">
        <f>IFERROR(VLOOKUP(TEXT($B$3,"yyyymmdd")&amp;"_"&amp;TEXT(1120,"0000"),RawData!$A$2:$F$1441,5,FALSE),"")</f>
        <v>0</v>
      </c>
      <c r="BN1131" s="4">
        <f t="shared" si="18"/>
        <v>0</v>
      </c>
    </row>
    <row r="1132" spans="63:66" x14ac:dyDescent="0.6">
      <c r="BK1132" s="4" t="str">
        <f>IFERROR(VLOOKUP(TEXT($B$3,"yyyymmdd")&amp;"_"&amp;TEXT(1121,"0000"),RawData!$A$2:$F$1441,4,FALSE),"")</f>
        <v>01</v>
      </c>
      <c r="BL1132" s="19">
        <f>TIME(0,0,0)+1121/1440</f>
        <v>0.77847222222222223</v>
      </c>
      <c r="BM1132" s="4">
        <f>IFERROR(VLOOKUP(TEXT($B$3,"yyyymmdd")&amp;"_"&amp;TEXT(1121,"0000"),RawData!$A$2:$F$1441,5,FALSE),"")</f>
        <v>5.1800000000000001E-4</v>
      </c>
      <c r="BN1132" s="4">
        <f t="shared" si="18"/>
        <v>0</v>
      </c>
    </row>
    <row r="1133" spans="63:66" x14ac:dyDescent="0.6">
      <c r="BK1133" s="4" t="str">
        <f>IFERROR(VLOOKUP(TEXT($B$3,"yyyymmdd")&amp;"_"&amp;TEXT(1122,"0000"),RawData!$A$2:$F$1441,4,FALSE),"")</f>
        <v>01</v>
      </c>
      <c r="BL1133" s="19">
        <f>TIME(0,0,0)+1122/1440</f>
        <v>0.77916666666666667</v>
      </c>
      <c r="BM1133" s="4">
        <f>IFERROR(VLOOKUP(TEXT($B$3,"yyyymmdd")&amp;"_"&amp;TEXT(1122,"0000"),RawData!$A$2:$F$1441,5,FALSE),"")</f>
        <v>5.8600000000000004E-4</v>
      </c>
      <c r="BN1133" s="4">
        <f t="shared" si="18"/>
        <v>0</v>
      </c>
    </row>
    <row r="1134" spans="63:66" x14ac:dyDescent="0.6">
      <c r="BK1134" s="4" t="str">
        <f>IFERROR(VLOOKUP(TEXT($B$3,"yyyymmdd")&amp;"_"&amp;TEXT(1123,"0000"),RawData!$A$2:$F$1441,4,FALSE),"")</f>
        <v>01</v>
      </c>
      <c r="BL1134" s="19">
        <f>TIME(0,0,0)+1123/1440</f>
        <v>0.77986111111111112</v>
      </c>
      <c r="BM1134" s="4">
        <f>IFERROR(VLOOKUP(TEXT($B$3,"yyyymmdd")&amp;"_"&amp;TEXT(1123,"0000"),RawData!$A$2:$F$1441,5,FALSE),"")</f>
        <v>2.7500000000000002E-4</v>
      </c>
      <c r="BN1134" s="4">
        <f t="shared" si="18"/>
        <v>0</v>
      </c>
    </row>
    <row r="1135" spans="63:66" x14ac:dyDescent="0.6">
      <c r="BK1135" s="4" t="str">
        <f>IFERROR(VLOOKUP(TEXT($B$3,"yyyymmdd")&amp;"_"&amp;TEXT(1124,"0000"),RawData!$A$2:$F$1441,4,FALSE),"")</f>
        <v>01</v>
      </c>
      <c r="BL1135" s="19">
        <f>TIME(0,0,0)+1124/1440</f>
        <v>0.78055555555555556</v>
      </c>
      <c r="BM1135" s="4">
        <f>IFERROR(VLOOKUP(TEXT($B$3,"yyyymmdd")&amp;"_"&amp;TEXT(1124,"0000"),RawData!$A$2:$F$1441,5,FALSE),"")</f>
        <v>0</v>
      </c>
      <c r="BN1135" s="4">
        <f t="shared" si="18"/>
        <v>0</v>
      </c>
    </row>
    <row r="1136" spans="63:66" x14ac:dyDescent="0.6">
      <c r="BK1136" s="4" t="str">
        <f>IFERROR(VLOOKUP(TEXT($B$3,"yyyymmdd")&amp;"_"&amp;TEXT(1125,"0000"),RawData!$A$2:$F$1441,4,FALSE),"")</f>
        <v>01</v>
      </c>
      <c r="BL1136" s="19">
        <f>TIME(0,0,0)+1125/1440</f>
        <v>0.78125</v>
      </c>
      <c r="BM1136" s="4">
        <f>IFERROR(VLOOKUP(TEXT($B$3,"yyyymmdd")&amp;"_"&amp;TEXT(1125,"0000"),RawData!$A$2:$F$1441,5,FALSE),"")</f>
        <v>0</v>
      </c>
      <c r="BN1136" s="4">
        <f t="shared" ref="BN1136:BN1199" si="19">IF(BK1130="","",IF(BK1130&lt;&gt;BK1129,1,0))</f>
        <v>0</v>
      </c>
    </row>
    <row r="1137" spans="63:66" x14ac:dyDescent="0.6">
      <c r="BK1137" s="4" t="str">
        <f>IFERROR(VLOOKUP(TEXT($B$3,"yyyymmdd")&amp;"_"&amp;TEXT(1126,"0000"),RawData!$A$2:$F$1441,4,FALSE),"")</f>
        <v>01</v>
      </c>
      <c r="BL1137" s="19">
        <f>TIME(0,0,0)+1126/1440</f>
        <v>0.78194444444444444</v>
      </c>
      <c r="BM1137" s="4">
        <f>IFERROR(VLOOKUP(TEXT($B$3,"yyyymmdd")&amp;"_"&amp;TEXT(1126,"0000"),RawData!$A$2:$F$1441,5,FALSE),"")</f>
        <v>0</v>
      </c>
      <c r="BN1137" s="4">
        <f t="shared" si="19"/>
        <v>0</v>
      </c>
    </row>
    <row r="1138" spans="63:66" x14ac:dyDescent="0.6">
      <c r="BK1138" s="4" t="str">
        <f>IFERROR(VLOOKUP(TEXT($B$3,"yyyymmdd")&amp;"_"&amp;TEXT(1127,"0000"),RawData!$A$2:$F$1441,4,FALSE),"")</f>
        <v>01</v>
      </c>
      <c r="BL1138" s="19">
        <f>TIME(0,0,0)+1127/1440</f>
        <v>0.78263888888888888</v>
      </c>
      <c r="BM1138" s="4">
        <f>IFERROR(VLOOKUP(TEXT($B$3,"yyyymmdd")&amp;"_"&amp;TEXT(1127,"0000"),RawData!$A$2:$F$1441,5,FALSE),"")</f>
        <v>6.0300000000000002E-4</v>
      </c>
      <c r="BN1138" s="4">
        <f t="shared" si="19"/>
        <v>0</v>
      </c>
    </row>
    <row r="1139" spans="63:66" x14ac:dyDescent="0.6">
      <c r="BK1139" s="4" t="str">
        <f>IFERROR(VLOOKUP(TEXT($B$3,"yyyymmdd")&amp;"_"&amp;TEXT(1128,"0000"),RawData!$A$2:$F$1441,4,FALSE),"")</f>
        <v>01</v>
      </c>
      <c r="BL1139" s="19">
        <f>TIME(0,0,0)+1128/1440</f>
        <v>0.78333333333333333</v>
      </c>
      <c r="BM1139" s="4">
        <f>IFERROR(VLOOKUP(TEXT($B$3,"yyyymmdd")&amp;"_"&amp;TEXT(1128,"0000"),RawData!$A$2:$F$1441,5,FALSE),"")</f>
        <v>0</v>
      </c>
      <c r="BN1139" s="4">
        <f t="shared" si="19"/>
        <v>0</v>
      </c>
    </row>
    <row r="1140" spans="63:66" x14ac:dyDescent="0.6">
      <c r="BK1140" s="4" t="str">
        <f>IFERROR(VLOOKUP(TEXT($B$3,"yyyymmdd")&amp;"_"&amp;TEXT(1129,"0000"),RawData!$A$2:$F$1441,4,FALSE),"")</f>
        <v>01</v>
      </c>
      <c r="BL1140" s="19">
        <f>TIME(0,0,0)+1129/1440</f>
        <v>0.78402777777777777</v>
      </c>
      <c r="BM1140" s="4">
        <f>IFERROR(VLOOKUP(TEXT($B$3,"yyyymmdd")&amp;"_"&amp;TEXT(1129,"0000"),RawData!$A$2:$F$1441,5,FALSE),"")</f>
        <v>2.5500000000000002E-4</v>
      </c>
      <c r="BN1140" s="4">
        <f t="shared" si="19"/>
        <v>0</v>
      </c>
    </row>
    <row r="1141" spans="63:66" x14ac:dyDescent="0.6">
      <c r="BK1141" s="4" t="str">
        <f>IFERROR(VLOOKUP(TEXT($B$3,"yyyymmdd")&amp;"_"&amp;TEXT(1130,"0000"),RawData!$A$2:$F$1441,4,FALSE),"")</f>
        <v>01</v>
      </c>
      <c r="BL1141" s="19">
        <f>TIME(0,0,0)+1130/1440</f>
        <v>0.78472222222222221</v>
      </c>
      <c r="BM1141" s="4">
        <f>IFERROR(VLOOKUP(TEXT($B$3,"yyyymmdd")&amp;"_"&amp;TEXT(1130,"0000"),RawData!$A$2:$F$1441,5,FALSE),"")</f>
        <v>3.5E-4</v>
      </c>
      <c r="BN1141" s="4">
        <f t="shared" si="19"/>
        <v>0</v>
      </c>
    </row>
    <row r="1142" spans="63:66" x14ac:dyDescent="0.6">
      <c r="BK1142" s="4" t="str">
        <f>IFERROR(VLOOKUP(TEXT($B$3,"yyyymmdd")&amp;"_"&amp;TEXT(1131,"0000"),RawData!$A$2:$F$1441,4,FALSE),"")</f>
        <v>01</v>
      </c>
      <c r="BL1142" s="19">
        <f>TIME(0,0,0)+1131/1440</f>
        <v>0.78541666666666665</v>
      </c>
      <c r="BM1142" s="4">
        <f>IFERROR(VLOOKUP(TEXT($B$3,"yyyymmdd")&amp;"_"&amp;TEXT(1131,"0000"),RawData!$A$2:$F$1441,5,FALSE),"")</f>
        <v>0</v>
      </c>
      <c r="BN1142" s="4">
        <f t="shared" si="19"/>
        <v>0</v>
      </c>
    </row>
    <row r="1143" spans="63:66" x14ac:dyDescent="0.6">
      <c r="BK1143" s="4" t="str">
        <f>IFERROR(VLOOKUP(TEXT($B$3,"yyyymmdd")&amp;"_"&amp;TEXT(1132,"0000"),RawData!$A$2:$F$1441,4,FALSE),"")</f>
        <v>01</v>
      </c>
      <c r="BL1143" s="19">
        <f>TIME(0,0,0)+1132/1440</f>
        <v>0.78611111111111109</v>
      </c>
      <c r="BM1143" s="4">
        <f>IFERROR(VLOOKUP(TEXT($B$3,"yyyymmdd")&amp;"_"&amp;TEXT(1132,"0000"),RawData!$A$2:$F$1441,5,FALSE),"")</f>
        <v>9.3400000000000004E-4</v>
      </c>
      <c r="BN1143" s="4">
        <f t="shared" si="19"/>
        <v>0</v>
      </c>
    </row>
    <row r="1144" spans="63:66" x14ac:dyDescent="0.6">
      <c r="BK1144" s="4" t="str">
        <f>IFERROR(VLOOKUP(TEXT($B$3,"yyyymmdd")&amp;"_"&amp;TEXT(1133,"0000"),RawData!$A$2:$F$1441,4,FALSE),"")</f>
        <v>01</v>
      </c>
      <c r="BL1144" s="19">
        <f>TIME(0,0,0)+1133/1440</f>
        <v>0.78680555555555554</v>
      </c>
      <c r="BM1144" s="4">
        <f>IFERROR(VLOOKUP(TEXT($B$3,"yyyymmdd")&amp;"_"&amp;TEXT(1133,"0000"),RawData!$A$2:$F$1441,5,FALSE),"")</f>
        <v>7.3899999999999997E-4</v>
      </c>
      <c r="BN1144" s="4">
        <f t="shared" si="19"/>
        <v>0</v>
      </c>
    </row>
    <row r="1145" spans="63:66" x14ac:dyDescent="0.6">
      <c r="BK1145" s="4" t="str">
        <f>IFERROR(VLOOKUP(TEXT($B$3,"yyyymmdd")&amp;"_"&amp;TEXT(1134,"0000"),RawData!$A$2:$F$1441,4,FALSE),"")</f>
        <v>01</v>
      </c>
      <c r="BL1145" s="19">
        <f>TIME(0,0,0)+1134/1440</f>
        <v>0.78749999999999998</v>
      </c>
      <c r="BM1145" s="4">
        <f>IFERROR(VLOOKUP(TEXT($B$3,"yyyymmdd")&amp;"_"&amp;TEXT(1134,"0000"),RawData!$A$2:$F$1441,5,FALSE),"")</f>
        <v>0</v>
      </c>
      <c r="BN1145" s="4">
        <f t="shared" si="19"/>
        <v>0</v>
      </c>
    </row>
    <row r="1146" spans="63:66" x14ac:dyDescent="0.6">
      <c r="BK1146" s="4" t="str">
        <f>IFERROR(VLOOKUP(TEXT($B$3,"yyyymmdd")&amp;"_"&amp;TEXT(1135,"0000"),RawData!$A$2:$F$1441,4,FALSE),"")</f>
        <v>01</v>
      </c>
      <c r="BL1146" s="19">
        <f>TIME(0,0,0)+1135/1440</f>
        <v>0.78819444444444442</v>
      </c>
      <c r="BM1146" s="4">
        <f>IFERROR(VLOOKUP(TEXT($B$3,"yyyymmdd")&amp;"_"&amp;TEXT(1135,"0000"),RawData!$A$2:$F$1441,5,FALSE),"")</f>
        <v>0</v>
      </c>
      <c r="BN1146" s="4">
        <f t="shared" si="19"/>
        <v>0</v>
      </c>
    </row>
    <row r="1147" spans="63:66" x14ac:dyDescent="0.6">
      <c r="BK1147" s="4" t="str">
        <f>IFERROR(VLOOKUP(TEXT($B$3,"yyyymmdd")&amp;"_"&amp;TEXT(1136,"0000"),RawData!$A$2:$F$1441,4,FALSE),"")</f>
        <v>01</v>
      </c>
      <c r="BL1147" s="19">
        <f>TIME(0,0,0)+1136/1440</f>
        <v>0.78888888888888886</v>
      </c>
      <c r="BM1147" s="4">
        <f>IFERROR(VLOOKUP(TEXT($B$3,"yyyymmdd")&amp;"_"&amp;TEXT(1136,"0000"),RawData!$A$2:$F$1441,5,FALSE),"")</f>
        <v>1.111E-3</v>
      </c>
      <c r="BN1147" s="4">
        <f t="shared" si="19"/>
        <v>0</v>
      </c>
    </row>
    <row r="1148" spans="63:66" x14ac:dyDescent="0.6">
      <c r="BK1148" s="4" t="str">
        <f>IFERROR(VLOOKUP(TEXT($B$3,"yyyymmdd")&amp;"_"&amp;TEXT(1137,"0000"),RawData!$A$2:$F$1441,4,FALSE),"")</f>
        <v>01</v>
      </c>
      <c r="BL1148" s="19">
        <f>TIME(0,0,0)+1137/1440</f>
        <v>0.7895833333333333</v>
      </c>
      <c r="BM1148" s="4">
        <f>IFERROR(VLOOKUP(TEXT($B$3,"yyyymmdd")&amp;"_"&amp;TEXT(1137,"0000"),RawData!$A$2:$F$1441,5,FALSE),"")</f>
        <v>7.9100000000000004E-4</v>
      </c>
      <c r="BN1148" s="4">
        <f t="shared" si="19"/>
        <v>0</v>
      </c>
    </row>
    <row r="1149" spans="63:66" x14ac:dyDescent="0.6">
      <c r="BK1149" s="4" t="str">
        <f>IFERROR(VLOOKUP(TEXT($B$3,"yyyymmdd")&amp;"_"&amp;TEXT(1138,"0000"),RawData!$A$2:$F$1441,4,FALSE),"")</f>
        <v>01</v>
      </c>
      <c r="BL1149" s="19">
        <f>TIME(0,0,0)+1138/1440</f>
        <v>0.79027777777777775</v>
      </c>
      <c r="BM1149" s="4">
        <f>IFERROR(VLOOKUP(TEXT($B$3,"yyyymmdd")&amp;"_"&amp;TEXT(1138,"0000"),RawData!$A$2:$F$1441,5,FALSE),"")</f>
        <v>4.3300000000000001E-4</v>
      </c>
      <c r="BN1149" s="4">
        <f t="shared" si="19"/>
        <v>0</v>
      </c>
    </row>
    <row r="1150" spans="63:66" x14ac:dyDescent="0.6">
      <c r="BK1150" s="4" t="str">
        <f>IFERROR(VLOOKUP(TEXT($B$3,"yyyymmdd")&amp;"_"&amp;TEXT(1139,"0000"),RawData!$A$2:$F$1441,4,FALSE),"")</f>
        <v>01</v>
      </c>
      <c r="BL1150" s="19">
        <f>TIME(0,0,0)+1139/1440</f>
        <v>0.79097222222222219</v>
      </c>
      <c r="BM1150" s="4">
        <f>IFERROR(VLOOKUP(TEXT($B$3,"yyyymmdd")&amp;"_"&amp;TEXT(1139,"0000"),RawData!$A$2:$F$1441,5,FALSE),"")</f>
        <v>0</v>
      </c>
      <c r="BN1150" s="4">
        <f t="shared" si="19"/>
        <v>0</v>
      </c>
    </row>
    <row r="1151" spans="63:66" x14ac:dyDescent="0.6">
      <c r="BK1151" s="4" t="str">
        <f>IFERROR(VLOOKUP(TEXT($B$3,"yyyymmdd")&amp;"_"&amp;TEXT(1140,"0000"),RawData!$A$2:$F$1441,4,FALSE),"")</f>
        <v>0A</v>
      </c>
      <c r="BL1151" s="19">
        <f>TIME(0,0,0)+1140/1440</f>
        <v>0.79166666666666663</v>
      </c>
      <c r="BM1151" s="4">
        <f>IFERROR(VLOOKUP(TEXT($B$3,"yyyymmdd")&amp;"_"&amp;TEXT(1140,"0000"),RawData!$A$2:$F$1441,5,FALSE),"")</f>
        <v>0</v>
      </c>
      <c r="BN1151" s="4">
        <f t="shared" si="19"/>
        <v>0</v>
      </c>
    </row>
    <row r="1152" spans="63:66" x14ac:dyDescent="0.6">
      <c r="BK1152" s="4" t="str">
        <f>IFERROR(VLOOKUP(TEXT($B$3,"yyyymmdd")&amp;"_"&amp;TEXT(1141,"0000"),RawData!$A$2:$F$1441,4,FALSE),"")</f>
        <v>0A</v>
      </c>
      <c r="BL1152" s="19">
        <f>TIME(0,0,0)+1141/1440</f>
        <v>0.79236111111111107</v>
      </c>
      <c r="BM1152" s="4">
        <f>IFERROR(VLOOKUP(TEXT($B$3,"yyyymmdd")&amp;"_"&amp;TEXT(1141,"0000"),RawData!$A$2:$F$1441,5,FALSE),"")</f>
        <v>0</v>
      </c>
      <c r="BN1152" s="4">
        <f t="shared" si="19"/>
        <v>0</v>
      </c>
    </row>
    <row r="1153" spans="63:66" x14ac:dyDescent="0.6">
      <c r="BK1153" s="4" t="str">
        <f>IFERROR(VLOOKUP(TEXT($B$3,"yyyymmdd")&amp;"_"&amp;TEXT(1142,"0000"),RawData!$A$2:$F$1441,4,FALSE),"")</f>
        <v>01</v>
      </c>
      <c r="BL1153" s="19">
        <f>TIME(0,0,0)+1142/1440</f>
        <v>0.79305555555555551</v>
      </c>
      <c r="BM1153" s="4">
        <f>IFERROR(VLOOKUP(TEXT($B$3,"yyyymmdd")&amp;"_"&amp;TEXT(1142,"0000"),RawData!$A$2:$F$1441,5,FALSE),"")</f>
        <v>4.7899999999999999E-4</v>
      </c>
      <c r="BN1153" s="4">
        <f t="shared" si="19"/>
        <v>0</v>
      </c>
    </row>
    <row r="1154" spans="63:66" x14ac:dyDescent="0.6">
      <c r="BK1154" s="4" t="str">
        <f>IFERROR(VLOOKUP(TEXT($B$3,"yyyymmdd")&amp;"_"&amp;TEXT(1143,"0000"),RawData!$A$2:$F$1441,4,FALSE),"")</f>
        <v>01</v>
      </c>
      <c r="BL1154" s="19">
        <f>TIME(0,0,0)+1143/1440</f>
        <v>0.79374999999999996</v>
      </c>
      <c r="BM1154" s="4">
        <f>IFERROR(VLOOKUP(TEXT($B$3,"yyyymmdd")&amp;"_"&amp;TEXT(1143,"0000"),RawData!$A$2:$F$1441,5,FALSE),"")</f>
        <v>0</v>
      </c>
      <c r="BN1154" s="4">
        <f t="shared" si="19"/>
        <v>0</v>
      </c>
    </row>
    <row r="1155" spans="63:66" x14ac:dyDescent="0.6">
      <c r="BK1155" s="4" t="str">
        <f>IFERROR(VLOOKUP(TEXT($B$3,"yyyymmdd")&amp;"_"&amp;TEXT(1144,"0000"),RawData!$A$2:$F$1441,4,FALSE),"")</f>
        <v>01</v>
      </c>
      <c r="BL1155" s="19">
        <f>TIME(0,0,0)+1144/1440</f>
        <v>0.7944444444444444</v>
      </c>
      <c r="BM1155" s="4">
        <f>IFERROR(VLOOKUP(TEXT($B$3,"yyyymmdd")&amp;"_"&amp;TEXT(1144,"0000"),RawData!$A$2:$F$1441,5,FALSE),"")</f>
        <v>2.4600000000000002E-4</v>
      </c>
      <c r="BN1155" s="4">
        <f t="shared" si="19"/>
        <v>0</v>
      </c>
    </row>
    <row r="1156" spans="63:66" x14ac:dyDescent="0.6">
      <c r="BK1156" s="4" t="str">
        <f>IFERROR(VLOOKUP(TEXT($B$3,"yyyymmdd")&amp;"_"&amp;TEXT(1145,"0000"),RawData!$A$2:$F$1441,4,FALSE),"")</f>
        <v>01</v>
      </c>
      <c r="BL1156" s="19">
        <f>TIME(0,0,0)+1145/1440</f>
        <v>0.79513888888888884</v>
      </c>
      <c r="BM1156" s="4">
        <f>IFERROR(VLOOKUP(TEXT($B$3,"yyyymmdd")&amp;"_"&amp;TEXT(1145,"0000"),RawData!$A$2:$F$1441,5,FALSE),"")</f>
        <v>4.4299999999999998E-4</v>
      </c>
      <c r="BN1156" s="4">
        <f t="shared" si="19"/>
        <v>0</v>
      </c>
    </row>
    <row r="1157" spans="63:66" x14ac:dyDescent="0.6">
      <c r="BK1157" s="4" t="str">
        <f>IFERROR(VLOOKUP(TEXT($B$3,"yyyymmdd")&amp;"_"&amp;TEXT(1146,"0000"),RawData!$A$2:$F$1441,4,FALSE),"")</f>
        <v>01</v>
      </c>
      <c r="BL1157" s="19">
        <f>TIME(0,0,0)+1146/1440</f>
        <v>0.79583333333333328</v>
      </c>
      <c r="BM1157" s="4">
        <f>IFERROR(VLOOKUP(TEXT($B$3,"yyyymmdd")&amp;"_"&amp;TEXT(1146,"0000"),RawData!$A$2:$F$1441,5,FALSE),"")</f>
        <v>2.6400000000000002E-4</v>
      </c>
      <c r="BN1157" s="4">
        <f t="shared" si="19"/>
        <v>1</v>
      </c>
    </row>
    <row r="1158" spans="63:66" x14ac:dyDescent="0.6">
      <c r="BK1158" s="4" t="str">
        <f>IFERROR(VLOOKUP(TEXT($B$3,"yyyymmdd")&amp;"_"&amp;TEXT(1147,"0000"),RawData!$A$2:$F$1441,4,FALSE),"")</f>
        <v>01</v>
      </c>
      <c r="BL1158" s="19">
        <f>TIME(0,0,0)+1147/1440</f>
        <v>0.79652777777777772</v>
      </c>
      <c r="BM1158" s="4">
        <f>IFERROR(VLOOKUP(TEXT($B$3,"yyyymmdd")&amp;"_"&amp;TEXT(1147,"0000"),RawData!$A$2:$F$1441,5,FALSE),"")</f>
        <v>3.6200000000000002E-4</v>
      </c>
      <c r="BN1158" s="4">
        <f t="shared" si="19"/>
        <v>0</v>
      </c>
    </row>
    <row r="1159" spans="63:66" x14ac:dyDescent="0.6">
      <c r="BK1159" s="4" t="str">
        <f>IFERROR(VLOOKUP(TEXT($B$3,"yyyymmdd")&amp;"_"&amp;TEXT(1148,"0000"),RawData!$A$2:$F$1441,4,FALSE),"")</f>
        <v>01</v>
      </c>
      <c r="BL1159" s="19">
        <f>TIME(0,0,0)+1148/1440</f>
        <v>0.79722222222222228</v>
      </c>
      <c r="BM1159" s="4">
        <f>IFERROR(VLOOKUP(TEXT($B$3,"yyyymmdd")&amp;"_"&amp;TEXT(1148,"0000"),RawData!$A$2:$F$1441,5,FALSE),"")</f>
        <v>0</v>
      </c>
      <c r="BN1159" s="4">
        <f t="shared" si="19"/>
        <v>1</v>
      </c>
    </row>
    <row r="1160" spans="63:66" x14ac:dyDescent="0.6">
      <c r="BK1160" s="4" t="str">
        <f>IFERROR(VLOOKUP(TEXT($B$3,"yyyymmdd")&amp;"_"&amp;TEXT(1149,"0000"),RawData!$A$2:$F$1441,4,FALSE),"")</f>
        <v>01</v>
      </c>
      <c r="BL1160" s="19">
        <f>TIME(0,0,0)+1149/1440</f>
        <v>0.79791666666666672</v>
      </c>
      <c r="BM1160" s="4">
        <f>IFERROR(VLOOKUP(TEXT($B$3,"yyyymmdd")&amp;"_"&amp;TEXT(1149,"0000"),RawData!$A$2:$F$1441,5,FALSE),"")</f>
        <v>0</v>
      </c>
      <c r="BN1160" s="4">
        <f t="shared" si="19"/>
        <v>0</v>
      </c>
    </row>
    <row r="1161" spans="63:66" x14ac:dyDescent="0.6">
      <c r="BK1161" s="4" t="str">
        <f>IFERROR(VLOOKUP(TEXT($B$3,"yyyymmdd")&amp;"_"&amp;TEXT(1150,"0000"),RawData!$A$2:$F$1441,4,FALSE),"")</f>
        <v>01</v>
      </c>
      <c r="BL1161" s="19">
        <f>TIME(0,0,0)+1150/1440</f>
        <v>0.79861111111111116</v>
      </c>
      <c r="BM1161" s="4">
        <f>IFERROR(VLOOKUP(TEXT($B$3,"yyyymmdd")&amp;"_"&amp;TEXT(1150,"0000"),RawData!$A$2:$F$1441,5,FALSE),"")</f>
        <v>3.4200000000000002E-4</v>
      </c>
      <c r="BN1161" s="4">
        <f t="shared" si="19"/>
        <v>0</v>
      </c>
    </row>
    <row r="1162" spans="63:66" x14ac:dyDescent="0.6">
      <c r="BK1162" s="4" t="str">
        <f>IFERROR(VLOOKUP(TEXT($B$3,"yyyymmdd")&amp;"_"&amp;TEXT(1151,"0000"),RawData!$A$2:$F$1441,4,FALSE),"")</f>
        <v>01</v>
      </c>
      <c r="BL1162" s="19">
        <f>TIME(0,0,0)+1151/1440</f>
        <v>0.7993055555555556</v>
      </c>
      <c r="BM1162" s="4">
        <f>IFERROR(VLOOKUP(TEXT($B$3,"yyyymmdd")&amp;"_"&amp;TEXT(1151,"0000"),RawData!$A$2:$F$1441,5,FALSE),"")</f>
        <v>4.3399999999999998E-4</v>
      </c>
      <c r="BN1162" s="4">
        <f t="shared" si="19"/>
        <v>0</v>
      </c>
    </row>
    <row r="1163" spans="63:66" x14ac:dyDescent="0.6">
      <c r="BK1163" s="4" t="str">
        <f>IFERROR(VLOOKUP(TEXT($B$3,"yyyymmdd")&amp;"_"&amp;TEXT(1152,"0000"),RawData!$A$2:$F$1441,4,FALSE),"")</f>
        <v>01</v>
      </c>
      <c r="BL1163" s="19">
        <f>TIME(0,0,0)+1152/1440</f>
        <v>0.8</v>
      </c>
      <c r="BM1163" s="4">
        <f>IFERROR(VLOOKUP(TEXT($B$3,"yyyymmdd")&amp;"_"&amp;TEXT(1152,"0000"),RawData!$A$2:$F$1441,5,FALSE),"")</f>
        <v>0</v>
      </c>
      <c r="BN1163" s="4">
        <f t="shared" si="19"/>
        <v>0</v>
      </c>
    </row>
    <row r="1164" spans="63:66" x14ac:dyDescent="0.6">
      <c r="BK1164" s="4" t="str">
        <f>IFERROR(VLOOKUP(TEXT($B$3,"yyyymmdd")&amp;"_"&amp;TEXT(1153,"0000"),RawData!$A$2:$F$1441,4,FALSE),"")</f>
        <v>01</v>
      </c>
      <c r="BL1164" s="19">
        <f>TIME(0,0,0)+1153/1440</f>
        <v>0.80069444444444449</v>
      </c>
      <c r="BM1164" s="4">
        <f>IFERROR(VLOOKUP(TEXT($B$3,"yyyymmdd")&amp;"_"&amp;TEXT(1153,"0000"),RawData!$A$2:$F$1441,5,FALSE),"")</f>
        <v>0</v>
      </c>
      <c r="BN1164" s="4">
        <f t="shared" si="19"/>
        <v>0</v>
      </c>
    </row>
    <row r="1165" spans="63:66" x14ac:dyDescent="0.6">
      <c r="BK1165" s="4" t="str">
        <f>IFERROR(VLOOKUP(TEXT($B$3,"yyyymmdd")&amp;"_"&amp;TEXT(1154,"0000"),RawData!$A$2:$F$1441,4,FALSE),"")</f>
        <v>01</v>
      </c>
      <c r="BL1165" s="19">
        <f>TIME(0,0,0)+1154/1440</f>
        <v>0.80138888888888893</v>
      </c>
      <c r="BM1165" s="4">
        <f>IFERROR(VLOOKUP(TEXT($B$3,"yyyymmdd")&amp;"_"&amp;TEXT(1154,"0000"),RawData!$A$2:$F$1441,5,FALSE),"")</f>
        <v>0</v>
      </c>
      <c r="BN1165" s="4">
        <f t="shared" si="19"/>
        <v>0</v>
      </c>
    </row>
    <row r="1166" spans="63:66" x14ac:dyDescent="0.6">
      <c r="BK1166" s="4" t="str">
        <f>IFERROR(VLOOKUP(TEXT($B$3,"yyyymmdd")&amp;"_"&amp;TEXT(1155,"0000"),RawData!$A$2:$F$1441,4,FALSE),"")</f>
        <v>01</v>
      </c>
      <c r="BL1166" s="19">
        <f>TIME(0,0,0)+1155/1440</f>
        <v>0.80208333333333337</v>
      </c>
      <c r="BM1166" s="4">
        <f>IFERROR(VLOOKUP(TEXT($B$3,"yyyymmdd")&amp;"_"&amp;TEXT(1155,"0000"),RawData!$A$2:$F$1441,5,FALSE),"")</f>
        <v>0</v>
      </c>
      <c r="BN1166" s="4">
        <f t="shared" si="19"/>
        <v>0</v>
      </c>
    </row>
    <row r="1167" spans="63:66" x14ac:dyDescent="0.6">
      <c r="BK1167" s="4" t="str">
        <f>IFERROR(VLOOKUP(TEXT($B$3,"yyyymmdd")&amp;"_"&amp;TEXT(1156,"0000"),RawData!$A$2:$F$1441,4,FALSE),"")</f>
        <v>1E</v>
      </c>
      <c r="BL1167" s="19">
        <f>TIME(0,0,0)+1156/1440</f>
        <v>0.80277777777777781</v>
      </c>
      <c r="BM1167" s="4">
        <f>IFERROR(VLOOKUP(TEXT($B$3,"yyyymmdd")&amp;"_"&amp;TEXT(1156,"0000"),RawData!$A$2:$F$1441,5,FALSE),"")</f>
        <v>0</v>
      </c>
      <c r="BN1167" s="4">
        <f t="shared" si="19"/>
        <v>0</v>
      </c>
    </row>
    <row r="1168" spans="63:66" x14ac:dyDescent="0.6">
      <c r="BK1168" s="4" t="str">
        <f>IFERROR(VLOOKUP(TEXT($B$3,"yyyymmdd")&amp;"_"&amp;TEXT(1157,"0000"),RawData!$A$2:$F$1441,4,FALSE),"")</f>
        <v>01</v>
      </c>
      <c r="BL1168" s="19">
        <f>TIME(0,0,0)+1157/1440</f>
        <v>0.80347222222222225</v>
      </c>
      <c r="BM1168" s="4">
        <f>IFERROR(VLOOKUP(TEXT($B$3,"yyyymmdd")&amp;"_"&amp;TEXT(1157,"0000"),RawData!$A$2:$F$1441,5,FALSE),"")</f>
        <v>0</v>
      </c>
      <c r="BN1168" s="4">
        <f t="shared" si="19"/>
        <v>0</v>
      </c>
    </row>
    <row r="1169" spans="63:66" x14ac:dyDescent="0.6">
      <c r="BK1169" s="4" t="str">
        <f>IFERROR(VLOOKUP(TEXT($B$3,"yyyymmdd")&amp;"_"&amp;TEXT(1158,"0000"),RawData!$A$2:$F$1441,4,FALSE),"")</f>
        <v>01</v>
      </c>
      <c r="BL1169" s="19">
        <f>TIME(0,0,0)+1158/1440</f>
        <v>0.8041666666666667</v>
      </c>
      <c r="BM1169" s="4">
        <f>IFERROR(VLOOKUP(TEXT($B$3,"yyyymmdd")&amp;"_"&amp;TEXT(1158,"0000"),RawData!$A$2:$F$1441,5,FALSE),"")</f>
        <v>3.7800000000000003E-4</v>
      </c>
      <c r="BN1169" s="4">
        <f t="shared" si="19"/>
        <v>0</v>
      </c>
    </row>
    <row r="1170" spans="63:66" x14ac:dyDescent="0.6">
      <c r="BK1170" s="4" t="str">
        <f>IFERROR(VLOOKUP(TEXT($B$3,"yyyymmdd")&amp;"_"&amp;TEXT(1159,"0000"),RawData!$A$2:$F$1441,4,FALSE),"")</f>
        <v>01</v>
      </c>
      <c r="BL1170" s="19">
        <f>TIME(0,0,0)+1159/1440</f>
        <v>0.80486111111111114</v>
      </c>
      <c r="BM1170" s="4">
        <f>IFERROR(VLOOKUP(TEXT($B$3,"yyyymmdd")&amp;"_"&amp;TEXT(1159,"0000"),RawData!$A$2:$F$1441,5,FALSE),"")</f>
        <v>0</v>
      </c>
      <c r="BN1170" s="4">
        <f t="shared" si="19"/>
        <v>0</v>
      </c>
    </row>
    <row r="1171" spans="63:66" x14ac:dyDescent="0.6">
      <c r="BK1171" s="4" t="str">
        <f>IFERROR(VLOOKUP(TEXT($B$3,"yyyymmdd")&amp;"_"&amp;TEXT(1160,"0000"),RawData!$A$2:$F$1441,4,FALSE),"")</f>
        <v>01</v>
      </c>
      <c r="BL1171" s="19">
        <f>TIME(0,0,0)+1160/1440</f>
        <v>0.80555555555555558</v>
      </c>
      <c r="BM1171" s="4">
        <f>IFERROR(VLOOKUP(TEXT($B$3,"yyyymmdd")&amp;"_"&amp;TEXT(1160,"0000"),RawData!$A$2:$F$1441,5,FALSE),"")</f>
        <v>5.8399999999999999E-4</v>
      </c>
      <c r="BN1171" s="4">
        <f t="shared" si="19"/>
        <v>0</v>
      </c>
    </row>
    <row r="1172" spans="63:66" x14ac:dyDescent="0.6">
      <c r="BK1172" s="4" t="str">
        <f>IFERROR(VLOOKUP(TEXT($B$3,"yyyymmdd")&amp;"_"&amp;TEXT(1161,"0000"),RawData!$A$2:$F$1441,4,FALSE),"")</f>
        <v>01</v>
      </c>
      <c r="BL1172" s="19">
        <f>TIME(0,0,0)+1161/1440</f>
        <v>0.80625000000000002</v>
      </c>
      <c r="BM1172" s="4">
        <f>IFERROR(VLOOKUP(TEXT($B$3,"yyyymmdd")&amp;"_"&amp;TEXT(1161,"0000"),RawData!$A$2:$F$1441,5,FALSE),"")</f>
        <v>6.02E-4</v>
      </c>
      <c r="BN1172" s="4">
        <f t="shared" si="19"/>
        <v>0</v>
      </c>
    </row>
    <row r="1173" spans="63:66" x14ac:dyDescent="0.6">
      <c r="BK1173" s="4" t="str">
        <f>IFERROR(VLOOKUP(TEXT($B$3,"yyyymmdd")&amp;"_"&amp;TEXT(1162,"0000"),RawData!$A$2:$F$1441,4,FALSE),"")</f>
        <v>01</v>
      </c>
      <c r="BL1173" s="19">
        <f>TIME(0,0,0)+1162/1440</f>
        <v>0.80694444444444446</v>
      </c>
      <c r="BM1173" s="4">
        <f>IFERROR(VLOOKUP(TEXT($B$3,"yyyymmdd")&amp;"_"&amp;TEXT(1162,"0000"),RawData!$A$2:$F$1441,5,FALSE),"")</f>
        <v>5.8E-4</v>
      </c>
      <c r="BN1173" s="4">
        <f t="shared" si="19"/>
        <v>1</v>
      </c>
    </row>
    <row r="1174" spans="63:66" x14ac:dyDescent="0.6">
      <c r="BK1174" s="4" t="str">
        <f>IFERROR(VLOOKUP(TEXT($B$3,"yyyymmdd")&amp;"_"&amp;TEXT(1163,"0000"),RawData!$A$2:$F$1441,4,FALSE),"")</f>
        <v>01</v>
      </c>
      <c r="BL1174" s="19">
        <f>TIME(0,0,0)+1163/1440</f>
        <v>0.80763888888888891</v>
      </c>
      <c r="BM1174" s="4">
        <f>IFERROR(VLOOKUP(TEXT($B$3,"yyyymmdd")&amp;"_"&amp;TEXT(1163,"0000"),RawData!$A$2:$F$1441,5,FALSE),"")</f>
        <v>0</v>
      </c>
      <c r="BN1174" s="4">
        <f t="shared" si="19"/>
        <v>1</v>
      </c>
    </row>
    <row r="1175" spans="63:66" x14ac:dyDescent="0.6">
      <c r="BK1175" s="4" t="str">
        <f>IFERROR(VLOOKUP(TEXT($B$3,"yyyymmdd")&amp;"_"&amp;TEXT(1164,"0000"),RawData!$A$2:$F$1441,4,FALSE),"")</f>
        <v>01</v>
      </c>
      <c r="BL1175" s="19">
        <f>TIME(0,0,0)+1164/1440</f>
        <v>0.80833333333333335</v>
      </c>
      <c r="BM1175" s="4">
        <f>IFERROR(VLOOKUP(TEXT($B$3,"yyyymmdd")&amp;"_"&amp;TEXT(1164,"0000"),RawData!$A$2:$F$1441,5,FALSE),"")</f>
        <v>9.7099999999999997E-4</v>
      </c>
      <c r="BN1175" s="4">
        <f t="shared" si="19"/>
        <v>0</v>
      </c>
    </row>
    <row r="1176" spans="63:66" x14ac:dyDescent="0.6">
      <c r="BK1176" s="4" t="str">
        <f>IFERROR(VLOOKUP(TEXT($B$3,"yyyymmdd")&amp;"_"&amp;TEXT(1165,"0000"),RawData!$A$2:$F$1441,4,FALSE),"")</f>
        <v>01</v>
      </c>
      <c r="BL1176" s="19">
        <f>TIME(0,0,0)+1165/1440</f>
        <v>0.80902777777777779</v>
      </c>
      <c r="BM1176" s="4">
        <f>IFERROR(VLOOKUP(TEXT($B$3,"yyyymmdd")&amp;"_"&amp;TEXT(1165,"0000"),RawData!$A$2:$F$1441,5,FALSE),"")</f>
        <v>5.9800000000000001E-4</v>
      </c>
      <c r="BN1176" s="4">
        <f t="shared" si="19"/>
        <v>0</v>
      </c>
    </row>
    <row r="1177" spans="63:66" x14ac:dyDescent="0.6">
      <c r="BK1177" s="4" t="str">
        <f>IFERROR(VLOOKUP(TEXT($B$3,"yyyymmdd")&amp;"_"&amp;TEXT(1166,"0000"),RawData!$A$2:$F$1441,4,FALSE),"")</f>
        <v>01</v>
      </c>
      <c r="BL1177" s="19">
        <f>TIME(0,0,0)+1166/1440</f>
        <v>0.80972222222222223</v>
      </c>
      <c r="BM1177" s="4">
        <f>IFERROR(VLOOKUP(TEXT($B$3,"yyyymmdd")&amp;"_"&amp;TEXT(1166,"0000"),RawData!$A$2:$F$1441,5,FALSE),"")</f>
        <v>5.8500000000000002E-4</v>
      </c>
      <c r="BN1177" s="4">
        <f t="shared" si="19"/>
        <v>0</v>
      </c>
    </row>
    <row r="1178" spans="63:66" x14ac:dyDescent="0.6">
      <c r="BK1178" s="4" t="str">
        <f>IFERROR(VLOOKUP(TEXT($B$3,"yyyymmdd")&amp;"_"&amp;TEXT(1167,"0000"),RawData!$A$2:$F$1441,4,FALSE),"")</f>
        <v>01</v>
      </c>
      <c r="BL1178" s="19">
        <f>TIME(0,0,0)+1167/1440</f>
        <v>0.81041666666666667</v>
      </c>
      <c r="BM1178" s="4">
        <f>IFERROR(VLOOKUP(TEXT($B$3,"yyyymmdd")&amp;"_"&amp;TEXT(1167,"0000"),RawData!$A$2:$F$1441,5,FALSE),"")</f>
        <v>0</v>
      </c>
      <c r="BN1178" s="4">
        <f t="shared" si="19"/>
        <v>0</v>
      </c>
    </row>
    <row r="1179" spans="63:66" x14ac:dyDescent="0.6">
      <c r="BK1179" s="4" t="str">
        <f>IFERROR(VLOOKUP(TEXT($B$3,"yyyymmdd")&amp;"_"&amp;TEXT(1168,"0000"),RawData!$A$2:$F$1441,4,FALSE),"")</f>
        <v>01</v>
      </c>
      <c r="BL1179" s="19">
        <f>TIME(0,0,0)+1168/1440</f>
        <v>0.81111111111111112</v>
      </c>
      <c r="BM1179" s="4">
        <f>IFERROR(VLOOKUP(TEXT($B$3,"yyyymmdd")&amp;"_"&amp;TEXT(1168,"0000"),RawData!$A$2:$F$1441,5,FALSE),"")</f>
        <v>0</v>
      </c>
      <c r="BN1179" s="4">
        <f t="shared" si="19"/>
        <v>0</v>
      </c>
    </row>
    <row r="1180" spans="63:66" x14ac:dyDescent="0.6">
      <c r="BK1180" s="4" t="str">
        <f>IFERROR(VLOOKUP(TEXT($B$3,"yyyymmdd")&amp;"_"&amp;TEXT(1169,"0000"),RawData!$A$2:$F$1441,4,FALSE),"")</f>
        <v>01</v>
      </c>
      <c r="BL1180" s="19">
        <f>TIME(0,0,0)+1169/1440</f>
        <v>0.81180555555555556</v>
      </c>
      <c r="BM1180" s="4">
        <f>IFERROR(VLOOKUP(TEXT($B$3,"yyyymmdd")&amp;"_"&amp;TEXT(1169,"0000"),RawData!$A$2:$F$1441,5,FALSE),"")</f>
        <v>0</v>
      </c>
      <c r="BN1180" s="4">
        <f t="shared" si="19"/>
        <v>0</v>
      </c>
    </row>
    <row r="1181" spans="63:66" x14ac:dyDescent="0.6">
      <c r="BK1181" s="4" t="str">
        <f>IFERROR(VLOOKUP(TEXT($B$3,"yyyymmdd")&amp;"_"&amp;TEXT(1170,"0000"),RawData!$A$2:$F$1441,4,FALSE),"")</f>
        <v>01</v>
      </c>
      <c r="BL1181" s="19">
        <f>TIME(0,0,0)+1170/1440</f>
        <v>0.8125</v>
      </c>
      <c r="BM1181" s="4">
        <f>IFERROR(VLOOKUP(TEXT($B$3,"yyyymmdd")&amp;"_"&amp;TEXT(1170,"0000"),RawData!$A$2:$F$1441,5,FALSE),"")</f>
        <v>0</v>
      </c>
      <c r="BN1181" s="4">
        <f t="shared" si="19"/>
        <v>0</v>
      </c>
    </row>
    <row r="1182" spans="63:66" x14ac:dyDescent="0.6">
      <c r="BK1182" s="4" t="str">
        <f>IFERROR(VLOOKUP(TEXT($B$3,"yyyymmdd")&amp;"_"&amp;TEXT(1171,"0000"),RawData!$A$2:$F$1441,4,FALSE),"")</f>
        <v>01</v>
      </c>
      <c r="BL1182" s="19">
        <f>TIME(0,0,0)+1171/1440</f>
        <v>0.81319444444444444</v>
      </c>
      <c r="BM1182" s="4">
        <f>IFERROR(VLOOKUP(TEXT($B$3,"yyyymmdd")&amp;"_"&amp;TEXT(1171,"0000"),RawData!$A$2:$F$1441,5,FALSE),"")</f>
        <v>9.5100000000000002E-4</v>
      </c>
      <c r="BN1182" s="4">
        <f t="shared" si="19"/>
        <v>0</v>
      </c>
    </row>
    <row r="1183" spans="63:66" x14ac:dyDescent="0.6">
      <c r="BK1183" s="4" t="str">
        <f>IFERROR(VLOOKUP(TEXT($B$3,"yyyymmdd")&amp;"_"&amp;TEXT(1172,"0000"),RawData!$A$2:$F$1441,4,FALSE),"")</f>
        <v>01</v>
      </c>
      <c r="BL1183" s="19">
        <f>TIME(0,0,0)+1172/1440</f>
        <v>0.81388888888888888</v>
      </c>
      <c r="BM1183" s="4">
        <f>IFERROR(VLOOKUP(TEXT($B$3,"yyyymmdd")&amp;"_"&amp;TEXT(1172,"0000"),RawData!$A$2:$F$1441,5,FALSE),"")</f>
        <v>1.6100000000000001E-4</v>
      </c>
      <c r="BN1183" s="4">
        <f t="shared" si="19"/>
        <v>0</v>
      </c>
    </row>
    <row r="1184" spans="63:66" x14ac:dyDescent="0.6">
      <c r="BK1184" s="4" t="str">
        <f>IFERROR(VLOOKUP(TEXT($B$3,"yyyymmdd")&amp;"_"&amp;TEXT(1173,"0000"),RawData!$A$2:$F$1441,4,FALSE),"")</f>
        <v>0A</v>
      </c>
      <c r="BL1184" s="19">
        <f>TIME(0,0,0)+1173/1440</f>
        <v>0.81458333333333333</v>
      </c>
      <c r="BM1184" s="4">
        <f>IFERROR(VLOOKUP(TEXT($B$3,"yyyymmdd")&amp;"_"&amp;TEXT(1173,"0000"),RawData!$A$2:$F$1441,5,FALSE),"")</f>
        <v>2.3599999999999999E-4</v>
      </c>
      <c r="BN1184" s="4">
        <f t="shared" si="19"/>
        <v>0</v>
      </c>
    </row>
    <row r="1185" spans="63:66" x14ac:dyDescent="0.6">
      <c r="BK1185" s="4" t="str">
        <f>IFERROR(VLOOKUP(TEXT($B$3,"yyyymmdd")&amp;"_"&amp;TEXT(1174,"0000"),RawData!$A$2:$F$1441,4,FALSE),"")</f>
        <v>01</v>
      </c>
      <c r="BL1185" s="19">
        <f>TIME(0,0,0)+1174/1440</f>
        <v>0.81527777777777777</v>
      </c>
      <c r="BM1185" s="4">
        <f>IFERROR(VLOOKUP(TEXT($B$3,"yyyymmdd")&amp;"_"&amp;TEXT(1174,"0000"),RawData!$A$2:$F$1441,5,FALSE),"")</f>
        <v>0</v>
      </c>
      <c r="BN1185" s="4">
        <f t="shared" si="19"/>
        <v>0</v>
      </c>
    </row>
    <row r="1186" spans="63:66" x14ac:dyDescent="0.6">
      <c r="BK1186" s="4" t="str">
        <f>IFERROR(VLOOKUP(TEXT($B$3,"yyyymmdd")&amp;"_"&amp;TEXT(1175,"0000"),RawData!$A$2:$F$1441,4,FALSE),"")</f>
        <v>0A</v>
      </c>
      <c r="BL1186" s="19">
        <f>TIME(0,0,0)+1175/1440</f>
        <v>0.81597222222222221</v>
      </c>
      <c r="BM1186" s="4">
        <f>IFERROR(VLOOKUP(TEXT($B$3,"yyyymmdd")&amp;"_"&amp;TEXT(1175,"0000"),RawData!$A$2:$F$1441,5,FALSE),"")</f>
        <v>7.0299999999999996E-4</v>
      </c>
      <c r="BN1186" s="4">
        <f t="shared" si="19"/>
        <v>0</v>
      </c>
    </row>
    <row r="1187" spans="63:66" x14ac:dyDescent="0.6">
      <c r="BK1187" s="4" t="str">
        <f>IFERROR(VLOOKUP(TEXT($B$3,"yyyymmdd")&amp;"_"&amp;TEXT(1176,"0000"),RawData!$A$2:$F$1441,4,FALSE),"")</f>
        <v>01</v>
      </c>
      <c r="BL1187" s="19">
        <f>TIME(0,0,0)+1176/1440</f>
        <v>0.81666666666666665</v>
      </c>
      <c r="BM1187" s="4">
        <f>IFERROR(VLOOKUP(TEXT($B$3,"yyyymmdd")&amp;"_"&amp;TEXT(1176,"0000"),RawData!$A$2:$F$1441,5,FALSE),"")</f>
        <v>0</v>
      </c>
      <c r="BN1187" s="4">
        <f t="shared" si="19"/>
        <v>0</v>
      </c>
    </row>
    <row r="1188" spans="63:66" x14ac:dyDescent="0.6">
      <c r="BK1188" s="4" t="str">
        <f>IFERROR(VLOOKUP(TEXT($B$3,"yyyymmdd")&amp;"_"&amp;TEXT(1177,"0000"),RawData!$A$2:$F$1441,4,FALSE),"")</f>
        <v>01</v>
      </c>
      <c r="BL1188" s="19">
        <f>TIME(0,0,0)+1177/1440</f>
        <v>0.81736111111111109</v>
      </c>
      <c r="BM1188" s="4">
        <f>IFERROR(VLOOKUP(TEXT($B$3,"yyyymmdd")&amp;"_"&amp;TEXT(1177,"0000"),RawData!$A$2:$F$1441,5,FALSE),"")</f>
        <v>5.1199999999999998E-4</v>
      </c>
      <c r="BN1188" s="4">
        <f t="shared" si="19"/>
        <v>0</v>
      </c>
    </row>
    <row r="1189" spans="63:66" x14ac:dyDescent="0.6">
      <c r="BK1189" s="4" t="str">
        <f>IFERROR(VLOOKUP(TEXT($B$3,"yyyymmdd")&amp;"_"&amp;TEXT(1178,"0000"),RawData!$A$2:$F$1441,4,FALSE),"")</f>
        <v>0A</v>
      </c>
      <c r="BL1189" s="19">
        <f>TIME(0,0,0)+1178/1440</f>
        <v>0.81805555555555554</v>
      </c>
      <c r="BM1189" s="4">
        <f>IFERROR(VLOOKUP(TEXT($B$3,"yyyymmdd")&amp;"_"&amp;TEXT(1178,"0000"),RawData!$A$2:$F$1441,5,FALSE),"")</f>
        <v>4.1899999999999999E-4</v>
      </c>
      <c r="BN1189" s="4">
        <f t="shared" si="19"/>
        <v>0</v>
      </c>
    </row>
    <row r="1190" spans="63:66" x14ac:dyDescent="0.6">
      <c r="BK1190" s="4" t="str">
        <f>IFERROR(VLOOKUP(TEXT($B$3,"yyyymmdd")&amp;"_"&amp;TEXT(1179,"0000"),RawData!$A$2:$F$1441,4,FALSE),"")</f>
        <v>01</v>
      </c>
      <c r="BL1190" s="19">
        <f>TIME(0,0,0)+1179/1440</f>
        <v>0.81874999999999998</v>
      </c>
      <c r="BM1190" s="4">
        <f>IFERROR(VLOOKUP(TEXT($B$3,"yyyymmdd")&amp;"_"&amp;TEXT(1179,"0000"),RawData!$A$2:$F$1441,5,FALSE),"")</f>
        <v>0</v>
      </c>
      <c r="BN1190" s="4">
        <f t="shared" si="19"/>
        <v>1</v>
      </c>
    </row>
    <row r="1191" spans="63:66" x14ac:dyDescent="0.6">
      <c r="BK1191" s="4" t="str">
        <f>IFERROR(VLOOKUP(TEXT($B$3,"yyyymmdd")&amp;"_"&amp;TEXT(1180,"0000"),RawData!$A$2:$F$1441,4,FALSE),"")</f>
        <v>01</v>
      </c>
      <c r="BL1191" s="19">
        <f>TIME(0,0,0)+1180/1440</f>
        <v>0.81944444444444442</v>
      </c>
      <c r="BM1191" s="4">
        <f>IFERROR(VLOOKUP(TEXT($B$3,"yyyymmdd")&amp;"_"&amp;TEXT(1180,"0000"),RawData!$A$2:$F$1441,5,FALSE),"")</f>
        <v>0</v>
      </c>
      <c r="BN1191" s="4">
        <f t="shared" si="19"/>
        <v>1</v>
      </c>
    </row>
    <row r="1192" spans="63:66" x14ac:dyDescent="0.6">
      <c r="BK1192" s="4" t="str">
        <f>IFERROR(VLOOKUP(TEXT($B$3,"yyyymmdd")&amp;"_"&amp;TEXT(1181,"0000"),RawData!$A$2:$F$1441,4,FALSE),"")</f>
        <v>01</v>
      </c>
      <c r="BL1192" s="19">
        <f>TIME(0,0,0)+1181/1440</f>
        <v>0.82013888888888886</v>
      </c>
      <c r="BM1192" s="4">
        <f>IFERROR(VLOOKUP(TEXT($B$3,"yyyymmdd")&amp;"_"&amp;TEXT(1181,"0000"),RawData!$A$2:$F$1441,5,FALSE),"")</f>
        <v>3.4499999999999998E-4</v>
      </c>
      <c r="BN1192" s="4">
        <f t="shared" si="19"/>
        <v>1</v>
      </c>
    </row>
    <row r="1193" spans="63:66" x14ac:dyDescent="0.6">
      <c r="BK1193" s="4" t="str">
        <f>IFERROR(VLOOKUP(TEXT($B$3,"yyyymmdd")&amp;"_"&amp;TEXT(1182,"0000"),RawData!$A$2:$F$1441,4,FALSE),"")</f>
        <v>01</v>
      </c>
      <c r="BL1193" s="19">
        <f>TIME(0,0,0)+1182/1440</f>
        <v>0.8208333333333333</v>
      </c>
      <c r="BM1193" s="4">
        <f>IFERROR(VLOOKUP(TEXT($B$3,"yyyymmdd")&amp;"_"&amp;TEXT(1182,"0000"),RawData!$A$2:$F$1441,5,FALSE),"")</f>
        <v>2.8899999999999998E-4</v>
      </c>
      <c r="BN1193" s="4">
        <f t="shared" si="19"/>
        <v>1</v>
      </c>
    </row>
    <row r="1194" spans="63:66" x14ac:dyDescent="0.6">
      <c r="BK1194" s="4" t="str">
        <f>IFERROR(VLOOKUP(TEXT($B$3,"yyyymmdd")&amp;"_"&amp;TEXT(1183,"0000"),RawData!$A$2:$F$1441,4,FALSE),"")</f>
        <v>0A</v>
      </c>
      <c r="BL1194" s="19">
        <f>TIME(0,0,0)+1183/1440</f>
        <v>0.82152777777777775</v>
      </c>
      <c r="BM1194" s="4">
        <f>IFERROR(VLOOKUP(TEXT($B$3,"yyyymmdd")&amp;"_"&amp;TEXT(1183,"0000"),RawData!$A$2:$F$1441,5,FALSE),"")</f>
        <v>0</v>
      </c>
      <c r="BN1194" s="4">
        <f t="shared" si="19"/>
        <v>0</v>
      </c>
    </row>
    <row r="1195" spans="63:66" x14ac:dyDescent="0.6">
      <c r="BK1195" s="4" t="str">
        <f>IFERROR(VLOOKUP(TEXT($B$3,"yyyymmdd")&amp;"_"&amp;TEXT(1184,"0000"),RawData!$A$2:$F$1441,4,FALSE),"")</f>
        <v>01</v>
      </c>
      <c r="BL1195" s="19">
        <f>TIME(0,0,0)+1184/1440</f>
        <v>0.82222222222222219</v>
      </c>
      <c r="BM1195" s="4">
        <f>IFERROR(VLOOKUP(TEXT($B$3,"yyyymmdd")&amp;"_"&amp;TEXT(1184,"0000"),RawData!$A$2:$F$1441,5,FALSE),"")</f>
        <v>0</v>
      </c>
      <c r="BN1195" s="4">
        <f t="shared" si="19"/>
        <v>1</v>
      </c>
    </row>
    <row r="1196" spans="63:66" x14ac:dyDescent="0.6">
      <c r="BK1196" s="4" t="str">
        <f>IFERROR(VLOOKUP(TEXT($B$3,"yyyymmdd")&amp;"_"&amp;TEXT(1185,"0000"),RawData!$A$2:$F$1441,4,FALSE),"")</f>
        <v>01</v>
      </c>
      <c r="BL1196" s="19">
        <f>TIME(0,0,0)+1185/1440</f>
        <v>0.82291666666666663</v>
      </c>
      <c r="BM1196" s="4">
        <f>IFERROR(VLOOKUP(TEXT($B$3,"yyyymmdd")&amp;"_"&amp;TEXT(1185,"0000"),RawData!$A$2:$F$1441,5,FALSE),"")</f>
        <v>0</v>
      </c>
      <c r="BN1196" s="4">
        <f t="shared" si="19"/>
        <v>1</v>
      </c>
    </row>
    <row r="1197" spans="63:66" x14ac:dyDescent="0.6">
      <c r="BK1197" s="4" t="str">
        <f>IFERROR(VLOOKUP(TEXT($B$3,"yyyymmdd")&amp;"_"&amp;TEXT(1186,"0000"),RawData!$A$2:$F$1441,4,FALSE),"")</f>
        <v>0A</v>
      </c>
      <c r="BL1197" s="19">
        <f>TIME(0,0,0)+1186/1440</f>
        <v>0.82361111111111107</v>
      </c>
      <c r="BM1197" s="4">
        <f>IFERROR(VLOOKUP(TEXT($B$3,"yyyymmdd")&amp;"_"&amp;TEXT(1186,"0000"),RawData!$A$2:$F$1441,5,FALSE),"")</f>
        <v>0</v>
      </c>
      <c r="BN1197" s="4">
        <f t="shared" si="19"/>
        <v>0</v>
      </c>
    </row>
    <row r="1198" spans="63:66" x14ac:dyDescent="0.6">
      <c r="BK1198" s="4" t="str">
        <f>IFERROR(VLOOKUP(TEXT($B$3,"yyyymmdd")&amp;"_"&amp;TEXT(1187,"0000"),RawData!$A$2:$F$1441,4,FALSE),"")</f>
        <v>0A</v>
      </c>
      <c r="BL1198" s="19">
        <f>TIME(0,0,0)+1187/1440</f>
        <v>0.82430555555555551</v>
      </c>
      <c r="BM1198" s="4">
        <f>IFERROR(VLOOKUP(TEXT($B$3,"yyyymmdd")&amp;"_"&amp;TEXT(1187,"0000"),RawData!$A$2:$F$1441,5,FALSE),"")</f>
        <v>0</v>
      </c>
      <c r="BN1198" s="4">
        <f t="shared" si="19"/>
        <v>0</v>
      </c>
    </row>
    <row r="1199" spans="63:66" x14ac:dyDescent="0.6">
      <c r="BK1199" s="4" t="str">
        <f>IFERROR(VLOOKUP(TEXT($B$3,"yyyymmdd")&amp;"_"&amp;TEXT(1188,"0000"),RawData!$A$2:$F$1441,4,FALSE),"")</f>
        <v>0A</v>
      </c>
      <c r="BL1199" s="19">
        <f>TIME(0,0,0)+1188/1440</f>
        <v>0.82499999999999996</v>
      </c>
      <c r="BM1199" s="4">
        <f>IFERROR(VLOOKUP(TEXT($B$3,"yyyymmdd")&amp;"_"&amp;TEXT(1188,"0000"),RawData!$A$2:$F$1441,5,FALSE),"")</f>
        <v>0</v>
      </c>
      <c r="BN1199" s="4">
        <f t="shared" si="19"/>
        <v>0</v>
      </c>
    </row>
    <row r="1200" spans="63:66" x14ac:dyDescent="0.6">
      <c r="BK1200" s="4" t="str">
        <f>IFERROR(VLOOKUP(TEXT($B$3,"yyyymmdd")&amp;"_"&amp;TEXT(1189,"0000"),RawData!$A$2:$F$1441,4,FALSE),"")</f>
        <v>0A</v>
      </c>
      <c r="BL1200" s="19">
        <f>TIME(0,0,0)+1189/1440</f>
        <v>0.8256944444444444</v>
      </c>
      <c r="BM1200" s="4">
        <f>IFERROR(VLOOKUP(TEXT($B$3,"yyyymmdd")&amp;"_"&amp;TEXT(1189,"0000"),RawData!$A$2:$F$1441,5,FALSE),"")</f>
        <v>0</v>
      </c>
      <c r="BN1200" s="4">
        <f t="shared" ref="BN1200:BN1263" si="20">IF(BK1194="","",IF(BK1194&lt;&gt;BK1193,1,0))</f>
        <v>1</v>
      </c>
    </row>
    <row r="1201" spans="63:66" x14ac:dyDescent="0.6">
      <c r="BK1201" s="4" t="str">
        <f>IFERROR(VLOOKUP(TEXT($B$3,"yyyymmdd")&amp;"_"&amp;TEXT(1190,"0000"),RawData!$A$2:$F$1441,4,FALSE),"")</f>
        <v>01</v>
      </c>
      <c r="BL1201" s="19">
        <f>TIME(0,0,0)+1190/1440</f>
        <v>0.82638888888888884</v>
      </c>
      <c r="BM1201" s="4">
        <f>IFERROR(VLOOKUP(TEXT($B$3,"yyyymmdd")&amp;"_"&amp;TEXT(1190,"0000"),RawData!$A$2:$F$1441,5,FALSE),"")</f>
        <v>4.5800000000000002E-4</v>
      </c>
      <c r="BN1201" s="4">
        <f t="shared" si="20"/>
        <v>1</v>
      </c>
    </row>
    <row r="1202" spans="63:66" x14ac:dyDescent="0.6">
      <c r="BK1202" s="4" t="str">
        <f>IFERROR(VLOOKUP(TEXT($B$3,"yyyymmdd")&amp;"_"&amp;TEXT(1191,"0000"),RawData!$A$2:$F$1441,4,FALSE),"")</f>
        <v>01</v>
      </c>
      <c r="BL1202" s="19">
        <f>TIME(0,0,0)+1191/1440</f>
        <v>0.82708333333333328</v>
      </c>
      <c r="BM1202" s="4">
        <f>IFERROR(VLOOKUP(TEXT($B$3,"yyyymmdd")&amp;"_"&amp;TEXT(1191,"0000"),RawData!$A$2:$F$1441,5,FALSE),"")</f>
        <v>0</v>
      </c>
      <c r="BN1202" s="4">
        <f t="shared" si="20"/>
        <v>0</v>
      </c>
    </row>
    <row r="1203" spans="63:66" x14ac:dyDescent="0.6">
      <c r="BK1203" s="4" t="str">
        <f>IFERROR(VLOOKUP(TEXT($B$3,"yyyymmdd")&amp;"_"&amp;TEXT(1192,"0000"),RawData!$A$2:$F$1441,4,FALSE),"")</f>
        <v>0A</v>
      </c>
      <c r="BL1203" s="19">
        <f>TIME(0,0,0)+1192/1440</f>
        <v>0.82777777777777772</v>
      </c>
      <c r="BM1203" s="4">
        <f>IFERROR(VLOOKUP(TEXT($B$3,"yyyymmdd")&amp;"_"&amp;TEXT(1192,"0000"),RawData!$A$2:$F$1441,5,FALSE),"")</f>
        <v>0</v>
      </c>
      <c r="BN1203" s="4">
        <f t="shared" si="20"/>
        <v>1</v>
      </c>
    </row>
    <row r="1204" spans="63:66" x14ac:dyDescent="0.6">
      <c r="BK1204" s="4" t="str">
        <f>IFERROR(VLOOKUP(TEXT($B$3,"yyyymmdd")&amp;"_"&amp;TEXT(1193,"0000"),RawData!$A$2:$F$1441,4,FALSE),"")</f>
        <v>0A</v>
      </c>
      <c r="BL1204" s="19">
        <f>TIME(0,0,0)+1193/1440</f>
        <v>0.82847222222222228</v>
      </c>
      <c r="BM1204" s="4">
        <f>IFERROR(VLOOKUP(TEXT($B$3,"yyyymmdd")&amp;"_"&amp;TEXT(1193,"0000"),RawData!$A$2:$F$1441,5,FALSE),"")</f>
        <v>0</v>
      </c>
      <c r="BN1204" s="4">
        <f t="shared" si="20"/>
        <v>0</v>
      </c>
    </row>
    <row r="1205" spans="63:66" x14ac:dyDescent="0.6">
      <c r="BK1205" s="4" t="str">
        <f>IFERROR(VLOOKUP(TEXT($B$3,"yyyymmdd")&amp;"_"&amp;TEXT(1194,"0000"),RawData!$A$2:$F$1441,4,FALSE),"")</f>
        <v>0A</v>
      </c>
      <c r="BL1205" s="19">
        <f>TIME(0,0,0)+1194/1440</f>
        <v>0.82916666666666672</v>
      </c>
      <c r="BM1205" s="4">
        <f>IFERROR(VLOOKUP(TEXT($B$3,"yyyymmdd")&amp;"_"&amp;TEXT(1194,"0000"),RawData!$A$2:$F$1441,5,FALSE),"")</f>
        <v>0</v>
      </c>
      <c r="BN1205" s="4">
        <f t="shared" si="20"/>
        <v>0</v>
      </c>
    </row>
    <row r="1206" spans="63:66" x14ac:dyDescent="0.6">
      <c r="BK1206" s="4" t="str">
        <f>IFERROR(VLOOKUP(TEXT($B$3,"yyyymmdd")&amp;"_"&amp;TEXT(1195,"0000"),RawData!$A$2:$F$1441,4,FALSE),"")</f>
        <v>0A</v>
      </c>
      <c r="BL1206" s="19">
        <f>TIME(0,0,0)+1195/1440</f>
        <v>0.82986111111111116</v>
      </c>
      <c r="BM1206" s="4">
        <f>IFERROR(VLOOKUP(TEXT($B$3,"yyyymmdd")&amp;"_"&amp;TEXT(1195,"0000"),RawData!$A$2:$F$1441,5,FALSE),"")</f>
        <v>5.9500000000000004E-4</v>
      </c>
      <c r="BN1206" s="4">
        <f t="shared" si="20"/>
        <v>0</v>
      </c>
    </row>
    <row r="1207" spans="63:66" x14ac:dyDescent="0.6">
      <c r="BK1207" s="4" t="str">
        <f>IFERROR(VLOOKUP(TEXT($B$3,"yyyymmdd")&amp;"_"&amp;TEXT(1196,"0000"),RawData!$A$2:$F$1441,4,FALSE),"")</f>
        <v>0A</v>
      </c>
      <c r="BL1207" s="19">
        <f>TIME(0,0,0)+1196/1440</f>
        <v>0.8305555555555556</v>
      </c>
      <c r="BM1207" s="4">
        <f>IFERROR(VLOOKUP(TEXT($B$3,"yyyymmdd")&amp;"_"&amp;TEXT(1196,"0000"),RawData!$A$2:$F$1441,5,FALSE),"")</f>
        <v>0</v>
      </c>
      <c r="BN1207" s="4">
        <f t="shared" si="20"/>
        <v>1</v>
      </c>
    </row>
    <row r="1208" spans="63:66" x14ac:dyDescent="0.6">
      <c r="BK1208" s="4" t="str">
        <f>IFERROR(VLOOKUP(TEXT($B$3,"yyyymmdd")&amp;"_"&amp;TEXT(1197,"0000"),RawData!$A$2:$F$1441,4,FALSE),"")</f>
        <v>0A</v>
      </c>
      <c r="BL1208" s="19">
        <f>TIME(0,0,0)+1197/1440</f>
        <v>0.83125000000000004</v>
      </c>
      <c r="BM1208" s="4">
        <f>IFERROR(VLOOKUP(TEXT($B$3,"yyyymmdd")&amp;"_"&amp;TEXT(1197,"0000"),RawData!$A$2:$F$1441,5,FALSE),"")</f>
        <v>0</v>
      </c>
      <c r="BN1208" s="4">
        <f t="shared" si="20"/>
        <v>0</v>
      </c>
    </row>
    <row r="1209" spans="63:66" x14ac:dyDescent="0.6">
      <c r="BK1209" s="4" t="str">
        <f>IFERROR(VLOOKUP(TEXT($B$3,"yyyymmdd")&amp;"_"&amp;TEXT(1198,"0000"),RawData!$A$2:$F$1441,4,FALSE),"")</f>
        <v>0A</v>
      </c>
      <c r="BL1209" s="19">
        <f>TIME(0,0,0)+1198/1440</f>
        <v>0.83194444444444449</v>
      </c>
      <c r="BM1209" s="4">
        <f>IFERROR(VLOOKUP(TEXT($B$3,"yyyymmdd")&amp;"_"&amp;TEXT(1198,"0000"),RawData!$A$2:$F$1441,5,FALSE),"")</f>
        <v>0</v>
      </c>
      <c r="BN1209" s="4">
        <f t="shared" si="20"/>
        <v>1</v>
      </c>
    </row>
    <row r="1210" spans="63:66" x14ac:dyDescent="0.6">
      <c r="BK1210" s="4" t="str">
        <f>IFERROR(VLOOKUP(TEXT($B$3,"yyyymmdd")&amp;"_"&amp;TEXT(1199,"0000"),RawData!$A$2:$F$1441,4,FALSE),"")</f>
        <v>0A</v>
      </c>
      <c r="BL1210" s="19">
        <f>TIME(0,0,0)+1199/1440</f>
        <v>0.83263888888888893</v>
      </c>
      <c r="BM1210" s="4">
        <f>IFERROR(VLOOKUP(TEXT($B$3,"yyyymmdd")&amp;"_"&amp;TEXT(1199,"0000"),RawData!$A$2:$F$1441,5,FALSE),"")</f>
        <v>3.77E-4</v>
      </c>
      <c r="BN1210" s="4">
        <f t="shared" si="20"/>
        <v>0</v>
      </c>
    </row>
    <row r="1211" spans="63:66" x14ac:dyDescent="0.6">
      <c r="BK1211" s="4" t="str">
        <f>IFERROR(VLOOKUP(TEXT($B$3,"yyyymmdd")&amp;"_"&amp;TEXT(1200,"0000"),RawData!$A$2:$F$1441,4,FALSE),"")</f>
        <v>0A</v>
      </c>
      <c r="BL1211" s="19">
        <f>TIME(0,0,0)+1200/1440</f>
        <v>0.83333333333333337</v>
      </c>
      <c r="BM1211" s="4">
        <f>IFERROR(VLOOKUP(TEXT($B$3,"yyyymmdd")&amp;"_"&amp;TEXT(1200,"0000"),RawData!$A$2:$F$1441,5,FALSE),"")</f>
        <v>0</v>
      </c>
      <c r="BN1211" s="4">
        <f t="shared" si="20"/>
        <v>0</v>
      </c>
    </row>
    <row r="1212" spans="63:66" x14ac:dyDescent="0.6">
      <c r="BK1212" s="4" t="str">
        <f>IFERROR(VLOOKUP(TEXT($B$3,"yyyymmdd")&amp;"_"&amp;TEXT(1201,"0000"),RawData!$A$2:$F$1441,4,FALSE),"")</f>
        <v>01</v>
      </c>
      <c r="BL1212" s="19">
        <f>TIME(0,0,0)+1201/1440</f>
        <v>0.83402777777777781</v>
      </c>
      <c r="BM1212" s="4">
        <f>IFERROR(VLOOKUP(TEXT($B$3,"yyyymmdd")&amp;"_"&amp;TEXT(1201,"0000"),RawData!$A$2:$F$1441,5,FALSE),"")</f>
        <v>0</v>
      </c>
      <c r="BN1212" s="4">
        <f t="shared" si="20"/>
        <v>0</v>
      </c>
    </row>
    <row r="1213" spans="63:66" x14ac:dyDescent="0.6">
      <c r="BK1213" s="4" t="str">
        <f>IFERROR(VLOOKUP(TEXT($B$3,"yyyymmdd")&amp;"_"&amp;TEXT(1202,"0000"),RawData!$A$2:$F$1441,4,FALSE),"")</f>
        <v>01</v>
      </c>
      <c r="BL1213" s="19">
        <f>TIME(0,0,0)+1202/1440</f>
        <v>0.83472222222222225</v>
      </c>
      <c r="BM1213" s="4">
        <f>IFERROR(VLOOKUP(TEXT($B$3,"yyyymmdd")&amp;"_"&amp;TEXT(1202,"0000"),RawData!$A$2:$F$1441,5,FALSE),"")</f>
        <v>0</v>
      </c>
      <c r="BN1213" s="4">
        <f t="shared" si="20"/>
        <v>0</v>
      </c>
    </row>
    <row r="1214" spans="63:66" x14ac:dyDescent="0.6">
      <c r="BK1214" s="4" t="str">
        <f>IFERROR(VLOOKUP(TEXT($B$3,"yyyymmdd")&amp;"_"&amp;TEXT(1203,"0000"),RawData!$A$2:$F$1441,4,FALSE),"")</f>
        <v>01</v>
      </c>
      <c r="BL1214" s="19">
        <f>TIME(0,0,0)+1203/1440</f>
        <v>0.8354166666666667</v>
      </c>
      <c r="BM1214" s="4">
        <f>IFERROR(VLOOKUP(TEXT($B$3,"yyyymmdd")&amp;"_"&amp;TEXT(1203,"0000"),RawData!$A$2:$F$1441,5,FALSE),"")</f>
        <v>0</v>
      </c>
      <c r="BN1214" s="4">
        <f t="shared" si="20"/>
        <v>0</v>
      </c>
    </row>
    <row r="1215" spans="63:66" x14ac:dyDescent="0.6">
      <c r="BK1215" s="4" t="str">
        <f>IFERROR(VLOOKUP(TEXT($B$3,"yyyymmdd")&amp;"_"&amp;TEXT(1204,"0000"),RawData!$A$2:$F$1441,4,FALSE),"")</f>
        <v>01</v>
      </c>
      <c r="BL1215" s="19">
        <f>TIME(0,0,0)+1204/1440</f>
        <v>0.83611111111111114</v>
      </c>
      <c r="BM1215" s="4">
        <f>IFERROR(VLOOKUP(TEXT($B$3,"yyyymmdd")&amp;"_"&amp;TEXT(1204,"0000"),RawData!$A$2:$F$1441,5,FALSE),"")</f>
        <v>3.7100000000000002E-4</v>
      </c>
      <c r="BN1215" s="4">
        <f t="shared" si="20"/>
        <v>0</v>
      </c>
    </row>
    <row r="1216" spans="63:66" x14ac:dyDescent="0.6">
      <c r="BK1216" s="4" t="str">
        <f>IFERROR(VLOOKUP(TEXT($B$3,"yyyymmdd")&amp;"_"&amp;TEXT(1205,"0000"),RawData!$A$2:$F$1441,4,FALSE),"")</f>
        <v>01</v>
      </c>
      <c r="BL1216" s="19">
        <f>TIME(0,0,0)+1205/1440</f>
        <v>0.83680555555555558</v>
      </c>
      <c r="BM1216" s="4">
        <f>IFERROR(VLOOKUP(TEXT($B$3,"yyyymmdd")&amp;"_"&amp;TEXT(1205,"0000"),RawData!$A$2:$F$1441,5,FALSE),"")</f>
        <v>0</v>
      </c>
      <c r="BN1216" s="4">
        <f t="shared" si="20"/>
        <v>0</v>
      </c>
    </row>
    <row r="1217" spans="63:66" x14ac:dyDescent="0.6">
      <c r="BK1217" s="4" t="str">
        <f>IFERROR(VLOOKUP(TEXT($B$3,"yyyymmdd")&amp;"_"&amp;TEXT(1206,"0000"),RawData!$A$2:$F$1441,4,FALSE),"")</f>
        <v>01</v>
      </c>
      <c r="BL1217" s="19">
        <f>TIME(0,0,0)+1206/1440</f>
        <v>0.83750000000000002</v>
      </c>
      <c r="BM1217" s="4">
        <f>IFERROR(VLOOKUP(TEXT($B$3,"yyyymmdd")&amp;"_"&amp;TEXT(1206,"0000"),RawData!$A$2:$F$1441,5,FALSE),"")</f>
        <v>1.7799999999999999E-4</v>
      </c>
      <c r="BN1217" s="4">
        <f t="shared" si="20"/>
        <v>0</v>
      </c>
    </row>
    <row r="1218" spans="63:66" x14ac:dyDescent="0.6">
      <c r="BK1218" s="4" t="str">
        <f>IFERROR(VLOOKUP(TEXT($B$3,"yyyymmdd")&amp;"_"&amp;TEXT(1207,"0000"),RawData!$A$2:$F$1441,4,FALSE),"")</f>
        <v>01</v>
      </c>
      <c r="BL1218" s="19">
        <f>TIME(0,0,0)+1207/1440</f>
        <v>0.83819444444444446</v>
      </c>
      <c r="BM1218" s="4">
        <f>IFERROR(VLOOKUP(TEXT($B$3,"yyyymmdd")&amp;"_"&amp;TEXT(1207,"0000"),RawData!$A$2:$F$1441,5,FALSE),"")</f>
        <v>4.0099999999999999E-4</v>
      </c>
      <c r="BN1218" s="4">
        <f t="shared" si="20"/>
        <v>1</v>
      </c>
    </row>
    <row r="1219" spans="63:66" x14ac:dyDescent="0.6">
      <c r="BK1219" s="4" t="str">
        <f>IFERROR(VLOOKUP(TEXT($B$3,"yyyymmdd")&amp;"_"&amp;TEXT(1208,"0000"),RawData!$A$2:$F$1441,4,FALSE),"")</f>
        <v>01</v>
      </c>
      <c r="BL1219" s="19">
        <f>TIME(0,0,0)+1208/1440</f>
        <v>0.83888888888888891</v>
      </c>
      <c r="BM1219" s="4">
        <f>IFERROR(VLOOKUP(TEXT($B$3,"yyyymmdd")&amp;"_"&amp;TEXT(1208,"0000"),RawData!$A$2:$F$1441,5,FALSE),"")</f>
        <v>3.7300000000000001E-4</v>
      </c>
      <c r="BN1219" s="4">
        <f t="shared" si="20"/>
        <v>0</v>
      </c>
    </row>
    <row r="1220" spans="63:66" x14ac:dyDescent="0.6">
      <c r="BK1220" s="4" t="str">
        <f>IFERROR(VLOOKUP(TEXT($B$3,"yyyymmdd")&amp;"_"&amp;TEXT(1209,"0000"),RawData!$A$2:$F$1441,4,FALSE),"")</f>
        <v>01</v>
      </c>
      <c r="BL1220" s="19">
        <f>TIME(0,0,0)+1209/1440</f>
        <v>0.83958333333333335</v>
      </c>
      <c r="BM1220" s="4">
        <f>IFERROR(VLOOKUP(TEXT($B$3,"yyyymmdd")&amp;"_"&amp;TEXT(1209,"0000"),RawData!$A$2:$F$1441,5,FALSE),"")</f>
        <v>0</v>
      </c>
      <c r="BN1220" s="4">
        <f t="shared" si="20"/>
        <v>0</v>
      </c>
    </row>
    <row r="1221" spans="63:66" x14ac:dyDescent="0.6">
      <c r="BK1221" s="4" t="str">
        <f>IFERROR(VLOOKUP(TEXT($B$3,"yyyymmdd")&amp;"_"&amp;TEXT(1210,"0000"),RawData!$A$2:$F$1441,4,FALSE),"")</f>
        <v>01</v>
      </c>
      <c r="BL1221" s="19">
        <f>TIME(0,0,0)+1210/1440</f>
        <v>0.84027777777777779</v>
      </c>
      <c r="BM1221" s="4">
        <f>IFERROR(VLOOKUP(TEXT($B$3,"yyyymmdd")&amp;"_"&amp;TEXT(1210,"0000"),RawData!$A$2:$F$1441,5,FALSE),"")</f>
        <v>0</v>
      </c>
      <c r="BN1221" s="4">
        <f t="shared" si="20"/>
        <v>0</v>
      </c>
    </row>
    <row r="1222" spans="63:66" x14ac:dyDescent="0.6">
      <c r="BK1222" s="4" t="str">
        <f>IFERROR(VLOOKUP(TEXT($B$3,"yyyymmdd")&amp;"_"&amp;TEXT(1211,"0000"),RawData!$A$2:$F$1441,4,FALSE),"")</f>
        <v>01</v>
      </c>
      <c r="BL1222" s="19">
        <f>TIME(0,0,0)+1211/1440</f>
        <v>0.84097222222222223</v>
      </c>
      <c r="BM1222" s="4">
        <f>IFERROR(VLOOKUP(TEXT($B$3,"yyyymmdd")&amp;"_"&amp;TEXT(1211,"0000"),RawData!$A$2:$F$1441,5,FALSE),"")</f>
        <v>0</v>
      </c>
      <c r="BN1222" s="4">
        <f t="shared" si="20"/>
        <v>0</v>
      </c>
    </row>
    <row r="1223" spans="63:66" x14ac:dyDescent="0.6">
      <c r="BK1223" s="4" t="str">
        <f>IFERROR(VLOOKUP(TEXT($B$3,"yyyymmdd")&amp;"_"&amp;TEXT(1212,"0000"),RawData!$A$2:$F$1441,4,FALSE),"")</f>
        <v>01</v>
      </c>
      <c r="BL1223" s="19">
        <f>TIME(0,0,0)+1212/1440</f>
        <v>0.84166666666666667</v>
      </c>
      <c r="BM1223" s="4">
        <f>IFERROR(VLOOKUP(TEXT($B$3,"yyyymmdd")&amp;"_"&amp;TEXT(1212,"0000"),RawData!$A$2:$F$1441,5,FALSE),"")</f>
        <v>3.86E-4</v>
      </c>
      <c r="BN1223" s="4">
        <f t="shared" si="20"/>
        <v>0</v>
      </c>
    </row>
    <row r="1224" spans="63:66" x14ac:dyDescent="0.6">
      <c r="BK1224" s="4" t="str">
        <f>IFERROR(VLOOKUP(TEXT($B$3,"yyyymmdd")&amp;"_"&amp;TEXT(1213,"0000"),RawData!$A$2:$F$1441,4,FALSE),"")</f>
        <v>0A</v>
      </c>
      <c r="BL1224" s="19">
        <f>TIME(0,0,0)+1213/1440</f>
        <v>0.84236111111111112</v>
      </c>
      <c r="BM1224" s="4">
        <f>IFERROR(VLOOKUP(TEXT($B$3,"yyyymmdd")&amp;"_"&amp;TEXT(1213,"0000"),RawData!$A$2:$F$1441,5,FALSE),"")</f>
        <v>2.8499999999999999E-4</v>
      </c>
      <c r="BN1224" s="4">
        <f t="shared" si="20"/>
        <v>0</v>
      </c>
    </row>
    <row r="1225" spans="63:66" x14ac:dyDescent="0.6">
      <c r="BK1225" s="4" t="str">
        <f>IFERROR(VLOOKUP(TEXT($B$3,"yyyymmdd")&amp;"_"&amp;TEXT(1214,"0000"),RawData!$A$2:$F$1441,4,FALSE),"")</f>
        <v>0A</v>
      </c>
      <c r="BL1225" s="19">
        <f>TIME(0,0,0)+1214/1440</f>
        <v>0.84305555555555556</v>
      </c>
      <c r="BM1225" s="4">
        <f>IFERROR(VLOOKUP(TEXT($B$3,"yyyymmdd")&amp;"_"&amp;TEXT(1214,"0000"),RawData!$A$2:$F$1441,5,FALSE),"")</f>
        <v>2.7099999999999997E-4</v>
      </c>
      <c r="BN1225" s="4">
        <f t="shared" si="20"/>
        <v>0</v>
      </c>
    </row>
    <row r="1226" spans="63:66" x14ac:dyDescent="0.6">
      <c r="BK1226" s="4" t="str">
        <f>IFERROR(VLOOKUP(TEXT($B$3,"yyyymmdd")&amp;"_"&amp;TEXT(1215,"0000"),RawData!$A$2:$F$1441,4,FALSE),"")</f>
        <v>14</v>
      </c>
      <c r="BL1226" s="19">
        <f>TIME(0,0,0)+1215/1440</f>
        <v>0.84375</v>
      </c>
      <c r="BM1226" s="4">
        <f>IFERROR(VLOOKUP(TEXT($B$3,"yyyymmdd")&amp;"_"&amp;TEXT(1215,"0000"),RawData!$A$2:$F$1441,5,FALSE),"")</f>
        <v>3.9599999999999998E-4</v>
      </c>
      <c r="BN1226" s="4">
        <f t="shared" si="20"/>
        <v>0</v>
      </c>
    </row>
    <row r="1227" spans="63:66" x14ac:dyDescent="0.6">
      <c r="BK1227" s="4" t="str">
        <f>IFERROR(VLOOKUP(TEXT($B$3,"yyyymmdd")&amp;"_"&amp;TEXT(1216,"0000"),RawData!$A$2:$F$1441,4,FALSE),"")</f>
        <v>0A</v>
      </c>
      <c r="BL1227" s="19">
        <f>TIME(0,0,0)+1216/1440</f>
        <v>0.84444444444444444</v>
      </c>
      <c r="BM1227" s="4">
        <f>IFERROR(VLOOKUP(TEXT($B$3,"yyyymmdd")&amp;"_"&amp;TEXT(1216,"0000"),RawData!$A$2:$F$1441,5,FALSE),"")</f>
        <v>3.4990550000000002E-2</v>
      </c>
      <c r="BN1227" s="4">
        <f t="shared" si="20"/>
        <v>0</v>
      </c>
    </row>
    <row r="1228" spans="63:66" x14ac:dyDescent="0.6">
      <c r="BK1228" s="4" t="str">
        <f>IFERROR(VLOOKUP(TEXT($B$3,"yyyymmdd")&amp;"_"&amp;TEXT(1217,"0000"),RawData!$A$2:$F$1441,4,FALSE),"")</f>
        <v>0A</v>
      </c>
      <c r="BL1228" s="19">
        <f>TIME(0,0,0)+1217/1440</f>
        <v>0.84513888888888888</v>
      </c>
      <c r="BM1228" s="4">
        <f>IFERROR(VLOOKUP(TEXT($B$3,"yyyymmdd")&amp;"_"&amp;TEXT(1217,"0000"),RawData!$A$2:$F$1441,5,FALSE),"")</f>
        <v>0</v>
      </c>
      <c r="BN1228" s="4">
        <f t="shared" si="20"/>
        <v>0</v>
      </c>
    </row>
    <row r="1229" spans="63:66" x14ac:dyDescent="0.6">
      <c r="BK1229" s="4" t="str">
        <f>IFERROR(VLOOKUP(TEXT($B$3,"yyyymmdd")&amp;"_"&amp;TEXT(1218,"0000"),RawData!$A$2:$F$1441,4,FALSE),"")</f>
        <v>0A</v>
      </c>
      <c r="BL1229" s="19">
        <f>TIME(0,0,0)+1218/1440</f>
        <v>0.84583333333333333</v>
      </c>
      <c r="BM1229" s="4">
        <f>IFERROR(VLOOKUP(TEXT($B$3,"yyyymmdd")&amp;"_"&amp;TEXT(1218,"0000"),RawData!$A$2:$F$1441,5,FALSE),"")</f>
        <v>0</v>
      </c>
      <c r="BN1229" s="4">
        <f t="shared" si="20"/>
        <v>0</v>
      </c>
    </row>
    <row r="1230" spans="63:66" x14ac:dyDescent="0.6">
      <c r="BK1230" s="4" t="str">
        <f>IFERROR(VLOOKUP(TEXT($B$3,"yyyymmdd")&amp;"_"&amp;TEXT(1219,"0000"),RawData!$A$2:$F$1441,4,FALSE),"")</f>
        <v>1E</v>
      </c>
      <c r="BL1230" s="19">
        <f>TIME(0,0,0)+1219/1440</f>
        <v>0.84652777777777777</v>
      </c>
      <c r="BM1230" s="4">
        <f>IFERROR(VLOOKUP(TEXT($B$3,"yyyymmdd")&amp;"_"&amp;TEXT(1219,"0000"),RawData!$A$2:$F$1441,5,FALSE),"")</f>
        <v>0</v>
      </c>
      <c r="BN1230" s="4">
        <f t="shared" si="20"/>
        <v>1</v>
      </c>
    </row>
    <row r="1231" spans="63:66" x14ac:dyDescent="0.6">
      <c r="BK1231" s="4" t="str">
        <f>IFERROR(VLOOKUP(TEXT($B$3,"yyyymmdd")&amp;"_"&amp;TEXT(1220,"0000"),RawData!$A$2:$F$1441,4,FALSE),"")</f>
        <v>01</v>
      </c>
      <c r="BL1231" s="19">
        <f>TIME(0,0,0)+1220/1440</f>
        <v>0.84722222222222221</v>
      </c>
      <c r="BM1231" s="4">
        <f>IFERROR(VLOOKUP(TEXT($B$3,"yyyymmdd")&amp;"_"&amp;TEXT(1220,"0000"),RawData!$A$2:$F$1441,5,FALSE),"")</f>
        <v>6.0300000000000002E-4</v>
      </c>
      <c r="BN1231" s="4">
        <f t="shared" si="20"/>
        <v>0</v>
      </c>
    </row>
    <row r="1232" spans="63:66" x14ac:dyDescent="0.6">
      <c r="BK1232" s="4" t="str">
        <f>IFERROR(VLOOKUP(TEXT($B$3,"yyyymmdd")&amp;"_"&amp;TEXT(1221,"0000"),RawData!$A$2:$F$1441,4,FALSE),"")</f>
        <v>1E</v>
      </c>
      <c r="BL1232" s="19">
        <f>TIME(0,0,0)+1221/1440</f>
        <v>0.84791666666666665</v>
      </c>
      <c r="BM1232" s="4">
        <f>IFERROR(VLOOKUP(TEXT($B$3,"yyyymmdd")&amp;"_"&amp;TEXT(1221,"0000"),RawData!$A$2:$F$1441,5,FALSE),"")</f>
        <v>0</v>
      </c>
      <c r="BN1232" s="4">
        <f t="shared" si="20"/>
        <v>1</v>
      </c>
    </row>
    <row r="1233" spans="63:66" x14ac:dyDescent="0.6">
      <c r="BK1233" s="4" t="str">
        <f>IFERROR(VLOOKUP(TEXT($B$3,"yyyymmdd")&amp;"_"&amp;TEXT(1222,"0000"),RawData!$A$2:$F$1441,4,FALSE),"")</f>
        <v>01</v>
      </c>
      <c r="BL1233" s="19">
        <f>TIME(0,0,0)+1222/1440</f>
        <v>0.84861111111111109</v>
      </c>
      <c r="BM1233" s="4">
        <f>IFERROR(VLOOKUP(TEXT($B$3,"yyyymmdd")&amp;"_"&amp;TEXT(1222,"0000"),RawData!$A$2:$F$1441,5,FALSE),"")</f>
        <v>0</v>
      </c>
      <c r="BN1233" s="4">
        <f t="shared" si="20"/>
        <v>1</v>
      </c>
    </row>
    <row r="1234" spans="63:66" x14ac:dyDescent="0.6">
      <c r="BK1234" s="4" t="str">
        <f>IFERROR(VLOOKUP(TEXT($B$3,"yyyymmdd")&amp;"_"&amp;TEXT(1223,"0000"),RawData!$A$2:$F$1441,4,FALSE),"")</f>
        <v>01</v>
      </c>
      <c r="BL1234" s="19">
        <f>TIME(0,0,0)+1223/1440</f>
        <v>0.84930555555555554</v>
      </c>
      <c r="BM1234" s="4">
        <f>IFERROR(VLOOKUP(TEXT($B$3,"yyyymmdd")&amp;"_"&amp;TEXT(1223,"0000"),RawData!$A$2:$F$1441,5,FALSE),"")</f>
        <v>4.2700000000000002E-4</v>
      </c>
      <c r="BN1234" s="4">
        <f t="shared" si="20"/>
        <v>0</v>
      </c>
    </row>
    <row r="1235" spans="63:66" x14ac:dyDescent="0.6">
      <c r="BK1235" s="4" t="str">
        <f>IFERROR(VLOOKUP(TEXT($B$3,"yyyymmdd")&amp;"_"&amp;TEXT(1224,"0000"),RawData!$A$2:$F$1441,4,FALSE),"")</f>
        <v>01</v>
      </c>
      <c r="BL1235" s="19">
        <f>TIME(0,0,0)+1224/1440</f>
        <v>0.85</v>
      </c>
      <c r="BM1235" s="4">
        <f>IFERROR(VLOOKUP(TEXT($B$3,"yyyymmdd")&amp;"_"&amp;TEXT(1224,"0000"),RawData!$A$2:$F$1441,5,FALSE),"")</f>
        <v>0</v>
      </c>
      <c r="BN1235" s="4">
        <f t="shared" si="20"/>
        <v>0</v>
      </c>
    </row>
    <row r="1236" spans="63:66" x14ac:dyDescent="0.6">
      <c r="BK1236" s="4" t="str">
        <f>IFERROR(VLOOKUP(TEXT($B$3,"yyyymmdd")&amp;"_"&amp;TEXT(1225,"0000"),RawData!$A$2:$F$1441,4,FALSE),"")</f>
        <v>01</v>
      </c>
      <c r="BL1236" s="19">
        <f>TIME(0,0,0)+1225/1440</f>
        <v>0.85069444444444442</v>
      </c>
      <c r="BM1236" s="4">
        <f>IFERROR(VLOOKUP(TEXT($B$3,"yyyymmdd")&amp;"_"&amp;TEXT(1225,"0000"),RawData!$A$2:$F$1441,5,FALSE),"")</f>
        <v>2.3000000000000001E-4</v>
      </c>
      <c r="BN1236" s="4">
        <f t="shared" si="20"/>
        <v>1</v>
      </c>
    </row>
    <row r="1237" spans="63:66" x14ac:dyDescent="0.6">
      <c r="BK1237" s="4" t="str">
        <f>IFERROR(VLOOKUP(TEXT($B$3,"yyyymmdd")&amp;"_"&amp;TEXT(1226,"0000"),RawData!$A$2:$F$1441,4,FALSE),"")</f>
        <v>01</v>
      </c>
      <c r="BL1237" s="19">
        <f>TIME(0,0,0)+1226/1440</f>
        <v>0.85138888888888886</v>
      </c>
      <c r="BM1237" s="4">
        <f>IFERROR(VLOOKUP(TEXT($B$3,"yyyymmdd")&amp;"_"&amp;TEXT(1226,"0000"),RawData!$A$2:$F$1441,5,FALSE),"")</f>
        <v>2.5900000000000001E-4</v>
      </c>
      <c r="BN1237" s="4">
        <f t="shared" si="20"/>
        <v>1</v>
      </c>
    </row>
    <row r="1238" spans="63:66" x14ac:dyDescent="0.6">
      <c r="BK1238" s="4" t="str">
        <f>IFERROR(VLOOKUP(TEXT($B$3,"yyyymmdd")&amp;"_"&amp;TEXT(1227,"0000"),RawData!$A$2:$F$1441,4,FALSE),"")</f>
        <v>01</v>
      </c>
      <c r="BL1238" s="19">
        <f>TIME(0,0,0)+1227/1440</f>
        <v>0.8520833333333333</v>
      </c>
      <c r="BM1238" s="4">
        <f>IFERROR(VLOOKUP(TEXT($B$3,"yyyymmdd")&amp;"_"&amp;TEXT(1227,"0000"),RawData!$A$2:$F$1441,5,FALSE),"")</f>
        <v>0</v>
      </c>
      <c r="BN1238" s="4">
        <f t="shared" si="20"/>
        <v>1</v>
      </c>
    </row>
    <row r="1239" spans="63:66" x14ac:dyDescent="0.6">
      <c r="BK1239" s="4" t="str">
        <f>IFERROR(VLOOKUP(TEXT($B$3,"yyyymmdd")&amp;"_"&amp;TEXT(1228,"0000"),RawData!$A$2:$F$1441,4,FALSE),"")</f>
        <v>0A</v>
      </c>
      <c r="BL1239" s="19">
        <f>TIME(0,0,0)+1228/1440</f>
        <v>0.85277777777777775</v>
      </c>
      <c r="BM1239" s="4">
        <f>IFERROR(VLOOKUP(TEXT($B$3,"yyyymmdd")&amp;"_"&amp;TEXT(1228,"0000"),RawData!$A$2:$F$1441,5,FALSE),"")</f>
        <v>0</v>
      </c>
      <c r="BN1239" s="4">
        <f t="shared" si="20"/>
        <v>1</v>
      </c>
    </row>
    <row r="1240" spans="63:66" x14ac:dyDescent="0.6">
      <c r="BK1240" s="4" t="str">
        <f>IFERROR(VLOOKUP(TEXT($B$3,"yyyymmdd")&amp;"_"&amp;TEXT(1229,"0000"),RawData!$A$2:$F$1441,4,FALSE),"")</f>
        <v>0A</v>
      </c>
      <c r="BL1240" s="19">
        <f>TIME(0,0,0)+1229/1440</f>
        <v>0.85347222222222219</v>
      </c>
      <c r="BM1240" s="4">
        <f>IFERROR(VLOOKUP(TEXT($B$3,"yyyymmdd")&amp;"_"&amp;TEXT(1229,"0000"),RawData!$A$2:$F$1441,5,FALSE),"")</f>
        <v>0</v>
      </c>
      <c r="BN1240" s="4">
        <f t="shared" si="20"/>
        <v>0</v>
      </c>
    </row>
    <row r="1241" spans="63:66" x14ac:dyDescent="0.6">
      <c r="BK1241" s="4" t="str">
        <f>IFERROR(VLOOKUP(TEXT($B$3,"yyyymmdd")&amp;"_"&amp;TEXT(1230,"0000"),RawData!$A$2:$F$1441,4,FALSE),"")</f>
        <v>0A</v>
      </c>
      <c r="BL1241" s="19">
        <f>TIME(0,0,0)+1230/1440</f>
        <v>0.85416666666666663</v>
      </c>
      <c r="BM1241" s="4">
        <f>IFERROR(VLOOKUP(TEXT($B$3,"yyyymmdd")&amp;"_"&amp;TEXT(1230,"0000"),RawData!$A$2:$F$1441,5,FALSE),"")</f>
        <v>0</v>
      </c>
      <c r="BN1241" s="4">
        <f t="shared" si="20"/>
        <v>0</v>
      </c>
    </row>
    <row r="1242" spans="63:66" x14ac:dyDescent="0.6">
      <c r="BK1242" s="4" t="str">
        <f>IFERROR(VLOOKUP(TEXT($B$3,"yyyymmdd")&amp;"_"&amp;TEXT(1231,"0000"),RawData!$A$2:$F$1441,4,FALSE),"")</f>
        <v>0A</v>
      </c>
      <c r="BL1242" s="19">
        <f>TIME(0,0,0)+1231/1440</f>
        <v>0.85486111111111107</v>
      </c>
      <c r="BM1242" s="4">
        <f>IFERROR(VLOOKUP(TEXT($B$3,"yyyymmdd")&amp;"_"&amp;TEXT(1231,"0000"),RawData!$A$2:$F$1441,5,FALSE),"")</f>
        <v>0</v>
      </c>
      <c r="BN1242" s="4">
        <f t="shared" si="20"/>
        <v>0</v>
      </c>
    </row>
    <row r="1243" spans="63:66" x14ac:dyDescent="0.6">
      <c r="BK1243" s="4" t="str">
        <f>IFERROR(VLOOKUP(TEXT($B$3,"yyyymmdd")&amp;"_"&amp;TEXT(1232,"0000"),RawData!$A$2:$F$1441,4,FALSE),"")</f>
        <v>1E</v>
      </c>
      <c r="BL1243" s="19">
        <f>TIME(0,0,0)+1232/1440</f>
        <v>0.85555555555555551</v>
      </c>
      <c r="BM1243" s="4">
        <f>IFERROR(VLOOKUP(TEXT($B$3,"yyyymmdd")&amp;"_"&amp;TEXT(1232,"0000"),RawData!$A$2:$F$1441,5,FALSE),"")</f>
        <v>0</v>
      </c>
      <c r="BN1243" s="4">
        <f t="shared" si="20"/>
        <v>0</v>
      </c>
    </row>
    <row r="1244" spans="63:66" x14ac:dyDescent="0.6">
      <c r="BK1244" s="4" t="str">
        <f>IFERROR(VLOOKUP(TEXT($B$3,"yyyymmdd")&amp;"_"&amp;TEXT(1233,"0000"),RawData!$A$2:$F$1441,4,FALSE),"")</f>
        <v>1E</v>
      </c>
      <c r="BL1244" s="19">
        <f>TIME(0,0,0)+1233/1440</f>
        <v>0.85624999999999996</v>
      </c>
      <c r="BM1244" s="4">
        <f>IFERROR(VLOOKUP(TEXT($B$3,"yyyymmdd")&amp;"_"&amp;TEXT(1233,"0000"),RawData!$A$2:$F$1441,5,FALSE),"")</f>
        <v>2.7099999999999997E-4</v>
      </c>
      <c r="BN1244" s="4">
        <f t="shared" si="20"/>
        <v>0</v>
      </c>
    </row>
    <row r="1245" spans="63:66" x14ac:dyDescent="0.6">
      <c r="BK1245" s="4" t="str">
        <f>IFERROR(VLOOKUP(TEXT($B$3,"yyyymmdd")&amp;"_"&amp;TEXT(1234,"0000"),RawData!$A$2:$F$1441,4,FALSE),"")</f>
        <v>1E</v>
      </c>
      <c r="BL1245" s="19">
        <f>TIME(0,0,0)+1234/1440</f>
        <v>0.8569444444444444</v>
      </c>
      <c r="BM1245" s="4">
        <f>IFERROR(VLOOKUP(TEXT($B$3,"yyyymmdd")&amp;"_"&amp;TEXT(1234,"0000"),RawData!$A$2:$F$1441,5,FALSE),"")</f>
        <v>3.7599999999999998E-4</v>
      </c>
      <c r="BN1245" s="4">
        <f t="shared" si="20"/>
        <v>1</v>
      </c>
    </row>
    <row r="1246" spans="63:66" x14ac:dyDescent="0.6">
      <c r="BK1246" s="4" t="str">
        <f>IFERROR(VLOOKUP(TEXT($B$3,"yyyymmdd")&amp;"_"&amp;TEXT(1235,"0000"),RawData!$A$2:$F$1441,4,FALSE),"")</f>
        <v>1E</v>
      </c>
      <c r="BL1246" s="19">
        <f>TIME(0,0,0)+1235/1440</f>
        <v>0.85763888888888884</v>
      </c>
      <c r="BM1246" s="4">
        <f>IFERROR(VLOOKUP(TEXT($B$3,"yyyymmdd")&amp;"_"&amp;TEXT(1235,"0000"),RawData!$A$2:$F$1441,5,FALSE),"")</f>
        <v>0</v>
      </c>
      <c r="BN1246" s="4">
        <f t="shared" si="20"/>
        <v>0</v>
      </c>
    </row>
    <row r="1247" spans="63:66" x14ac:dyDescent="0.6">
      <c r="BK1247" s="4" t="str">
        <f>IFERROR(VLOOKUP(TEXT($B$3,"yyyymmdd")&amp;"_"&amp;TEXT(1236,"0000"),RawData!$A$2:$F$1441,4,FALSE),"")</f>
        <v>0A</v>
      </c>
      <c r="BL1247" s="19">
        <f>TIME(0,0,0)+1236/1440</f>
        <v>0.85833333333333328</v>
      </c>
      <c r="BM1247" s="4">
        <f>IFERROR(VLOOKUP(TEXT($B$3,"yyyymmdd")&amp;"_"&amp;TEXT(1236,"0000"),RawData!$A$2:$F$1441,5,FALSE),"")</f>
        <v>3.4900000000000003E-4</v>
      </c>
      <c r="BN1247" s="4">
        <f t="shared" si="20"/>
        <v>0</v>
      </c>
    </row>
    <row r="1248" spans="63:66" x14ac:dyDescent="0.6">
      <c r="BK1248" s="4" t="str">
        <f>IFERROR(VLOOKUP(TEXT($B$3,"yyyymmdd")&amp;"_"&amp;TEXT(1237,"0000"),RawData!$A$2:$F$1441,4,FALSE),"")</f>
        <v>0A</v>
      </c>
      <c r="BL1248" s="19">
        <f>TIME(0,0,0)+1237/1440</f>
        <v>0.85902777777777772</v>
      </c>
      <c r="BM1248" s="4">
        <f>IFERROR(VLOOKUP(TEXT($B$3,"yyyymmdd")&amp;"_"&amp;TEXT(1237,"0000"),RawData!$A$2:$F$1441,5,FALSE),"")</f>
        <v>4.44E-4</v>
      </c>
      <c r="BN1248" s="4">
        <f t="shared" si="20"/>
        <v>0</v>
      </c>
    </row>
    <row r="1249" spans="63:66" x14ac:dyDescent="0.6">
      <c r="BK1249" s="4" t="str">
        <f>IFERROR(VLOOKUP(TEXT($B$3,"yyyymmdd")&amp;"_"&amp;TEXT(1238,"0000"),RawData!$A$2:$F$1441,4,FALSE),"")</f>
        <v>0A</v>
      </c>
      <c r="BL1249" s="19">
        <f>TIME(0,0,0)+1238/1440</f>
        <v>0.85972222222222228</v>
      </c>
      <c r="BM1249" s="4">
        <f>IFERROR(VLOOKUP(TEXT($B$3,"yyyymmdd")&amp;"_"&amp;TEXT(1238,"0000"),RawData!$A$2:$F$1441,5,FALSE),"")</f>
        <v>0</v>
      </c>
      <c r="BN1249" s="4">
        <f t="shared" si="20"/>
        <v>1</v>
      </c>
    </row>
    <row r="1250" spans="63:66" x14ac:dyDescent="0.6">
      <c r="BK1250" s="4" t="str">
        <f>IFERROR(VLOOKUP(TEXT($B$3,"yyyymmdd")&amp;"_"&amp;TEXT(1239,"0000"),RawData!$A$2:$F$1441,4,FALSE),"")</f>
        <v>0A</v>
      </c>
      <c r="BL1250" s="19">
        <f>TIME(0,0,0)+1239/1440</f>
        <v>0.86041666666666672</v>
      </c>
      <c r="BM1250" s="4">
        <f>IFERROR(VLOOKUP(TEXT($B$3,"yyyymmdd")&amp;"_"&amp;TEXT(1239,"0000"),RawData!$A$2:$F$1441,5,FALSE),"")</f>
        <v>4.9299999999999995E-4</v>
      </c>
      <c r="BN1250" s="4">
        <f t="shared" si="20"/>
        <v>0</v>
      </c>
    </row>
    <row r="1251" spans="63:66" x14ac:dyDescent="0.6">
      <c r="BK1251" s="4" t="str">
        <f>IFERROR(VLOOKUP(TEXT($B$3,"yyyymmdd")&amp;"_"&amp;TEXT(1240,"0000"),RawData!$A$2:$F$1441,4,FALSE),"")</f>
        <v>0A</v>
      </c>
      <c r="BL1251" s="19">
        <f>TIME(0,0,0)+1240/1440</f>
        <v>0.86111111111111116</v>
      </c>
      <c r="BM1251" s="4">
        <f>IFERROR(VLOOKUP(TEXT($B$3,"yyyymmdd")&amp;"_"&amp;TEXT(1240,"0000"),RawData!$A$2:$F$1441,5,FALSE),"")</f>
        <v>0</v>
      </c>
      <c r="BN1251" s="4">
        <f t="shared" si="20"/>
        <v>0</v>
      </c>
    </row>
    <row r="1252" spans="63:66" x14ac:dyDescent="0.6">
      <c r="BK1252" s="4" t="str">
        <f>IFERROR(VLOOKUP(TEXT($B$3,"yyyymmdd")&amp;"_"&amp;TEXT(1241,"0000"),RawData!$A$2:$F$1441,4,FALSE),"")</f>
        <v>0A</v>
      </c>
      <c r="BL1252" s="19">
        <f>TIME(0,0,0)+1241/1440</f>
        <v>0.8618055555555556</v>
      </c>
      <c r="BM1252" s="4">
        <f>IFERROR(VLOOKUP(TEXT($B$3,"yyyymmdd")&amp;"_"&amp;TEXT(1241,"0000"),RawData!$A$2:$F$1441,5,FALSE),"")</f>
        <v>0</v>
      </c>
      <c r="BN1252" s="4">
        <f t="shared" si="20"/>
        <v>0</v>
      </c>
    </row>
    <row r="1253" spans="63:66" x14ac:dyDescent="0.6">
      <c r="BK1253" s="4" t="str">
        <f>IFERROR(VLOOKUP(TEXT($B$3,"yyyymmdd")&amp;"_"&amp;TEXT(1242,"0000"),RawData!$A$2:$F$1441,4,FALSE),"")</f>
        <v>0A</v>
      </c>
      <c r="BL1253" s="19">
        <f>TIME(0,0,0)+1242/1440</f>
        <v>0.86250000000000004</v>
      </c>
      <c r="BM1253" s="4">
        <f>IFERROR(VLOOKUP(TEXT($B$3,"yyyymmdd")&amp;"_"&amp;TEXT(1242,"0000"),RawData!$A$2:$F$1441,5,FALSE),"")</f>
        <v>2.04E-4</v>
      </c>
      <c r="BN1253" s="4">
        <f t="shared" si="20"/>
        <v>1</v>
      </c>
    </row>
    <row r="1254" spans="63:66" x14ac:dyDescent="0.6">
      <c r="BK1254" s="4" t="str">
        <f>IFERROR(VLOOKUP(TEXT($B$3,"yyyymmdd")&amp;"_"&amp;TEXT(1243,"0000"),RawData!$A$2:$F$1441,4,FALSE),"")</f>
        <v>0A</v>
      </c>
      <c r="BL1254" s="19">
        <f>TIME(0,0,0)+1243/1440</f>
        <v>0.86319444444444449</v>
      </c>
      <c r="BM1254" s="4">
        <f>IFERROR(VLOOKUP(TEXT($B$3,"yyyymmdd")&amp;"_"&amp;TEXT(1243,"0000"),RawData!$A$2:$F$1441,5,FALSE),"")</f>
        <v>9.1600000000000004E-4</v>
      </c>
      <c r="BN1254" s="4">
        <f t="shared" si="20"/>
        <v>0</v>
      </c>
    </row>
    <row r="1255" spans="63:66" x14ac:dyDescent="0.6">
      <c r="BK1255" s="4" t="str">
        <f>IFERROR(VLOOKUP(TEXT($B$3,"yyyymmdd")&amp;"_"&amp;TEXT(1244,"0000"),RawData!$A$2:$F$1441,4,FALSE),"")</f>
        <v>1E</v>
      </c>
      <c r="BL1255" s="19">
        <f>TIME(0,0,0)+1244/1440</f>
        <v>0.86388888888888893</v>
      </c>
      <c r="BM1255" s="4">
        <f>IFERROR(VLOOKUP(TEXT($B$3,"yyyymmdd")&amp;"_"&amp;TEXT(1244,"0000"),RawData!$A$2:$F$1441,5,FALSE),"")</f>
        <v>0</v>
      </c>
      <c r="BN1255" s="4">
        <f t="shared" si="20"/>
        <v>0</v>
      </c>
    </row>
    <row r="1256" spans="63:66" x14ac:dyDescent="0.6">
      <c r="BK1256" s="4" t="str">
        <f>IFERROR(VLOOKUP(TEXT($B$3,"yyyymmdd")&amp;"_"&amp;TEXT(1245,"0000"),RawData!$A$2:$F$1441,4,FALSE),"")</f>
        <v>0A</v>
      </c>
      <c r="BL1256" s="19">
        <f>TIME(0,0,0)+1245/1440</f>
        <v>0.86458333333333337</v>
      </c>
      <c r="BM1256" s="4">
        <f>IFERROR(VLOOKUP(TEXT($B$3,"yyyymmdd")&amp;"_"&amp;TEXT(1245,"0000"),RawData!$A$2:$F$1441,5,FALSE),"")</f>
        <v>0</v>
      </c>
      <c r="BN1256" s="4">
        <f t="shared" si="20"/>
        <v>0</v>
      </c>
    </row>
    <row r="1257" spans="63:66" x14ac:dyDescent="0.6">
      <c r="BK1257" s="4" t="str">
        <f>IFERROR(VLOOKUP(TEXT($B$3,"yyyymmdd")&amp;"_"&amp;TEXT(1246,"0000"),RawData!$A$2:$F$1441,4,FALSE),"")</f>
        <v>0A</v>
      </c>
      <c r="BL1257" s="19">
        <f>TIME(0,0,0)+1246/1440</f>
        <v>0.86527777777777781</v>
      </c>
      <c r="BM1257" s="4">
        <f>IFERROR(VLOOKUP(TEXT($B$3,"yyyymmdd")&amp;"_"&amp;TEXT(1246,"0000"),RawData!$A$2:$F$1441,5,FALSE),"")</f>
        <v>5.8299999999999997E-4</v>
      </c>
      <c r="BN1257" s="4">
        <f t="shared" si="20"/>
        <v>0</v>
      </c>
    </row>
    <row r="1258" spans="63:66" x14ac:dyDescent="0.6">
      <c r="BK1258" s="4" t="str">
        <f>IFERROR(VLOOKUP(TEXT($B$3,"yyyymmdd")&amp;"_"&amp;TEXT(1247,"0000"),RawData!$A$2:$F$1441,4,FALSE),"")</f>
        <v>0A</v>
      </c>
      <c r="BL1258" s="19">
        <f>TIME(0,0,0)+1247/1440</f>
        <v>0.86597222222222225</v>
      </c>
      <c r="BM1258" s="4">
        <f>IFERROR(VLOOKUP(TEXT($B$3,"yyyymmdd")&amp;"_"&amp;TEXT(1247,"0000"),RawData!$A$2:$F$1441,5,FALSE),"")</f>
        <v>0</v>
      </c>
      <c r="BN1258" s="4">
        <f t="shared" si="20"/>
        <v>0</v>
      </c>
    </row>
    <row r="1259" spans="63:66" x14ac:dyDescent="0.6">
      <c r="BK1259" s="4" t="str">
        <f>IFERROR(VLOOKUP(TEXT($B$3,"yyyymmdd")&amp;"_"&amp;TEXT(1248,"0000"),RawData!$A$2:$F$1441,4,FALSE),"")</f>
        <v>0A</v>
      </c>
      <c r="BL1259" s="19">
        <f>TIME(0,0,0)+1248/1440</f>
        <v>0.8666666666666667</v>
      </c>
      <c r="BM1259" s="4">
        <f>IFERROR(VLOOKUP(TEXT($B$3,"yyyymmdd")&amp;"_"&amp;TEXT(1248,"0000"),RawData!$A$2:$F$1441,5,FALSE),"")</f>
        <v>0</v>
      </c>
      <c r="BN1259" s="4">
        <f t="shared" si="20"/>
        <v>0</v>
      </c>
    </row>
    <row r="1260" spans="63:66" x14ac:dyDescent="0.6">
      <c r="BK1260" s="4" t="str">
        <f>IFERROR(VLOOKUP(TEXT($B$3,"yyyymmdd")&amp;"_"&amp;TEXT(1249,"0000"),RawData!$A$2:$F$1441,4,FALSE),"")</f>
        <v>0A</v>
      </c>
      <c r="BL1260" s="19">
        <f>TIME(0,0,0)+1249/1440</f>
        <v>0.86736111111111114</v>
      </c>
      <c r="BM1260" s="4">
        <f>IFERROR(VLOOKUP(TEXT($B$3,"yyyymmdd")&amp;"_"&amp;TEXT(1249,"0000"),RawData!$A$2:$F$1441,5,FALSE),"")</f>
        <v>3.5300000000000002E-4</v>
      </c>
      <c r="BN1260" s="4">
        <f t="shared" si="20"/>
        <v>0</v>
      </c>
    </row>
    <row r="1261" spans="63:66" x14ac:dyDescent="0.6">
      <c r="BK1261" s="4" t="str">
        <f>IFERROR(VLOOKUP(TEXT($B$3,"yyyymmdd")&amp;"_"&amp;TEXT(1250,"0000"),RawData!$A$2:$F$1441,4,FALSE),"")</f>
        <v>0A</v>
      </c>
      <c r="BL1261" s="19">
        <f>TIME(0,0,0)+1250/1440</f>
        <v>0.86805555555555558</v>
      </c>
      <c r="BM1261" s="4">
        <f>IFERROR(VLOOKUP(TEXT($B$3,"yyyymmdd")&amp;"_"&amp;TEXT(1250,"0000"),RawData!$A$2:$F$1441,5,FALSE),"")</f>
        <v>7.0299999999999996E-4</v>
      </c>
      <c r="BN1261" s="4">
        <f t="shared" si="20"/>
        <v>1</v>
      </c>
    </row>
    <row r="1262" spans="63:66" x14ac:dyDescent="0.6">
      <c r="BK1262" s="4" t="str">
        <f>IFERROR(VLOOKUP(TEXT($B$3,"yyyymmdd")&amp;"_"&amp;TEXT(1251,"0000"),RawData!$A$2:$F$1441,4,FALSE),"")</f>
        <v>1E</v>
      </c>
      <c r="BL1262" s="19">
        <f>TIME(0,0,0)+1251/1440</f>
        <v>0.86875000000000002</v>
      </c>
      <c r="BM1262" s="4">
        <f>IFERROR(VLOOKUP(TEXT($B$3,"yyyymmdd")&amp;"_"&amp;TEXT(1251,"0000"),RawData!$A$2:$F$1441,5,FALSE),"")</f>
        <v>0</v>
      </c>
      <c r="BN1262" s="4">
        <f t="shared" si="20"/>
        <v>1</v>
      </c>
    </row>
    <row r="1263" spans="63:66" x14ac:dyDescent="0.6">
      <c r="BK1263" s="4" t="str">
        <f>IFERROR(VLOOKUP(TEXT($B$3,"yyyymmdd")&amp;"_"&amp;TEXT(1252,"0000"),RawData!$A$2:$F$1441,4,FALSE),"")</f>
        <v>0A</v>
      </c>
      <c r="BL1263" s="19">
        <f>TIME(0,0,0)+1252/1440</f>
        <v>0.86944444444444446</v>
      </c>
      <c r="BM1263" s="4">
        <f>IFERROR(VLOOKUP(TEXT($B$3,"yyyymmdd")&amp;"_"&amp;TEXT(1252,"0000"),RawData!$A$2:$F$1441,5,FALSE),"")</f>
        <v>4.8500000000000003E-4</v>
      </c>
      <c r="BN1263" s="4">
        <f t="shared" si="20"/>
        <v>0</v>
      </c>
    </row>
    <row r="1264" spans="63:66" x14ac:dyDescent="0.6">
      <c r="BK1264" s="4" t="str">
        <f>IFERROR(VLOOKUP(TEXT($B$3,"yyyymmdd")&amp;"_"&amp;TEXT(1253,"0000"),RawData!$A$2:$F$1441,4,FALSE),"")</f>
        <v>0A</v>
      </c>
      <c r="BL1264" s="19">
        <f>TIME(0,0,0)+1253/1440</f>
        <v>0.87013888888888891</v>
      </c>
      <c r="BM1264" s="4">
        <f>IFERROR(VLOOKUP(TEXT($B$3,"yyyymmdd")&amp;"_"&amp;TEXT(1253,"0000"),RawData!$A$2:$F$1441,5,FALSE),"")</f>
        <v>3.0400000000000002E-4</v>
      </c>
      <c r="BN1264" s="4">
        <f t="shared" ref="BN1264:BN1327" si="21">IF(BK1258="","",IF(BK1258&lt;&gt;BK1257,1,0))</f>
        <v>0</v>
      </c>
    </row>
    <row r="1265" spans="63:66" x14ac:dyDescent="0.6">
      <c r="BK1265" s="4" t="str">
        <f>IFERROR(VLOOKUP(TEXT($B$3,"yyyymmdd")&amp;"_"&amp;TEXT(1254,"0000"),RawData!$A$2:$F$1441,4,FALSE),"")</f>
        <v>1E</v>
      </c>
      <c r="BL1265" s="19">
        <f>TIME(0,0,0)+1254/1440</f>
        <v>0.87083333333333335</v>
      </c>
      <c r="BM1265" s="4">
        <f>IFERROR(VLOOKUP(TEXT($B$3,"yyyymmdd")&amp;"_"&amp;TEXT(1254,"0000"),RawData!$A$2:$F$1441,5,FALSE),"")</f>
        <v>4.2999999999999999E-4</v>
      </c>
      <c r="BN1265" s="4">
        <f t="shared" si="21"/>
        <v>0</v>
      </c>
    </row>
    <row r="1266" spans="63:66" x14ac:dyDescent="0.6">
      <c r="BK1266" s="4" t="str">
        <f>IFERROR(VLOOKUP(TEXT($B$3,"yyyymmdd")&amp;"_"&amp;TEXT(1255,"0000"),RawData!$A$2:$F$1441,4,FALSE),"")</f>
        <v>1E</v>
      </c>
      <c r="BL1266" s="19">
        <f>TIME(0,0,0)+1255/1440</f>
        <v>0.87152777777777779</v>
      </c>
      <c r="BM1266" s="4">
        <f>IFERROR(VLOOKUP(TEXT($B$3,"yyyymmdd")&amp;"_"&amp;TEXT(1255,"0000"),RawData!$A$2:$F$1441,5,FALSE),"")</f>
        <v>0</v>
      </c>
      <c r="BN1266" s="4">
        <f t="shared" si="21"/>
        <v>0</v>
      </c>
    </row>
    <row r="1267" spans="63:66" x14ac:dyDescent="0.6">
      <c r="BK1267" s="4" t="str">
        <f>IFERROR(VLOOKUP(TEXT($B$3,"yyyymmdd")&amp;"_"&amp;TEXT(1256,"0000"),RawData!$A$2:$F$1441,4,FALSE),"")</f>
        <v>0A</v>
      </c>
      <c r="BL1267" s="19">
        <f>TIME(0,0,0)+1256/1440</f>
        <v>0.87222222222222223</v>
      </c>
      <c r="BM1267" s="4">
        <f>IFERROR(VLOOKUP(TEXT($B$3,"yyyymmdd")&amp;"_"&amp;TEXT(1256,"0000"),RawData!$A$2:$F$1441,5,FALSE),"")</f>
        <v>0</v>
      </c>
      <c r="BN1267" s="4">
        <f t="shared" si="21"/>
        <v>0</v>
      </c>
    </row>
    <row r="1268" spans="63:66" x14ac:dyDescent="0.6">
      <c r="BK1268" s="4" t="str">
        <f>IFERROR(VLOOKUP(TEXT($B$3,"yyyymmdd")&amp;"_"&amp;TEXT(1257,"0000"),RawData!$A$2:$F$1441,4,FALSE),"")</f>
        <v>0A</v>
      </c>
      <c r="BL1268" s="19">
        <f>TIME(0,0,0)+1257/1440</f>
        <v>0.87291666666666667</v>
      </c>
      <c r="BM1268" s="4">
        <f>IFERROR(VLOOKUP(TEXT($B$3,"yyyymmdd")&amp;"_"&amp;TEXT(1257,"0000"),RawData!$A$2:$F$1441,5,FALSE),"")</f>
        <v>0</v>
      </c>
      <c r="BN1268" s="4">
        <f t="shared" si="21"/>
        <v>1</v>
      </c>
    </row>
    <row r="1269" spans="63:66" x14ac:dyDescent="0.6">
      <c r="BK1269" s="4" t="str">
        <f>IFERROR(VLOOKUP(TEXT($B$3,"yyyymmdd")&amp;"_"&amp;TEXT(1258,"0000"),RawData!$A$2:$F$1441,4,FALSE),"")</f>
        <v>1E</v>
      </c>
      <c r="BL1269" s="19">
        <f>TIME(0,0,0)+1258/1440</f>
        <v>0.87361111111111112</v>
      </c>
      <c r="BM1269" s="4">
        <f>IFERROR(VLOOKUP(TEXT($B$3,"yyyymmdd")&amp;"_"&amp;TEXT(1258,"0000"),RawData!$A$2:$F$1441,5,FALSE),"")</f>
        <v>0</v>
      </c>
      <c r="BN1269" s="4">
        <f t="shared" si="21"/>
        <v>1</v>
      </c>
    </row>
    <row r="1270" spans="63:66" x14ac:dyDescent="0.6">
      <c r="BK1270" s="4" t="str">
        <f>IFERROR(VLOOKUP(TEXT($B$3,"yyyymmdd")&amp;"_"&amp;TEXT(1259,"0000"),RawData!$A$2:$F$1441,4,FALSE),"")</f>
        <v>0A</v>
      </c>
      <c r="BL1270" s="19">
        <f>TIME(0,0,0)+1259/1440</f>
        <v>0.87430555555555556</v>
      </c>
      <c r="BM1270" s="4">
        <f>IFERROR(VLOOKUP(TEXT($B$3,"yyyymmdd")&amp;"_"&amp;TEXT(1259,"0000"),RawData!$A$2:$F$1441,5,FALSE),"")</f>
        <v>3.7500000000000001E-4</v>
      </c>
      <c r="BN1270" s="4">
        <f t="shared" si="21"/>
        <v>0</v>
      </c>
    </row>
    <row r="1271" spans="63:66" x14ac:dyDescent="0.6">
      <c r="BK1271" s="4" t="str">
        <f>IFERROR(VLOOKUP(TEXT($B$3,"yyyymmdd")&amp;"_"&amp;TEXT(1260,"0000"),RawData!$A$2:$F$1441,4,FALSE),"")</f>
        <v>1E</v>
      </c>
      <c r="BL1271" s="19">
        <f>TIME(0,0,0)+1260/1440</f>
        <v>0.875</v>
      </c>
      <c r="BM1271" s="4">
        <f>IFERROR(VLOOKUP(TEXT($B$3,"yyyymmdd")&amp;"_"&amp;TEXT(1260,"0000"),RawData!$A$2:$F$1441,5,FALSE),"")</f>
        <v>0</v>
      </c>
      <c r="BN1271" s="4">
        <f t="shared" si="21"/>
        <v>1</v>
      </c>
    </row>
    <row r="1272" spans="63:66" x14ac:dyDescent="0.6">
      <c r="BK1272" s="4" t="str">
        <f>IFERROR(VLOOKUP(TEXT($B$3,"yyyymmdd")&amp;"_"&amp;TEXT(1261,"0000"),RawData!$A$2:$F$1441,4,FALSE),"")</f>
        <v>1E</v>
      </c>
      <c r="BL1272" s="19">
        <f>TIME(0,0,0)+1261/1440</f>
        <v>0.87569444444444444</v>
      </c>
      <c r="BM1272" s="4">
        <f>IFERROR(VLOOKUP(TEXT($B$3,"yyyymmdd")&amp;"_"&amp;TEXT(1261,"0000"),RawData!$A$2:$F$1441,5,FALSE),"")</f>
        <v>0</v>
      </c>
      <c r="BN1272" s="4">
        <f t="shared" si="21"/>
        <v>0</v>
      </c>
    </row>
    <row r="1273" spans="63:66" x14ac:dyDescent="0.6">
      <c r="BK1273" s="4" t="str">
        <f>IFERROR(VLOOKUP(TEXT($B$3,"yyyymmdd")&amp;"_"&amp;TEXT(1262,"0000"),RawData!$A$2:$F$1441,4,FALSE),"")</f>
        <v>1E</v>
      </c>
      <c r="BL1273" s="19">
        <f>TIME(0,0,0)+1262/1440</f>
        <v>0.87638888888888888</v>
      </c>
      <c r="BM1273" s="4">
        <f>IFERROR(VLOOKUP(TEXT($B$3,"yyyymmdd")&amp;"_"&amp;TEXT(1262,"0000"),RawData!$A$2:$F$1441,5,FALSE),"")</f>
        <v>0</v>
      </c>
      <c r="BN1273" s="4">
        <f t="shared" si="21"/>
        <v>1</v>
      </c>
    </row>
    <row r="1274" spans="63:66" x14ac:dyDescent="0.6">
      <c r="BK1274" s="4" t="str">
        <f>IFERROR(VLOOKUP(TEXT($B$3,"yyyymmdd")&amp;"_"&amp;TEXT(1263,"0000"),RawData!$A$2:$F$1441,4,FALSE),"")</f>
        <v>1E</v>
      </c>
      <c r="BL1274" s="19">
        <f>TIME(0,0,0)+1263/1440</f>
        <v>0.87708333333333333</v>
      </c>
      <c r="BM1274" s="4">
        <f>IFERROR(VLOOKUP(TEXT($B$3,"yyyymmdd")&amp;"_"&amp;TEXT(1263,"0000"),RawData!$A$2:$F$1441,5,FALSE),"")</f>
        <v>8.1300000000000003E-4</v>
      </c>
      <c r="BN1274" s="4">
        <f t="shared" si="21"/>
        <v>0</v>
      </c>
    </row>
    <row r="1275" spans="63:66" x14ac:dyDescent="0.6">
      <c r="BK1275" s="4" t="str">
        <f>IFERROR(VLOOKUP(TEXT($B$3,"yyyymmdd")&amp;"_"&amp;TEXT(1264,"0000"),RawData!$A$2:$F$1441,4,FALSE),"")</f>
        <v>1E</v>
      </c>
      <c r="BL1275" s="19">
        <f>TIME(0,0,0)+1264/1440</f>
        <v>0.87777777777777777</v>
      </c>
      <c r="BM1275" s="4">
        <f>IFERROR(VLOOKUP(TEXT($B$3,"yyyymmdd")&amp;"_"&amp;TEXT(1264,"0000"),RawData!$A$2:$F$1441,5,FALSE),"")</f>
        <v>0</v>
      </c>
      <c r="BN1275" s="4">
        <f t="shared" si="21"/>
        <v>1</v>
      </c>
    </row>
    <row r="1276" spans="63:66" x14ac:dyDescent="0.6">
      <c r="BK1276" s="4" t="str">
        <f>IFERROR(VLOOKUP(TEXT($B$3,"yyyymmdd")&amp;"_"&amp;TEXT(1265,"0000"),RawData!$A$2:$F$1441,4,FALSE),"")</f>
        <v>1E</v>
      </c>
      <c r="BL1276" s="19">
        <f>TIME(0,0,0)+1265/1440</f>
        <v>0.87847222222222221</v>
      </c>
      <c r="BM1276" s="4">
        <f>IFERROR(VLOOKUP(TEXT($B$3,"yyyymmdd")&amp;"_"&amp;TEXT(1265,"0000"),RawData!$A$2:$F$1441,5,FALSE),"")</f>
        <v>0</v>
      </c>
      <c r="BN1276" s="4">
        <f t="shared" si="21"/>
        <v>1</v>
      </c>
    </row>
    <row r="1277" spans="63:66" x14ac:dyDescent="0.6">
      <c r="BK1277" s="4" t="str">
        <f>IFERROR(VLOOKUP(TEXT($B$3,"yyyymmdd")&amp;"_"&amp;TEXT(1266,"0000"),RawData!$A$2:$F$1441,4,FALSE),"")</f>
        <v>1E</v>
      </c>
      <c r="BL1277" s="19">
        <f>TIME(0,0,0)+1266/1440</f>
        <v>0.87916666666666665</v>
      </c>
      <c r="BM1277" s="4">
        <f>IFERROR(VLOOKUP(TEXT($B$3,"yyyymmdd")&amp;"_"&amp;TEXT(1266,"0000"),RawData!$A$2:$F$1441,5,FALSE),"")</f>
        <v>0</v>
      </c>
      <c r="BN1277" s="4">
        <f t="shared" si="21"/>
        <v>1</v>
      </c>
    </row>
    <row r="1278" spans="63:66" x14ac:dyDescent="0.6">
      <c r="BK1278" s="4" t="str">
        <f>IFERROR(VLOOKUP(TEXT($B$3,"yyyymmdd")&amp;"_"&amp;TEXT(1267,"0000"),RawData!$A$2:$F$1441,4,FALSE),"")</f>
        <v>1E</v>
      </c>
      <c r="BL1278" s="19">
        <f>TIME(0,0,0)+1267/1440</f>
        <v>0.87986111111111109</v>
      </c>
      <c r="BM1278" s="4">
        <f>IFERROR(VLOOKUP(TEXT($B$3,"yyyymmdd")&amp;"_"&amp;TEXT(1267,"0000"),RawData!$A$2:$F$1441,5,FALSE),"")</f>
        <v>7.0408212999999997E-2</v>
      </c>
      <c r="BN1278" s="4">
        <f t="shared" si="21"/>
        <v>0</v>
      </c>
    </row>
    <row r="1279" spans="63:66" x14ac:dyDescent="0.6">
      <c r="BK1279" s="4" t="str">
        <f>IFERROR(VLOOKUP(TEXT($B$3,"yyyymmdd")&amp;"_"&amp;TEXT(1268,"0000"),RawData!$A$2:$F$1441,4,FALSE),"")</f>
        <v>1E</v>
      </c>
      <c r="BL1279" s="19">
        <f>TIME(0,0,0)+1268/1440</f>
        <v>0.88055555555555554</v>
      </c>
      <c r="BM1279" s="4">
        <f>IFERROR(VLOOKUP(TEXT($B$3,"yyyymmdd")&amp;"_"&amp;TEXT(1268,"0000"),RawData!$A$2:$F$1441,5,FALSE),"")</f>
        <v>0</v>
      </c>
      <c r="BN1279" s="4">
        <f t="shared" si="21"/>
        <v>0</v>
      </c>
    </row>
    <row r="1280" spans="63:66" x14ac:dyDescent="0.6">
      <c r="BK1280" s="4" t="str">
        <f>IFERROR(VLOOKUP(TEXT($B$3,"yyyymmdd")&amp;"_"&amp;TEXT(1269,"0000"),RawData!$A$2:$F$1441,4,FALSE),"")</f>
        <v>1E</v>
      </c>
      <c r="BL1280" s="19">
        <f>TIME(0,0,0)+1269/1440</f>
        <v>0.88124999999999998</v>
      </c>
      <c r="BM1280" s="4">
        <f>IFERROR(VLOOKUP(TEXT($B$3,"yyyymmdd")&amp;"_"&amp;TEXT(1269,"0000"),RawData!$A$2:$F$1441,5,FALSE),"")</f>
        <v>0</v>
      </c>
      <c r="BN1280" s="4">
        <f t="shared" si="21"/>
        <v>0</v>
      </c>
    </row>
    <row r="1281" spans="63:66" x14ac:dyDescent="0.6">
      <c r="BK1281" s="4" t="str">
        <f>IFERROR(VLOOKUP(TEXT($B$3,"yyyymmdd")&amp;"_"&amp;TEXT(1270,"0000"),RawData!$A$2:$F$1441,4,FALSE),"")</f>
        <v>1E</v>
      </c>
      <c r="BL1281" s="19">
        <f>TIME(0,0,0)+1270/1440</f>
        <v>0.88194444444444442</v>
      </c>
      <c r="BM1281" s="4">
        <f>IFERROR(VLOOKUP(TEXT($B$3,"yyyymmdd")&amp;"_"&amp;TEXT(1270,"0000"),RawData!$A$2:$F$1441,5,FALSE),"")</f>
        <v>0</v>
      </c>
      <c r="BN1281" s="4">
        <f t="shared" si="21"/>
        <v>0</v>
      </c>
    </row>
    <row r="1282" spans="63:66" x14ac:dyDescent="0.6">
      <c r="BK1282" s="4" t="str">
        <f>IFERROR(VLOOKUP(TEXT($B$3,"yyyymmdd")&amp;"_"&amp;TEXT(1271,"0000"),RawData!$A$2:$F$1441,4,FALSE),"")</f>
        <v>1E</v>
      </c>
      <c r="BL1282" s="19">
        <f>TIME(0,0,0)+1271/1440</f>
        <v>0.88263888888888886</v>
      </c>
      <c r="BM1282" s="4">
        <f>IFERROR(VLOOKUP(TEXT($B$3,"yyyymmdd")&amp;"_"&amp;TEXT(1271,"0000"),RawData!$A$2:$F$1441,5,FALSE),"")</f>
        <v>0</v>
      </c>
      <c r="BN1282" s="4">
        <f t="shared" si="21"/>
        <v>0</v>
      </c>
    </row>
    <row r="1283" spans="63:66" x14ac:dyDescent="0.6">
      <c r="BK1283" s="4" t="str">
        <f>IFERROR(VLOOKUP(TEXT($B$3,"yyyymmdd")&amp;"_"&amp;TEXT(1272,"0000"),RawData!$A$2:$F$1441,4,FALSE),"")</f>
        <v>1E</v>
      </c>
      <c r="BL1283" s="19">
        <f>TIME(0,0,0)+1272/1440</f>
        <v>0.8833333333333333</v>
      </c>
      <c r="BM1283" s="4">
        <f>IFERROR(VLOOKUP(TEXT($B$3,"yyyymmdd")&amp;"_"&amp;TEXT(1272,"0000"),RawData!$A$2:$F$1441,5,FALSE),"")</f>
        <v>0</v>
      </c>
      <c r="BN1283" s="4">
        <f t="shared" si="21"/>
        <v>0</v>
      </c>
    </row>
    <row r="1284" spans="63:66" x14ac:dyDescent="0.6">
      <c r="BK1284" s="4" t="str">
        <f>IFERROR(VLOOKUP(TEXT($B$3,"yyyymmdd")&amp;"_"&amp;TEXT(1273,"0000"),RawData!$A$2:$F$1441,4,FALSE),"")</f>
        <v>1E</v>
      </c>
      <c r="BL1284" s="19">
        <f>TIME(0,0,0)+1273/1440</f>
        <v>0.88402777777777775</v>
      </c>
      <c r="BM1284" s="4">
        <f>IFERROR(VLOOKUP(TEXT($B$3,"yyyymmdd")&amp;"_"&amp;TEXT(1273,"0000"),RawData!$A$2:$F$1441,5,FALSE),"")</f>
        <v>5.1199999999999998E-4</v>
      </c>
      <c r="BN1284" s="4">
        <f t="shared" si="21"/>
        <v>0</v>
      </c>
    </row>
    <row r="1285" spans="63:66" x14ac:dyDescent="0.6">
      <c r="BK1285" s="4" t="str">
        <f>IFERROR(VLOOKUP(TEXT($B$3,"yyyymmdd")&amp;"_"&amp;TEXT(1274,"0000"),RawData!$A$2:$F$1441,4,FALSE),"")</f>
        <v>01</v>
      </c>
      <c r="BL1285" s="19">
        <f>TIME(0,0,0)+1274/1440</f>
        <v>0.88472222222222219</v>
      </c>
      <c r="BM1285" s="4">
        <f>IFERROR(VLOOKUP(TEXT($B$3,"yyyymmdd")&amp;"_"&amp;TEXT(1274,"0000"),RawData!$A$2:$F$1441,5,FALSE),"")</f>
        <v>2.9999999999999997E-4</v>
      </c>
      <c r="BN1285" s="4">
        <f t="shared" si="21"/>
        <v>0</v>
      </c>
    </row>
    <row r="1286" spans="63:66" x14ac:dyDescent="0.6">
      <c r="BK1286" s="4" t="str">
        <f>IFERROR(VLOOKUP(TEXT($B$3,"yyyymmdd")&amp;"_"&amp;TEXT(1275,"0000"),RawData!$A$2:$F$1441,4,FALSE),"")</f>
        <v>01</v>
      </c>
      <c r="BL1286" s="19">
        <f>TIME(0,0,0)+1275/1440</f>
        <v>0.88541666666666663</v>
      </c>
      <c r="BM1286" s="4">
        <f>IFERROR(VLOOKUP(TEXT($B$3,"yyyymmdd")&amp;"_"&amp;TEXT(1275,"0000"),RawData!$A$2:$F$1441,5,FALSE),"")</f>
        <v>0</v>
      </c>
      <c r="BN1286" s="4">
        <f t="shared" si="21"/>
        <v>0</v>
      </c>
    </row>
    <row r="1287" spans="63:66" x14ac:dyDescent="0.6">
      <c r="BK1287" s="4" t="str">
        <f>IFERROR(VLOOKUP(TEXT($B$3,"yyyymmdd")&amp;"_"&amp;TEXT(1276,"0000"),RawData!$A$2:$F$1441,4,FALSE),"")</f>
        <v>01</v>
      </c>
      <c r="BL1287" s="19">
        <f>TIME(0,0,0)+1276/1440</f>
        <v>0.88611111111111107</v>
      </c>
      <c r="BM1287" s="4">
        <f>IFERROR(VLOOKUP(TEXT($B$3,"yyyymmdd")&amp;"_"&amp;TEXT(1276,"0000"),RawData!$A$2:$F$1441,5,FALSE),"")</f>
        <v>2.9999999999999997E-4</v>
      </c>
      <c r="BN1287" s="4">
        <f t="shared" si="21"/>
        <v>0</v>
      </c>
    </row>
    <row r="1288" spans="63:66" x14ac:dyDescent="0.6">
      <c r="BK1288" s="4" t="str">
        <f>IFERROR(VLOOKUP(TEXT($B$3,"yyyymmdd")&amp;"_"&amp;TEXT(1277,"0000"),RawData!$A$2:$F$1441,4,FALSE),"")</f>
        <v>FF</v>
      </c>
      <c r="BL1288" s="19">
        <f>TIME(0,0,0)+1277/1440</f>
        <v>0.88680555555555551</v>
      </c>
      <c r="BM1288" s="4">
        <f>IFERROR(VLOOKUP(TEXT($B$3,"yyyymmdd")&amp;"_"&amp;TEXT(1277,"0000"),RawData!$A$2:$F$1441,5,FALSE),"")</f>
        <v>0</v>
      </c>
      <c r="BN1288" s="4">
        <f t="shared" si="21"/>
        <v>0</v>
      </c>
    </row>
    <row r="1289" spans="63:66" x14ac:dyDescent="0.6">
      <c r="BK1289" s="4" t="str">
        <f>IFERROR(VLOOKUP(TEXT($B$3,"yyyymmdd")&amp;"_"&amp;TEXT(1278,"0000"),RawData!$A$2:$F$1441,4,FALSE),"")</f>
        <v>FF</v>
      </c>
      <c r="BL1289" s="19">
        <f>TIME(0,0,0)+1278/1440</f>
        <v>0.88749999999999996</v>
      </c>
      <c r="BM1289" s="4">
        <f>IFERROR(VLOOKUP(TEXT($B$3,"yyyymmdd")&amp;"_"&amp;TEXT(1278,"0000"),RawData!$A$2:$F$1441,5,FALSE),"")</f>
        <v>1.078E-3</v>
      </c>
      <c r="BN1289" s="4">
        <f t="shared" si="21"/>
        <v>0</v>
      </c>
    </row>
    <row r="1290" spans="63:66" x14ac:dyDescent="0.6">
      <c r="BK1290" s="4" t="str">
        <f>IFERROR(VLOOKUP(TEXT($B$3,"yyyymmdd")&amp;"_"&amp;TEXT(1279,"0000"),RawData!$A$2:$F$1441,4,FALSE),"")</f>
        <v>01</v>
      </c>
      <c r="BL1290" s="19">
        <f>TIME(0,0,0)+1279/1440</f>
        <v>0.8881944444444444</v>
      </c>
      <c r="BM1290" s="4">
        <f>IFERROR(VLOOKUP(TEXT($B$3,"yyyymmdd")&amp;"_"&amp;TEXT(1279,"0000"),RawData!$A$2:$F$1441,5,FALSE),"")</f>
        <v>0</v>
      </c>
      <c r="BN1290" s="4">
        <f t="shared" si="21"/>
        <v>0</v>
      </c>
    </row>
    <row r="1291" spans="63:66" x14ac:dyDescent="0.6">
      <c r="BK1291" s="4" t="str">
        <f>IFERROR(VLOOKUP(TEXT($B$3,"yyyymmdd")&amp;"_"&amp;TEXT(1280,"0000"),RawData!$A$2:$F$1441,4,FALSE),"")</f>
        <v>01</v>
      </c>
      <c r="BL1291" s="19">
        <f>TIME(0,0,0)+1280/1440</f>
        <v>0.88888888888888884</v>
      </c>
      <c r="BM1291" s="4">
        <f>IFERROR(VLOOKUP(TEXT($B$3,"yyyymmdd")&amp;"_"&amp;TEXT(1280,"0000"),RawData!$A$2:$F$1441,5,FALSE),"")</f>
        <v>0</v>
      </c>
      <c r="BN1291" s="4">
        <f t="shared" si="21"/>
        <v>1</v>
      </c>
    </row>
    <row r="1292" spans="63:66" x14ac:dyDescent="0.6">
      <c r="BK1292" s="4" t="str">
        <f>IFERROR(VLOOKUP(TEXT($B$3,"yyyymmdd")&amp;"_"&amp;TEXT(1281,"0000"),RawData!$A$2:$F$1441,4,FALSE),"")</f>
        <v>01</v>
      </c>
      <c r="BL1292" s="19">
        <f>TIME(0,0,0)+1281/1440</f>
        <v>0.88958333333333328</v>
      </c>
      <c r="BM1292" s="4">
        <f>IFERROR(VLOOKUP(TEXT($B$3,"yyyymmdd")&amp;"_"&amp;TEXT(1281,"0000"),RawData!$A$2:$F$1441,5,FALSE),"")</f>
        <v>0</v>
      </c>
      <c r="BN1292" s="4">
        <f t="shared" si="21"/>
        <v>0</v>
      </c>
    </row>
    <row r="1293" spans="63:66" x14ac:dyDescent="0.6">
      <c r="BK1293" s="4" t="str">
        <f>IFERROR(VLOOKUP(TEXT($B$3,"yyyymmdd")&amp;"_"&amp;TEXT(1282,"0000"),RawData!$A$2:$F$1441,4,FALSE),"")</f>
        <v>01</v>
      </c>
      <c r="BL1293" s="19">
        <f>TIME(0,0,0)+1282/1440</f>
        <v>0.89027777777777772</v>
      </c>
      <c r="BM1293" s="4">
        <f>IFERROR(VLOOKUP(TEXT($B$3,"yyyymmdd")&amp;"_"&amp;TEXT(1282,"0000"),RawData!$A$2:$F$1441,5,FALSE),"")</f>
        <v>0</v>
      </c>
      <c r="BN1293" s="4">
        <f t="shared" si="21"/>
        <v>0</v>
      </c>
    </row>
    <row r="1294" spans="63:66" x14ac:dyDescent="0.6">
      <c r="BK1294" s="4" t="str">
        <f>IFERROR(VLOOKUP(TEXT($B$3,"yyyymmdd")&amp;"_"&amp;TEXT(1283,"0000"),RawData!$A$2:$F$1441,4,FALSE),"")</f>
        <v>01</v>
      </c>
      <c r="BL1294" s="19">
        <f>TIME(0,0,0)+1283/1440</f>
        <v>0.89097222222222228</v>
      </c>
      <c r="BM1294" s="4">
        <f>IFERROR(VLOOKUP(TEXT($B$3,"yyyymmdd")&amp;"_"&amp;TEXT(1283,"0000"),RawData!$A$2:$F$1441,5,FALSE),"")</f>
        <v>4.8000000000000001E-4</v>
      </c>
      <c r="BN1294" s="4">
        <f t="shared" si="21"/>
        <v>1</v>
      </c>
    </row>
    <row r="1295" spans="63:66" x14ac:dyDescent="0.6">
      <c r="BK1295" s="4" t="str">
        <f>IFERROR(VLOOKUP(TEXT($B$3,"yyyymmdd")&amp;"_"&amp;TEXT(1284,"0000"),RawData!$A$2:$F$1441,4,FALSE),"")</f>
        <v>01</v>
      </c>
      <c r="BL1295" s="19">
        <f>TIME(0,0,0)+1284/1440</f>
        <v>0.89166666666666672</v>
      </c>
      <c r="BM1295" s="4">
        <f>IFERROR(VLOOKUP(TEXT($B$3,"yyyymmdd")&amp;"_"&amp;TEXT(1284,"0000"),RawData!$A$2:$F$1441,5,FALSE),"")</f>
        <v>0</v>
      </c>
      <c r="BN1295" s="4">
        <f t="shared" si="21"/>
        <v>0</v>
      </c>
    </row>
    <row r="1296" spans="63:66" x14ac:dyDescent="0.6">
      <c r="BK1296" s="4" t="str">
        <f>IFERROR(VLOOKUP(TEXT($B$3,"yyyymmdd")&amp;"_"&amp;TEXT(1285,"0000"),RawData!$A$2:$F$1441,4,FALSE),"")</f>
        <v>01</v>
      </c>
      <c r="BL1296" s="19">
        <f>TIME(0,0,0)+1285/1440</f>
        <v>0.89236111111111116</v>
      </c>
      <c r="BM1296" s="4">
        <f>IFERROR(VLOOKUP(TEXT($B$3,"yyyymmdd")&amp;"_"&amp;TEXT(1285,"0000"),RawData!$A$2:$F$1441,5,FALSE),"")</f>
        <v>0</v>
      </c>
      <c r="BN1296" s="4">
        <f t="shared" si="21"/>
        <v>1</v>
      </c>
    </row>
    <row r="1297" spans="63:66" x14ac:dyDescent="0.6">
      <c r="BK1297" s="4" t="str">
        <f>IFERROR(VLOOKUP(TEXT($B$3,"yyyymmdd")&amp;"_"&amp;TEXT(1286,"0000"),RawData!$A$2:$F$1441,4,FALSE),"")</f>
        <v>01</v>
      </c>
      <c r="BL1297" s="19">
        <f>TIME(0,0,0)+1286/1440</f>
        <v>0.8930555555555556</v>
      </c>
      <c r="BM1297" s="4">
        <f>IFERROR(VLOOKUP(TEXT($B$3,"yyyymmdd")&amp;"_"&amp;TEXT(1286,"0000"),RawData!$A$2:$F$1441,5,FALSE),"")</f>
        <v>0</v>
      </c>
      <c r="BN1297" s="4">
        <f t="shared" si="21"/>
        <v>0</v>
      </c>
    </row>
    <row r="1298" spans="63:66" x14ac:dyDescent="0.6">
      <c r="BK1298" s="4" t="str">
        <f>IFERROR(VLOOKUP(TEXT($B$3,"yyyymmdd")&amp;"_"&amp;TEXT(1287,"0000"),RawData!$A$2:$F$1441,4,FALSE),"")</f>
        <v>01</v>
      </c>
      <c r="BL1298" s="19">
        <f>TIME(0,0,0)+1287/1440</f>
        <v>0.89375000000000004</v>
      </c>
      <c r="BM1298" s="4">
        <f>IFERROR(VLOOKUP(TEXT($B$3,"yyyymmdd")&amp;"_"&amp;TEXT(1287,"0000"),RawData!$A$2:$F$1441,5,FALSE),"")</f>
        <v>0</v>
      </c>
      <c r="BN1298" s="4">
        <f t="shared" si="21"/>
        <v>0</v>
      </c>
    </row>
    <row r="1299" spans="63:66" x14ac:dyDescent="0.6">
      <c r="BK1299" s="4" t="str">
        <f>IFERROR(VLOOKUP(TEXT($B$3,"yyyymmdd")&amp;"_"&amp;TEXT(1288,"0000"),RawData!$A$2:$F$1441,4,FALSE),"")</f>
        <v>01</v>
      </c>
      <c r="BL1299" s="19">
        <f>TIME(0,0,0)+1288/1440</f>
        <v>0.89444444444444449</v>
      </c>
      <c r="BM1299" s="4">
        <f>IFERROR(VLOOKUP(TEXT($B$3,"yyyymmdd")&amp;"_"&amp;TEXT(1288,"0000"),RawData!$A$2:$F$1441,5,FALSE),"")</f>
        <v>0</v>
      </c>
      <c r="BN1299" s="4">
        <f t="shared" si="21"/>
        <v>0</v>
      </c>
    </row>
    <row r="1300" spans="63:66" x14ac:dyDescent="0.6">
      <c r="BK1300" s="4" t="str">
        <f>IFERROR(VLOOKUP(TEXT($B$3,"yyyymmdd")&amp;"_"&amp;TEXT(1289,"0000"),RawData!$A$2:$F$1441,4,FALSE),"")</f>
        <v>01</v>
      </c>
      <c r="BL1300" s="19">
        <f>TIME(0,0,0)+1289/1440</f>
        <v>0.89513888888888893</v>
      </c>
      <c r="BM1300" s="4">
        <f>IFERROR(VLOOKUP(TEXT($B$3,"yyyymmdd")&amp;"_"&amp;TEXT(1289,"0000"),RawData!$A$2:$F$1441,5,FALSE),"")</f>
        <v>3.0200000000000002E-4</v>
      </c>
      <c r="BN1300" s="4">
        <f t="shared" si="21"/>
        <v>0</v>
      </c>
    </row>
    <row r="1301" spans="63:66" x14ac:dyDescent="0.6">
      <c r="BK1301" s="4" t="str">
        <f>IFERROR(VLOOKUP(TEXT($B$3,"yyyymmdd")&amp;"_"&amp;TEXT(1290,"0000"),RawData!$A$2:$F$1441,4,FALSE),"")</f>
        <v>01</v>
      </c>
      <c r="BL1301" s="19">
        <f>TIME(0,0,0)+1290/1440</f>
        <v>0.89583333333333337</v>
      </c>
      <c r="BM1301" s="4">
        <f>IFERROR(VLOOKUP(TEXT($B$3,"yyyymmdd")&amp;"_"&amp;TEXT(1290,"0000"),RawData!$A$2:$F$1441,5,FALSE),"")</f>
        <v>0</v>
      </c>
      <c r="BN1301" s="4">
        <f t="shared" si="21"/>
        <v>0</v>
      </c>
    </row>
    <row r="1302" spans="63:66" x14ac:dyDescent="0.6">
      <c r="BK1302" s="4" t="str">
        <f>IFERROR(VLOOKUP(TEXT($B$3,"yyyymmdd")&amp;"_"&amp;TEXT(1291,"0000"),RawData!$A$2:$F$1441,4,FALSE),"")</f>
        <v>01</v>
      </c>
      <c r="BL1302" s="19">
        <f>TIME(0,0,0)+1291/1440</f>
        <v>0.89652777777777781</v>
      </c>
      <c r="BM1302" s="4">
        <f>IFERROR(VLOOKUP(TEXT($B$3,"yyyymmdd")&amp;"_"&amp;TEXT(1291,"0000"),RawData!$A$2:$F$1441,5,FALSE),"")</f>
        <v>0</v>
      </c>
      <c r="BN1302" s="4">
        <f t="shared" si="21"/>
        <v>0</v>
      </c>
    </row>
    <row r="1303" spans="63:66" x14ac:dyDescent="0.6">
      <c r="BK1303" s="4" t="str">
        <f>IFERROR(VLOOKUP(TEXT($B$3,"yyyymmdd")&amp;"_"&amp;TEXT(1292,"0000"),RawData!$A$2:$F$1441,4,FALSE),"")</f>
        <v>01</v>
      </c>
      <c r="BL1303" s="19">
        <f>TIME(0,0,0)+1292/1440</f>
        <v>0.89722222222222225</v>
      </c>
      <c r="BM1303" s="4">
        <f>IFERROR(VLOOKUP(TEXT($B$3,"yyyymmdd")&amp;"_"&amp;TEXT(1292,"0000"),RawData!$A$2:$F$1441,5,FALSE),"")</f>
        <v>0</v>
      </c>
      <c r="BN1303" s="4">
        <f t="shared" si="21"/>
        <v>0</v>
      </c>
    </row>
    <row r="1304" spans="63:66" x14ac:dyDescent="0.6">
      <c r="BK1304" s="4" t="str">
        <f>IFERROR(VLOOKUP(TEXT($B$3,"yyyymmdd")&amp;"_"&amp;TEXT(1293,"0000"),RawData!$A$2:$F$1441,4,FALSE),"")</f>
        <v>01</v>
      </c>
      <c r="BL1304" s="19">
        <f>TIME(0,0,0)+1293/1440</f>
        <v>0.8979166666666667</v>
      </c>
      <c r="BM1304" s="4">
        <f>IFERROR(VLOOKUP(TEXT($B$3,"yyyymmdd")&amp;"_"&amp;TEXT(1293,"0000"),RawData!$A$2:$F$1441,5,FALSE),"")</f>
        <v>2.81E-4</v>
      </c>
      <c r="BN1304" s="4">
        <f t="shared" si="21"/>
        <v>0</v>
      </c>
    </row>
    <row r="1305" spans="63:66" x14ac:dyDescent="0.6">
      <c r="BK1305" s="4" t="str">
        <f>IFERROR(VLOOKUP(TEXT($B$3,"yyyymmdd")&amp;"_"&amp;TEXT(1294,"0000"),RawData!$A$2:$F$1441,4,FALSE),"")</f>
        <v>01</v>
      </c>
      <c r="BL1305" s="19">
        <f>TIME(0,0,0)+1294/1440</f>
        <v>0.89861111111111114</v>
      </c>
      <c r="BM1305" s="4">
        <f>IFERROR(VLOOKUP(TEXT($B$3,"yyyymmdd")&amp;"_"&amp;TEXT(1294,"0000"),RawData!$A$2:$F$1441,5,FALSE),"")</f>
        <v>4.6999999999999999E-4</v>
      </c>
      <c r="BN1305" s="4">
        <f t="shared" si="21"/>
        <v>0</v>
      </c>
    </row>
    <row r="1306" spans="63:66" x14ac:dyDescent="0.6">
      <c r="BK1306" s="4" t="str">
        <f>IFERROR(VLOOKUP(TEXT($B$3,"yyyymmdd")&amp;"_"&amp;TEXT(1295,"0000"),RawData!$A$2:$F$1441,4,FALSE),"")</f>
        <v>01</v>
      </c>
      <c r="BL1306" s="19">
        <f>TIME(0,0,0)+1295/1440</f>
        <v>0.89930555555555558</v>
      </c>
      <c r="BM1306" s="4">
        <f>IFERROR(VLOOKUP(TEXT($B$3,"yyyymmdd")&amp;"_"&amp;TEXT(1295,"0000"),RawData!$A$2:$F$1441,5,FALSE),"")</f>
        <v>0</v>
      </c>
      <c r="BN1306" s="4">
        <f t="shared" si="21"/>
        <v>0</v>
      </c>
    </row>
    <row r="1307" spans="63:66" x14ac:dyDescent="0.6">
      <c r="BK1307" s="4" t="str">
        <f>IFERROR(VLOOKUP(TEXT($B$3,"yyyymmdd")&amp;"_"&amp;TEXT(1296,"0000"),RawData!$A$2:$F$1441,4,FALSE),"")</f>
        <v>01</v>
      </c>
      <c r="BL1307" s="19">
        <f>TIME(0,0,0)+1296/1440</f>
        <v>0.9</v>
      </c>
      <c r="BM1307" s="4">
        <f>IFERROR(VLOOKUP(TEXT($B$3,"yyyymmdd")&amp;"_"&amp;TEXT(1296,"0000"),RawData!$A$2:$F$1441,5,FALSE),"")</f>
        <v>0</v>
      </c>
      <c r="BN1307" s="4">
        <f t="shared" si="21"/>
        <v>0</v>
      </c>
    </row>
    <row r="1308" spans="63:66" x14ac:dyDescent="0.6">
      <c r="BK1308" s="4" t="str">
        <f>IFERROR(VLOOKUP(TEXT($B$3,"yyyymmdd")&amp;"_"&amp;TEXT(1297,"0000"),RawData!$A$2:$F$1441,4,FALSE),"")</f>
        <v>01</v>
      </c>
      <c r="BL1308" s="19">
        <f>TIME(0,0,0)+1297/1440</f>
        <v>0.90069444444444446</v>
      </c>
      <c r="BM1308" s="4">
        <f>IFERROR(VLOOKUP(TEXT($B$3,"yyyymmdd")&amp;"_"&amp;TEXT(1297,"0000"),RawData!$A$2:$F$1441,5,FALSE),"")</f>
        <v>0</v>
      </c>
      <c r="BN1308" s="4">
        <f t="shared" si="21"/>
        <v>0</v>
      </c>
    </row>
    <row r="1309" spans="63:66" x14ac:dyDescent="0.6">
      <c r="BK1309" s="4" t="str">
        <f>IFERROR(VLOOKUP(TEXT($B$3,"yyyymmdd")&amp;"_"&amp;TEXT(1298,"0000"),RawData!$A$2:$F$1441,4,FALSE),"")</f>
        <v>01</v>
      </c>
      <c r="BL1309" s="19">
        <f>TIME(0,0,0)+1298/1440</f>
        <v>0.90138888888888891</v>
      </c>
      <c r="BM1309" s="4">
        <f>IFERROR(VLOOKUP(TEXT($B$3,"yyyymmdd")&amp;"_"&amp;TEXT(1298,"0000"),RawData!$A$2:$F$1441,5,FALSE),"")</f>
        <v>0</v>
      </c>
      <c r="BN1309" s="4">
        <f t="shared" si="21"/>
        <v>0</v>
      </c>
    </row>
    <row r="1310" spans="63:66" x14ac:dyDescent="0.6">
      <c r="BK1310" s="4" t="str">
        <f>IFERROR(VLOOKUP(TEXT($B$3,"yyyymmdd")&amp;"_"&amp;TEXT(1299,"0000"),RawData!$A$2:$F$1441,4,FALSE),"")</f>
        <v>01</v>
      </c>
      <c r="BL1310" s="19">
        <f>TIME(0,0,0)+1299/1440</f>
        <v>0.90208333333333335</v>
      </c>
      <c r="BM1310" s="4">
        <f>IFERROR(VLOOKUP(TEXT($B$3,"yyyymmdd")&amp;"_"&amp;TEXT(1299,"0000"),RawData!$A$2:$F$1441,5,FALSE),"")</f>
        <v>0</v>
      </c>
      <c r="BN1310" s="4">
        <f t="shared" si="21"/>
        <v>0</v>
      </c>
    </row>
    <row r="1311" spans="63:66" x14ac:dyDescent="0.6">
      <c r="BK1311" s="4" t="str">
        <f>IFERROR(VLOOKUP(TEXT($B$3,"yyyymmdd")&amp;"_"&amp;TEXT(1300,"0000"),RawData!$A$2:$F$1441,4,FALSE),"")</f>
        <v>01</v>
      </c>
      <c r="BL1311" s="19">
        <f>TIME(0,0,0)+1300/1440</f>
        <v>0.90277777777777779</v>
      </c>
      <c r="BM1311" s="4">
        <f>IFERROR(VLOOKUP(TEXT($B$3,"yyyymmdd")&amp;"_"&amp;TEXT(1300,"0000"),RawData!$A$2:$F$1441,5,FALSE),"")</f>
        <v>0</v>
      </c>
      <c r="BN1311" s="4">
        <f t="shared" si="21"/>
        <v>0</v>
      </c>
    </row>
    <row r="1312" spans="63:66" x14ac:dyDescent="0.6">
      <c r="BK1312" s="4" t="str">
        <f>IFERROR(VLOOKUP(TEXT($B$3,"yyyymmdd")&amp;"_"&amp;TEXT(1301,"0000"),RawData!$A$2:$F$1441,4,FALSE),"")</f>
        <v>01</v>
      </c>
      <c r="BL1312" s="19">
        <f>TIME(0,0,0)+1301/1440</f>
        <v>0.90347222222222223</v>
      </c>
      <c r="BM1312" s="4">
        <f>IFERROR(VLOOKUP(TEXT($B$3,"yyyymmdd")&amp;"_"&amp;TEXT(1301,"0000"),RawData!$A$2:$F$1441,5,FALSE),"")</f>
        <v>0</v>
      </c>
      <c r="BN1312" s="4">
        <f t="shared" si="21"/>
        <v>0</v>
      </c>
    </row>
    <row r="1313" spans="63:66" x14ac:dyDescent="0.6">
      <c r="BK1313" s="4" t="str">
        <f>IFERROR(VLOOKUP(TEXT($B$3,"yyyymmdd")&amp;"_"&amp;TEXT(1302,"0000"),RawData!$A$2:$F$1441,4,FALSE),"")</f>
        <v>01</v>
      </c>
      <c r="BL1313" s="19">
        <f>TIME(0,0,0)+1302/1440</f>
        <v>0.90416666666666667</v>
      </c>
      <c r="BM1313" s="4">
        <f>IFERROR(VLOOKUP(TEXT($B$3,"yyyymmdd")&amp;"_"&amp;TEXT(1302,"0000"),RawData!$A$2:$F$1441,5,FALSE),"")</f>
        <v>0</v>
      </c>
      <c r="BN1313" s="4">
        <f t="shared" si="21"/>
        <v>0</v>
      </c>
    </row>
    <row r="1314" spans="63:66" x14ac:dyDescent="0.6">
      <c r="BK1314" s="4" t="str">
        <f>IFERROR(VLOOKUP(TEXT($B$3,"yyyymmdd")&amp;"_"&amp;TEXT(1303,"0000"),RawData!$A$2:$F$1441,4,FALSE),"")</f>
        <v>01</v>
      </c>
      <c r="BL1314" s="19">
        <f>TIME(0,0,0)+1303/1440</f>
        <v>0.90486111111111112</v>
      </c>
      <c r="BM1314" s="4">
        <f>IFERROR(VLOOKUP(TEXT($B$3,"yyyymmdd")&amp;"_"&amp;TEXT(1303,"0000"),RawData!$A$2:$F$1441,5,FALSE),"")</f>
        <v>5.2999999999999998E-4</v>
      </c>
      <c r="BN1314" s="4">
        <f t="shared" si="21"/>
        <v>0</v>
      </c>
    </row>
    <row r="1315" spans="63:66" x14ac:dyDescent="0.6">
      <c r="BK1315" s="4" t="str">
        <f>IFERROR(VLOOKUP(TEXT($B$3,"yyyymmdd")&amp;"_"&amp;TEXT(1304,"0000"),RawData!$A$2:$F$1441,4,FALSE),"")</f>
        <v>01</v>
      </c>
      <c r="BL1315" s="19">
        <f>TIME(0,0,0)+1304/1440</f>
        <v>0.90555555555555556</v>
      </c>
      <c r="BM1315" s="4">
        <f>IFERROR(VLOOKUP(TEXT($B$3,"yyyymmdd")&amp;"_"&amp;TEXT(1304,"0000"),RawData!$A$2:$F$1441,5,FALSE),"")</f>
        <v>5.0299999999999997E-4</v>
      </c>
      <c r="BN1315" s="4">
        <f t="shared" si="21"/>
        <v>0</v>
      </c>
    </row>
    <row r="1316" spans="63:66" x14ac:dyDescent="0.6">
      <c r="BK1316" s="4" t="str">
        <f>IFERROR(VLOOKUP(TEXT($B$3,"yyyymmdd")&amp;"_"&amp;TEXT(1305,"0000"),RawData!$A$2:$F$1441,4,FALSE),"")</f>
        <v>01</v>
      </c>
      <c r="BL1316" s="19">
        <f>TIME(0,0,0)+1305/1440</f>
        <v>0.90625</v>
      </c>
      <c r="BM1316" s="4">
        <f>IFERROR(VLOOKUP(TEXT($B$3,"yyyymmdd")&amp;"_"&amp;TEXT(1305,"0000"),RawData!$A$2:$F$1441,5,FALSE),"")</f>
        <v>0</v>
      </c>
      <c r="BN1316" s="4">
        <f t="shared" si="21"/>
        <v>0</v>
      </c>
    </row>
    <row r="1317" spans="63:66" x14ac:dyDescent="0.6">
      <c r="BK1317" s="4" t="str">
        <f>IFERROR(VLOOKUP(TEXT($B$3,"yyyymmdd")&amp;"_"&amp;TEXT(1306,"0000"),RawData!$A$2:$F$1441,4,FALSE),"")</f>
        <v>01</v>
      </c>
      <c r="BL1317" s="19">
        <f>TIME(0,0,0)+1306/1440</f>
        <v>0.90694444444444444</v>
      </c>
      <c r="BM1317" s="4">
        <f>IFERROR(VLOOKUP(TEXT($B$3,"yyyymmdd")&amp;"_"&amp;TEXT(1306,"0000"),RawData!$A$2:$F$1441,5,FALSE),"")</f>
        <v>3.5E-4</v>
      </c>
      <c r="BN1317" s="4">
        <f t="shared" si="21"/>
        <v>0</v>
      </c>
    </row>
    <row r="1318" spans="63:66" x14ac:dyDescent="0.6">
      <c r="BK1318" s="4" t="str">
        <f>IFERROR(VLOOKUP(TEXT($B$3,"yyyymmdd")&amp;"_"&amp;TEXT(1307,"0000"),RawData!$A$2:$F$1441,4,FALSE),"")</f>
        <v>01</v>
      </c>
      <c r="BL1318" s="19">
        <f>TIME(0,0,0)+1307/1440</f>
        <v>0.90763888888888888</v>
      </c>
      <c r="BM1318" s="4">
        <f>IFERROR(VLOOKUP(TEXT($B$3,"yyyymmdd")&amp;"_"&amp;TEXT(1307,"0000"),RawData!$A$2:$F$1441,5,FALSE),"")</f>
        <v>0</v>
      </c>
      <c r="BN1318" s="4">
        <f t="shared" si="21"/>
        <v>0</v>
      </c>
    </row>
    <row r="1319" spans="63:66" x14ac:dyDescent="0.6">
      <c r="BK1319" s="4" t="str">
        <f>IFERROR(VLOOKUP(TEXT($B$3,"yyyymmdd")&amp;"_"&amp;TEXT(1308,"0000"),RawData!$A$2:$F$1441,4,FALSE),"")</f>
        <v>01</v>
      </c>
      <c r="BL1319" s="19">
        <f>TIME(0,0,0)+1308/1440</f>
        <v>0.90833333333333333</v>
      </c>
      <c r="BM1319" s="4">
        <f>IFERROR(VLOOKUP(TEXT($B$3,"yyyymmdd")&amp;"_"&amp;TEXT(1308,"0000"),RawData!$A$2:$F$1441,5,FALSE),"")</f>
        <v>2.8699999999999998E-4</v>
      </c>
      <c r="BN1319" s="4">
        <f t="shared" si="21"/>
        <v>0</v>
      </c>
    </row>
    <row r="1320" spans="63:66" x14ac:dyDescent="0.6">
      <c r="BK1320" s="4" t="str">
        <f>IFERROR(VLOOKUP(TEXT($B$3,"yyyymmdd")&amp;"_"&amp;TEXT(1309,"0000"),RawData!$A$2:$F$1441,4,FALSE),"")</f>
        <v>01</v>
      </c>
      <c r="BL1320" s="19">
        <f>TIME(0,0,0)+1309/1440</f>
        <v>0.90902777777777777</v>
      </c>
      <c r="BM1320" s="4">
        <f>IFERROR(VLOOKUP(TEXT($B$3,"yyyymmdd")&amp;"_"&amp;TEXT(1309,"0000"),RawData!$A$2:$F$1441,5,FALSE),"")</f>
        <v>2.8699999999999998E-4</v>
      </c>
      <c r="BN1320" s="4">
        <f t="shared" si="21"/>
        <v>0</v>
      </c>
    </row>
    <row r="1321" spans="63:66" x14ac:dyDescent="0.6">
      <c r="BK1321" s="4" t="str">
        <f>IFERROR(VLOOKUP(TEXT($B$3,"yyyymmdd")&amp;"_"&amp;TEXT(1310,"0000"),RawData!$A$2:$F$1441,4,FALSE),"")</f>
        <v>01</v>
      </c>
      <c r="BL1321" s="19">
        <f>TIME(0,0,0)+1310/1440</f>
        <v>0.90972222222222221</v>
      </c>
      <c r="BM1321" s="4">
        <f>IFERROR(VLOOKUP(TEXT($B$3,"yyyymmdd")&amp;"_"&amp;TEXT(1310,"0000"),RawData!$A$2:$F$1441,5,FALSE),"")</f>
        <v>0</v>
      </c>
      <c r="BN1321" s="4">
        <f t="shared" si="21"/>
        <v>0</v>
      </c>
    </row>
    <row r="1322" spans="63:66" x14ac:dyDescent="0.6">
      <c r="BK1322" s="4" t="str">
        <f>IFERROR(VLOOKUP(TEXT($B$3,"yyyymmdd")&amp;"_"&amp;TEXT(1311,"0000"),RawData!$A$2:$F$1441,4,FALSE),"")</f>
        <v>01</v>
      </c>
      <c r="BL1322" s="19">
        <f>TIME(0,0,0)+1311/1440</f>
        <v>0.91041666666666665</v>
      </c>
      <c r="BM1322" s="4">
        <f>IFERROR(VLOOKUP(TEXT($B$3,"yyyymmdd")&amp;"_"&amp;TEXT(1311,"0000"),RawData!$A$2:$F$1441,5,FALSE),"")</f>
        <v>0</v>
      </c>
      <c r="BN1322" s="4">
        <f t="shared" si="21"/>
        <v>0</v>
      </c>
    </row>
    <row r="1323" spans="63:66" x14ac:dyDescent="0.6">
      <c r="BK1323" s="4" t="str">
        <f>IFERROR(VLOOKUP(TEXT($B$3,"yyyymmdd")&amp;"_"&amp;TEXT(1312,"0000"),RawData!$A$2:$F$1441,4,FALSE),"")</f>
        <v>01</v>
      </c>
      <c r="BL1323" s="19">
        <f>TIME(0,0,0)+1312/1440</f>
        <v>0.91111111111111109</v>
      </c>
      <c r="BM1323" s="4">
        <f>IFERROR(VLOOKUP(TEXT($B$3,"yyyymmdd")&amp;"_"&amp;TEXT(1312,"0000"),RawData!$A$2:$F$1441,5,FALSE),"")</f>
        <v>0</v>
      </c>
      <c r="BN1323" s="4">
        <f t="shared" si="21"/>
        <v>0</v>
      </c>
    </row>
    <row r="1324" spans="63:66" x14ac:dyDescent="0.6">
      <c r="BK1324" s="4" t="str">
        <f>IFERROR(VLOOKUP(TEXT($B$3,"yyyymmdd")&amp;"_"&amp;TEXT(1313,"0000"),RawData!$A$2:$F$1441,4,FALSE),"")</f>
        <v>01</v>
      </c>
      <c r="BL1324" s="19">
        <f>TIME(0,0,0)+1313/1440</f>
        <v>0.91180555555555554</v>
      </c>
      <c r="BM1324" s="4">
        <f>IFERROR(VLOOKUP(TEXT($B$3,"yyyymmdd")&amp;"_"&amp;TEXT(1313,"0000"),RawData!$A$2:$F$1441,5,FALSE),"")</f>
        <v>6.8199999999999999E-4</v>
      </c>
      <c r="BN1324" s="4">
        <f t="shared" si="21"/>
        <v>0</v>
      </c>
    </row>
    <row r="1325" spans="63:66" x14ac:dyDescent="0.6">
      <c r="BK1325" s="4" t="str">
        <f>IFERROR(VLOOKUP(TEXT($B$3,"yyyymmdd")&amp;"_"&amp;TEXT(1314,"0000"),RawData!$A$2:$F$1441,4,FALSE),"")</f>
        <v>01</v>
      </c>
      <c r="BL1325" s="19">
        <f>TIME(0,0,0)+1314/1440</f>
        <v>0.91249999999999998</v>
      </c>
      <c r="BM1325" s="4">
        <f>IFERROR(VLOOKUP(TEXT($B$3,"yyyymmdd")&amp;"_"&amp;TEXT(1314,"0000"),RawData!$A$2:$F$1441,5,FALSE),"")</f>
        <v>0</v>
      </c>
      <c r="BN1325" s="4">
        <f t="shared" si="21"/>
        <v>0</v>
      </c>
    </row>
    <row r="1326" spans="63:66" x14ac:dyDescent="0.6">
      <c r="BK1326" s="4" t="str">
        <f>IFERROR(VLOOKUP(TEXT($B$3,"yyyymmdd")&amp;"_"&amp;TEXT(1315,"0000"),RawData!$A$2:$F$1441,4,FALSE),"")</f>
        <v>01</v>
      </c>
      <c r="BL1326" s="19">
        <f>TIME(0,0,0)+1315/1440</f>
        <v>0.91319444444444442</v>
      </c>
      <c r="BM1326" s="4">
        <f>IFERROR(VLOOKUP(TEXT($B$3,"yyyymmdd")&amp;"_"&amp;TEXT(1315,"0000"),RawData!$A$2:$F$1441,5,FALSE),"")</f>
        <v>0</v>
      </c>
      <c r="BN1326" s="4">
        <f t="shared" si="21"/>
        <v>0</v>
      </c>
    </row>
    <row r="1327" spans="63:66" x14ac:dyDescent="0.6">
      <c r="BK1327" s="4" t="str">
        <f>IFERROR(VLOOKUP(TEXT($B$3,"yyyymmdd")&amp;"_"&amp;TEXT(1316,"0000"),RawData!$A$2:$F$1441,4,FALSE),"")</f>
        <v>01</v>
      </c>
      <c r="BL1327" s="19">
        <f>TIME(0,0,0)+1316/1440</f>
        <v>0.91388888888888886</v>
      </c>
      <c r="BM1327" s="4">
        <f>IFERROR(VLOOKUP(TEXT($B$3,"yyyymmdd")&amp;"_"&amp;TEXT(1316,"0000"),RawData!$A$2:$F$1441,5,FALSE),"")</f>
        <v>0</v>
      </c>
      <c r="BN1327" s="4">
        <f t="shared" si="21"/>
        <v>0</v>
      </c>
    </row>
    <row r="1328" spans="63:66" x14ac:dyDescent="0.6">
      <c r="BK1328" s="4" t="str">
        <f>IFERROR(VLOOKUP(TEXT($B$3,"yyyymmdd")&amp;"_"&amp;TEXT(1317,"0000"),RawData!$A$2:$F$1441,4,FALSE),"")</f>
        <v>01</v>
      </c>
      <c r="BL1328" s="19">
        <f>TIME(0,0,0)+1317/1440</f>
        <v>0.9145833333333333</v>
      </c>
      <c r="BM1328" s="4">
        <f>IFERROR(VLOOKUP(TEXT($B$3,"yyyymmdd")&amp;"_"&amp;TEXT(1317,"0000"),RawData!$A$2:$F$1441,5,FALSE),"")</f>
        <v>0</v>
      </c>
      <c r="BN1328" s="4">
        <f t="shared" ref="BN1328:BN1391" si="22">IF(BK1322="","",IF(BK1322&lt;&gt;BK1321,1,0))</f>
        <v>0</v>
      </c>
    </row>
    <row r="1329" spans="63:66" x14ac:dyDescent="0.6">
      <c r="BK1329" s="4" t="str">
        <f>IFERROR(VLOOKUP(TEXT($B$3,"yyyymmdd")&amp;"_"&amp;TEXT(1318,"0000"),RawData!$A$2:$F$1441,4,FALSE),"")</f>
        <v>01</v>
      </c>
      <c r="BL1329" s="19">
        <f>TIME(0,0,0)+1318/1440</f>
        <v>0.91527777777777775</v>
      </c>
      <c r="BM1329" s="4">
        <f>IFERROR(VLOOKUP(TEXT($B$3,"yyyymmdd")&amp;"_"&amp;TEXT(1318,"0000"),RawData!$A$2:$F$1441,5,FALSE),"")</f>
        <v>0</v>
      </c>
      <c r="BN1329" s="4">
        <f t="shared" si="22"/>
        <v>0</v>
      </c>
    </row>
    <row r="1330" spans="63:66" x14ac:dyDescent="0.6">
      <c r="BK1330" s="4" t="str">
        <f>IFERROR(VLOOKUP(TEXT($B$3,"yyyymmdd")&amp;"_"&amp;TEXT(1319,"0000"),RawData!$A$2:$F$1441,4,FALSE),"")</f>
        <v>01</v>
      </c>
      <c r="BL1330" s="19">
        <f>TIME(0,0,0)+1319/1440</f>
        <v>0.91597222222222219</v>
      </c>
      <c r="BM1330" s="4">
        <f>IFERROR(VLOOKUP(TEXT($B$3,"yyyymmdd")&amp;"_"&amp;TEXT(1319,"0000"),RawData!$A$2:$F$1441,5,FALSE),"")</f>
        <v>0</v>
      </c>
      <c r="BN1330" s="4">
        <f t="shared" si="22"/>
        <v>0</v>
      </c>
    </row>
    <row r="1331" spans="63:66" x14ac:dyDescent="0.6">
      <c r="BK1331" s="4" t="str">
        <f>IFERROR(VLOOKUP(TEXT($B$3,"yyyymmdd")&amp;"_"&amp;TEXT(1320,"0000"),RawData!$A$2:$F$1441,4,FALSE),"")</f>
        <v>01</v>
      </c>
      <c r="BL1331" s="19">
        <f>TIME(0,0,0)+1320/1440</f>
        <v>0.91666666666666663</v>
      </c>
      <c r="BM1331" s="4">
        <f>IFERROR(VLOOKUP(TEXT($B$3,"yyyymmdd")&amp;"_"&amp;TEXT(1320,"0000"),RawData!$A$2:$F$1441,5,FALSE),"")</f>
        <v>4.9700000000000005E-4</v>
      </c>
      <c r="BN1331" s="4">
        <f t="shared" si="22"/>
        <v>0</v>
      </c>
    </row>
    <row r="1332" spans="63:66" x14ac:dyDescent="0.6">
      <c r="BK1332" s="4" t="str">
        <f>IFERROR(VLOOKUP(TEXT($B$3,"yyyymmdd")&amp;"_"&amp;TEXT(1321,"0000"),RawData!$A$2:$F$1441,4,FALSE),"")</f>
        <v>01</v>
      </c>
      <c r="BL1332" s="19">
        <f>TIME(0,0,0)+1321/1440</f>
        <v>0.91736111111111107</v>
      </c>
      <c r="BM1332" s="4">
        <f>IFERROR(VLOOKUP(TEXT($B$3,"yyyymmdd")&amp;"_"&amp;TEXT(1321,"0000"),RawData!$A$2:$F$1441,5,FALSE),"")</f>
        <v>2.5700000000000001E-4</v>
      </c>
      <c r="BN1332" s="4">
        <f t="shared" si="22"/>
        <v>0</v>
      </c>
    </row>
    <row r="1333" spans="63:66" x14ac:dyDescent="0.6">
      <c r="BK1333" s="4" t="str">
        <f>IFERROR(VLOOKUP(TEXT($B$3,"yyyymmdd")&amp;"_"&amp;TEXT(1322,"0000"),RawData!$A$2:$F$1441,4,FALSE),"")</f>
        <v>01</v>
      </c>
      <c r="BL1333" s="19">
        <f>TIME(0,0,0)+1322/1440</f>
        <v>0.91805555555555551</v>
      </c>
      <c r="BM1333" s="4">
        <f>IFERROR(VLOOKUP(TEXT($B$3,"yyyymmdd")&amp;"_"&amp;TEXT(1322,"0000"),RawData!$A$2:$F$1441,5,FALSE),"")</f>
        <v>0</v>
      </c>
      <c r="BN1333" s="4">
        <f t="shared" si="22"/>
        <v>0</v>
      </c>
    </row>
    <row r="1334" spans="63:66" x14ac:dyDescent="0.6">
      <c r="BK1334" s="4" t="str">
        <f>IFERROR(VLOOKUP(TEXT($B$3,"yyyymmdd")&amp;"_"&amp;TEXT(1323,"0000"),RawData!$A$2:$F$1441,4,FALSE),"")</f>
        <v>01</v>
      </c>
      <c r="BL1334" s="19">
        <f>TIME(0,0,0)+1323/1440</f>
        <v>0.91874999999999996</v>
      </c>
      <c r="BM1334" s="4">
        <f>IFERROR(VLOOKUP(TEXT($B$3,"yyyymmdd")&amp;"_"&amp;TEXT(1323,"0000"),RawData!$A$2:$F$1441,5,FALSE),"")</f>
        <v>0</v>
      </c>
      <c r="BN1334" s="4">
        <f t="shared" si="22"/>
        <v>0</v>
      </c>
    </row>
    <row r="1335" spans="63:66" x14ac:dyDescent="0.6">
      <c r="BK1335" s="4" t="str">
        <f>IFERROR(VLOOKUP(TEXT($B$3,"yyyymmdd")&amp;"_"&amp;TEXT(1324,"0000"),RawData!$A$2:$F$1441,4,FALSE),"")</f>
        <v>01</v>
      </c>
      <c r="BL1335" s="19">
        <f>TIME(0,0,0)+1324/1440</f>
        <v>0.9194444444444444</v>
      </c>
      <c r="BM1335" s="4">
        <f>IFERROR(VLOOKUP(TEXT($B$3,"yyyymmdd")&amp;"_"&amp;TEXT(1324,"0000"),RawData!$A$2:$F$1441,5,FALSE),"")</f>
        <v>0</v>
      </c>
      <c r="BN1335" s="4">
        <f t="shared" si="22"/>
        <v>0</v>
      </c>
    </row>
    <row r="1336" spans="63:66" x14ac:dyDescent="0.6">
      <c r="BK1336" s="4" t="str">
        <f>IFERROR(VLOOKUP(TEXT($B$3,"yyyymmdd")&amp;"_"&amp;TEXT(1325,"0000"),RawData!$A$2:$F$1441,4,FALSE),"")</f>
        <v>01</v>
      </c>
      <c r="BL1336" s="19">
        <f>TIME(0,0,0)+1325/1440</f>
        <v>0.92013888888888884</v>
      </c>
      <c r="BM1336" s="4">
        <f>IFERROR(VLOOKUP(TEXT($B$3,"yyyymmdd")&amp;"_"&amp;TEXT(1325,"0000"),RawData!$A$2:$F$1441,5,FALSE),"")</f>
        <v>0</v>
      </c>
      <c r="BN1336" s="4">
        <f t="shared" si="22"/>
        <v>0</v>
      </c>
    </row>
    <row r="1337" spans="63:66" x14ac:dyDescent="0.6">
      <c r="BK1337" s="4" t="str">
        <f>IFERROR(VLOOKUP(TEXT($B$3,"yyyymmdd")&amp;"_"&amp;TEXT(1326,"0000"),RawData!$A$2:$F$1441,4,FALSE),"")</f>
        <v>01</v>
      </c>
      <c r="BL1337" s="19">
        <f>TIME(0,0,0)+1326/1440</f>
        <v>0.92083333333333328</v>
      </c>
      <c r="BM1337" s="4">
        <f>IFERROR(VLOOKUP(TEXT($B$3,"yyyymmdd")&amp;"_"&amp;TEXT(1326,"0000"),RawData!$A$2:$F$1441,5,FALSE),"")</f>
        <v>5.8799999999999998E-4</v>
      </c>
      <c r="BN1337" s="4">
        <f t="shared" si="22"/>
        <v>0</v>
      </c>
    </row>
    <row r="1338" spans="63:66" x14ac:dyDescent="0.6">
      <c r="BK1338" s="4" t="str">
        <f>IFERROR(VLOOKUP(TEXT($B$3,"yyyymmdd")&amp;"_"&amp;TEXT(1327,"0000"),RawData!$A$2:$F$1441,4,FALSE),"")</f>
        <v>01</v>
      </c>
      <c r="BL1338" s="19">
        <f>TIME(0,0,0)+1327/1440</f>
        <v>0.92152777777777772</v>
      </c>
      <c r="BM1338" s="4">
        <f>IFERROR(VLOOKUP(TEXT($B$3,"yyyymmdd")&amp;"_"&amp;TEXT(1327,"0000"),RawData!$A$2:$F$1441,5,FALSE),"")</f>
        <v>0</v>
      </c>
      <c r="BN1338" s="4">
        <f t="shared" si="22"/>
        <v>0</v>
      </c>
    </row>
    <row r="1339" spans="63:66" x14ac:dyDescent="0.6">
      <c r="BK1339" s="4" t="str">
        <f>IFERROR(VLOOKUP(TEXT($B$3,"yyyymmdd")&amp;"_"&amp;TEXT(1328,"0000"),RawData!$A$2:$F$1441,4,FALSE),"")</f>
        <v>01</v>
      </c>
      <c r="BL1339" s="19">
        <f>TIME(0,0,0)+1328/1440</f>
        <v>0.92222222222222228</v>
      </c>
      <c r="BM1339" s="4">
        <f>IFERROR(VLOOKUP(TEXT($B$3,"yyyymmdd")&amp;"_"&amp;TEXT(1328,"0000"),RawData!$A$2:$F$1441,5,FALSE),"")</f>
        <v>4.9200000000000003E-4</v>
      </c>
      <c r="BN1339" s="4">
        <f t="shared" si="22"/>
        <v>0</v>
      </c>
    </row>
    <row r="1340" spans="63:66" x14ac:dyDescent="0.6">
      <c r="BK1340" s="4" t="str">
        <f>IFERROR(VLOOKUP(TEXT($B$3,"yyyymmdd")&amp;"_"&amp;TEXT(1329,"0000"),RawData!$A$2:$F$1441,4,FALSE),"")</f>
        <v>01</v>
      </c>
      <c r="BL1340" s="19">
        <f>TIME(0,0,0)+1329/1440</f>
        <v>0.92291666666666672</v>
      </c>
      <c r="BM1340" s="4">
        <f>IFERROR(VLOOKUP(TEXT($B$3,"yyyymmdd")&amp;"_"&amp;TEXT(1329,"0000"),RawData!$A$2:$F$1441,5,FALSE),"")</f>
        <v>0</v>
      </c>
      <c r="BN1340" s="4">
        <f t="shared" si="22"/>
        <v>0</v>
      </c>
    </row>
    <row r="1341" spans="63:66" x14ac:dyDescent="0.6">
      <c r="BK1341" s="4" t="str">
        <f>IFERROR(VLOOKUP(TEXT($B$3,"yyyymmdd")&amp;"_"&amp;TEXT(1330,"0000"),RawData!$A$2:$F$1441,4,FALSE),"")</f>
        <v>01</v>
      </c>
      <c r="BL1341" s="19">
        <f>TIME(0,0,0)+1330/1440</f>
        <v>0.92361111111111116</v>
      </c>
      <c r="BM1341" s="4">
        <f>IFERROR(VLOOKUP(TEXT($B$3,"yyyymmdd")&amp;"_"&amp;TEXT(1330,"0000"),RawData!$A$2:$F$1441,5,FALSE),"")</f>
        <v>2.3499999999999999E-4</v>
      </c>
      <c r="BN1341" s="4">
        <f t="shared" si="22"/>
        <v>0</v>
      </c>
    </row>
    <row r="1342" spans="63:66" x14ac:dyDescent="0.6">
      <c r="BK1342" s="4" t="str">
        <f>IFERROR(VLOOKUP(TEXT($B$3,"yyyymmdd")&amp;"_"&amp;TEXT(1331,"0000"),RawData!$A$2:$F$1441,4,FALSE),"")</f>
        <v>01</v>
      </c>
      <c r="BL1342" s="19">
        <f>TIME(0,0,0)+1331/1440</f>
        <v>0.9243055555555556</v>
      </c>
      <c r="BM1342" s="4">
        <f>IFERROR(VLOOKUP(TEXT($B$3,"yyyymmdd")&amp;"_"&amp;TEXT(1331,"0000"),RawData!$A$2:$F$1441,5,FALSE),"")</f>
        <v>0</v>
      </c>
      <c r="BN1342" s="4">
        <f t="shared" si="22"/>
        <v>0</v>
      </c>
    </row>
    <row r="1343" spans="63:66" x14ac:dyDescent="0.6">
      <c r="BK1343" s="4" t="str">
        <f>IFERROR(VLOOKUP(TEXT($B$3,"yyyymmdd")&amp;"_"&amp;TEXT(1332,"0000"),RawData!$A$2:$F$1441,4,FALSE),"")</f>
        <v>01</v>
      </c>
      <c r="BL1343" s="19">
        <f>TIME(0,0,0)+1332/1440</f>
        <v>0.92500000000000004</v>
      </c>
      <c r="BM1343" s="4">
        <f>IFERROR(VLOOKUP(TEXT($B$3,"yyyymmdd")&amp;"_"&amp;TEXT(1332,"0000"),RawData!$A$2:$F$1441,5,FALSE),"")</f>
        <v>0</v>
      </c>
      <c r="BN1343" s="4">
        <f t="shared" si="22"/>
        <v>0</v>
      </c>
    </row>
    <row r="1344" spans="63:66" x14ac:dyDescent="0.6">
      <c r="BK1344" s="4" t="str">
        <f>IFERROR(VLOOKUP(TEXT($B$3,"yyyymmdd")&amp;"_"&amp;TEXT(1333,"0000"),RawData!$A$2:$F$1441,4,FALSE),"")</f>
        <v>01</v>
      </c>
      <c r="BL1344" s="19">
        <f>TIME(0,0,0)+1333/1440</f>
        <v>0.92569444444444449</v>
      </c>
      <c r="BM1344" s="4">
        <f>IFERROR(VLOOKUP(TEXT($B$3,"yyyymmdd")&amp;"_"&amp;TEXT(1333,"0000"),RawData!$A$2:$F$1441,5,FALSE),"")</f>
        <v>6.3699999999999998E-4</v>
      </c>
      <c r="BN1344" s="4">
        <f t="shared" si="22"/>
        <v>0</v>
      </c>
    </row>
    <row r="1345" spans="63:66" x14ac:dyDescent="0.6">
      <c r="BK1345" s="4" t="str">
        <f>IFERROR(VLOOKUP(TEXT($B$3,"yyyymmdd")&amp;"_"&amp;TEXT(1334,"0000"),RawData!$A$2:$F$1441,4,FALSE),"")</f>
        <v>01</v>
      </c>
      <c r="BL1345" s="19">
        <f>TIME(0,0,0)+1334/1440</f>
        <v>0.92638888888888893</v>
      </c>
      <c r="BM1345" s="4">
        <f>IFERROR(VLOOKUP(TEXT($B$3,"yyyymmdd")&amp;"_"&amp;TEXT(1334,"0000"),RawData!$A$2:$F$1441,5,FALSE),"")</f>
        <v>0</v>
      </c>
      <c r="BN1345" s="4">
        <f t="shared" si="22"/>
        <v>0</v>
      </c>
    </row>
    <row r="1346" spans="63:66" x14ac:dyDescent="0.6">
      <c r="BK1346" s="4" t="str">
        <f>IFERROR(VLOOKUP(TEXT($B$3,"yyyymmdd")&amp;"_"&amp;TEXT(1335,"0000"),RawData!$A$2:$F$1441,4,FALSE),"")</f>
        <v>01</v>
      </c>
      <c r="BL1346" s="19">
        <f>TIME(0,0,0)+1335/1440</f>
        <v>0.92708333333333337</v>
      </c>
      <c r="BM1346" s="4">
        <f>IFERROR(VLOOKUP(TEXT($B$3,"yyyymmdd")&amp;"_"&amp;TEXT(1335,"0000"),RawData!$A$2:$F$1441,5,FALSE),"")</f>
        <v>0</v>
      </c>
      <c r="BN1346" s="4">
        <f t="shared" si="22"/>
        <v>0</v>
      </c>
    </row>
    <row r="1347" spans="63:66" x14ac:dyDescent="0.6">
      <c r="BK1347" s="4" t="str">
        <f>IFERROR(VLOOKUP(TEXT($B$3,"yyyymmdd")&amp;"_"&amp;TEXT(1336,"0000"),RawData!$A$2:$F$1441,4,FALSE),"")</f>
        <v>01</v>
      </c>
      <c r="BL1347" s="19">
        <f>TIME(0,0,0)+1336/1440</f>
        <v>0.92777777777777781</v>
      </c>
      <c r="BM1347" s="4">
        <f>IFERROR(VLOOKUP(TEXT($B$3,"yyyymmdd")&amp;"_"&amp;TEXT(1336,"0000"),RawData!$A$2:$F$1441,5,FALSE),"")</f>
        <v>0</v>
      </c>
      <c r="BN1347" s="4">
        <f t="shared" si="22"/>
        <v>0</v>
      </c>
    </row>
    <row r="1348" spans="63:66" x14ac:dyDescent="0.6">
      <c r="BK1348" s="4" t="str">
        <f>IFERROR(VLOOKUP(TEXT($B$3,"yyyymmdd")&amp;"_"&amp;TEXT(1337,"0000"),RawData!$A$2:$F$1441,4,FALSE),"")</f>
        <v>01</v>
      </c>
      <c r="BL1348" s="19">
        <f>TIME(0,0,0)+1337/1440</f>
        <v>0.92847222222222225</v>
      </c>
      <c r="BM1348" s="4">
        <f>IFERROR(VLOOKUP(TEXT($B$3,"yyyymmdd")&amp;"_"&amp;TEXT(1337,"0000"),RawData!$A$2:$F$1441,5,FALSE),"")</f>
        <v>0</v>
      </c>
      <c r="BN1348" s="4">
        <f t="shared" si="22"/>
        <v>0</v>
      </c>
    </row>
    <row r="1349" spans="63:66" x14ac:dyDescent="0.6">
      <c r="BK1349" s="4" t="str">
        <f>IFERROR(VLOOKUP(TEXT($B$3,"yyyymmdd")&amp;"_"&amp;TEXT(1338,"0000"),RawData!$A$2:$F$1441,4,FALSE),"")</f>
        <v>01</v>
      </c>
      <c r="BL1349" s="19">
        <f>TIME(0,0,0)+1338/1440</f>
        <v>0.9291666666666667</v>
      </c>
      <c r="BM1349" s="4">
        <f>IFERROR(VLOOKUP(TEXT($B$3,"yyyymmdd")&amp;"_"&amp;TEXT(1338,"0000"),RawData!$A$2:$F$1441,5,FALSE),"")</f>
        <v>4.0900000000000002E-4</v>
      </c>
      <c r="BN1349" s="4">
        <f t="shared" si="22"/>
        <v>0</v>
      </c>
    </row>
    <row r="1350" spans="63:66" x14ac:dyDescent="0.6">
      <c r="BK1350" s="4" t="str">
        <f>IFERROR(VLOOKUP(TEXT($B$3,"yyyymmdd")&amp;"_"&amp;TEXT(1339,"0000"),RawData!$A$2:$F$1441,4,FALSE),"")</f>
        <v>01</v>
      </c>
      <c r="BL1350" s="19">
        <f>TIME(0,0,0)+1339/1440</f>
        <v>0.92986111111111114</v>
      </c>
      <c r="BM1350" s="4">
        <f>IFERROR(VLOOKUP(TEXT($B$3,"yyyymmdd")&amp;"_"&amp;TEXT(1339,"0000"),RawData!$A$2:$F$1441,5,FALSE),"")</f>
        <v>0</v>
      </c>
      <c r="BN1350" s="4">
        <f t="shared" si="22"/>
        <v>0</v>
      </c>
    </row>
    <row r="1351" spans="63:66" x14ac:dyDescent="0.6">
      <c r="BK1351" s="4" t="str">
        <f>IFERROR(VLOOKUP(TEXT($B$3,"yyyymmdd")&amp;"_"&amp;TEXT(1340,"0000"),RawData!$A$2:$F$1441,4,FALSE),"")</f>
        <v>01</v>
      </c>
      <c r="BL1351" s="19">
        <f>TIME(0,0,0)+1340/1440</f>
        <v>0.93055555555555558</v>
      </c>
      <c r="BM1351" s="4">
        <f>IFERROR(VLOOKUP(TEXT($B$3,"yyyymmdd")&amp;"_"&amp;TEXT(1340,"0000"),RawData!$A$2:$F$1441,5,FALSE),"")</f>
        <v>0</v>
      </c>
      <c r="BN1351" s="4">
        <f t="shared" si="22"/>
        <v>0</v>
      </c>
    </row>
    <row r="1352" spans="63:66" x14ac:dyDescent="0.6">
      <c r="BK1352" s="4" t="str">
        <f>IFERROR(VLOOKUP(TEXT($B$3,"yyyymmdd")&amp;"_"&amp;TEXT(1341,"0000"),RawData!$A$2:$F$1441,4,FALSE),"")</f>
        <v>01</v>
      </c>
      <c r="BL1352" s="19">
        <f>TIME(0,0,0)+1341/1440</f>
        <v>0.93125000000000002</v>
      </c>
      <c r="BM1352" s="4">
        <f>IFERROR(VLOOKUP(TEXT($B$3,"yyyymmdd")&amp;"_"&amp;TEXT(1341,"0000"),RawData!$A$2:$F$1441,5,FALSE),"")</f>
        <v>0</v>
      </c>
      <c r="BN1352" s="4">
        <f t="shared" si="22"/>
        <v>0</v>
      </c>
    </row>
    <row r="1353" spans="63:66" x14ac:dyDescent="0.6">
      <c r="BK1353" s="4" t="str">
        <f>IFERROR(VLOOKUP(TEXT($B$3,"yyyymmdd")&amp;"_"&amp;TEXT(1342,"0000"),RawData!$A$2:$F$1441,4,FALSE),"")</f>
        <v>01</v>
      </c>
      <c r="BL1353" s="19">
        <f>TIME(0,0,0)+1342/1440</f>
        <v>0.93194444444444446</v>
      </c>
      <c r="BM1353" s="4">
        <f>IFERROR(VLOOKUP(TEXT($B$3,"yyyymmdd")&amp;"_"&amp;TEXT(1342,"0000"),RawData!$A$2:$F$1441,5,FALSE),"")</f>
        <v>0</v>
      </c>
      <c r="BN1353" s="4">
        <f t="shared" si="22"/>
        <v>0</v>
      </c>
    </row>
    <row r="1354" spans="63:66" x14ac:dyDescent="0.6">
      <c r="BK1354" s="4" t="str">
        <f>IFERROR(VLOOKUP(TEXT($B$3,"yyyymmdd")&amp;"_"&amp;TEXT(1343,"0000"),RawData!$A$2:$F$1441,4,FALSE),"")</f>
        <v>01</v>
      </c>
      <c r="BL1354" s="19">
        <f>TIME(0,0,0)+1343/1440</f>
        <v>0.93263888888888891</v>
      </c>
      <c r="BM1354" s="4">
        <f>IFERROR(VLOOKUP(TEXT($B$3,"yyyymmdd")&amp;"_"&amp;TEXT(1343,"0000"),RawData!$A$2:$F$1441,5,FALSE),"")</f>
        <v>0</v>
      </c>
      <c r="BN1354" s="4">
        <f t="shared" si="22"/>
        <v>0</v>
      </c>
    </row>
    <row r="1355" spans="63:66" x14ac:dyDescent="0.6">
      <c r="BK1355" s="4" t="str">
        <f>IFERROR(VLOOKUP(TEXT($B$3,"yyyymmdd")&amp;"_"&amp;TEXT(1344,"0000"),RawData!$A$2:$F$1441,4,FALSE),"")</f>
        <v>01</v>
      </c>
      <c r="BL1355" s="19">
        <f>TIME(0,0,0)+1344/1440</f>
        <v>0.93333333333333335</v>
      </c>
      <c r="BM1355" s="4">
        <f>IFERROR(VLOOKUP(TEXT($B$3,"yyyymmdd")&amp;"_"&amp;TEXT(1344,"0000"),RawData!$A$2:$F$1441,5,FALSE),"")</f>
        <v>0</v>
      </c>
      <c r="BN1355" s="4">
        <f t="shared" si="22"/>
        <v>0</v>
      </c>
    </row>
    <row r="1356" spans="63:66" x14ac:dyDescent="0.6">
      <c r="BK1356" s="4" t="str">
        <f>IFERROR(VLOOKUP(TEXT($B$3,"yyyymmdd")&amp;"_"&amp;TEXT(1345,"0000"),RawData!$A$2:$F$1441,4,FALSE),"")</f>
        <v>01</v>
      </c>
      <c r="BL1356" s="19">
        <f>TIME(0,0,0)+1345/1440</f>
        <v>0.93402777777777779</v>
      </c>
      <c r="BM1356" s="4">
        <f>IFERROR(VLOOKUP(TEXT($B$3,"yyyymmdd")&amp;"_"&amp;TEXT(1345,"0000"),RawData!$A$2:$F$1441,5,FALSE),"")</f>
        <v>3.5199999999999999E-4</v>
      </c>
      <c r="BN1356" s="4">
        <f t="shared" si="22"/>
        <v>0</v>
      </c>
    </row>
    <row r="1357" spans="63:66" x14ac:dyDescent="0.6">
      <c r="BK1357" s="4" t="str">
        <f>IFERROR(VLOOKUP(TEXT($B$3,"yyyymmdd")&amp;"_"&amp;TEXT(1346,"0000"),RawData!$A$2:$F$1441,4,FALSE),"")</f>
        <v>01</v>
      </c>
      <c r="BL1357" s="19">
        <f>TIME(0,0,0)+1346/1440</f>
        <v>0.93472222222222223</v>
      </c>
      <c r="BM1357" s="4">
        <f>IFERROR(VLOOKUP(TEXT($B$3,"yyyymmdd")&amp;"_"&amp;TEXT(1346,"0000"),RawData!$A$2:$F$1441,5,FALSE),"")</f>
        <v>0</v>
      </c>
      <c r="BN1357" s="4">
        <f t="shared" si="22"/>
        <v>0</v>
      </c>
    </row>
    <row r="1358" spans="63:66" x14ac:dyDescent="0.6">
      <c r="BK1358" s="4" t="str">
        <f>IFERROR(VLOOKUP(TEXT($B$3,"yyyymmdd")&amp;"_"&amp;TEXT(1347,"0000"),RawData!$A$2:$F$1441,4,FALSE),"")</f>
        <v>01</v>
      </c>
      <c r="BL1358" s="19">
        <f>TIME(0,0,0)+1347/1440</f>
        <v>0.93541666666666667</v>
      </c>
      <c r="BM1358" s="4">
        <f>IFERROR(VLOOKUP(TEXT($B$3,"yyyymmdd")&amp;"_"&amp;TEXT(1347,"0000"),RawData!$A$2:$F$1441,5,FALSE),"")</f>
        <v>0</v>
      </c>
      <c r="BN1358" s="4">
        <f t="shared" si="22"/>
        <v>0</v>
      </c>
    </row>
    <row r="1359" spans="63:66" x14ac:dyDescent="0.6">
      <c r="BK1359" s="4" t="str">
        <f>IFERROR(VLOOKUP(TEXT($B$3,"yyyymmdd")&amp;"_"&amp;TEXT(1348,"0000"),RawData!$A$2:$F$1441,4,FALSE),"")</f>
        <v>01</v>
      </c>
      <c r="BL1359" s="19">
        <f>TIME(0,0,0)+1348/1440</f>
        <v>0.93611111111111112</v>
      </c>
      <c r="BM1359" s="4">
        <f>IFERROR(VLOOKUP(TEXT($B$3,"yyyymmdd")&amp;"_"&amp;TEXT(1348,"0000"),RawData!$A$2:$F$1441,5,FALSE),"")</f>
        <v>4.1599999999999997E-4</v>
      </c>
      <c r="BN1359" s="4">
        <f t="shared" si="22"/>
        <v>0</v>
      </c>
    </row>
    <row r="1360" spans="63:66" x14ac:dyDescent="0.6">
      <c r="BK1360" s="4" t="str">
        <f>IFERROR(VLOOKUP(TEXT($B$3,"yyyymmdd")&amp;"_"&amp;TEXT(1349,"0000"),RawData!$A$2:$F$1441,4,FALSE),"")</f>
        <v>01</v>
      </c>
      <c r="BL1360" s="19">
        <f>TIME(0,0,0)+1349/1440</f>
        <v>0.93680555555555556</v>
      </c>
      <c r="BM1360" s="4">
        <f>IFERROR(VLOOKUP(TEXT($B$3,"yyyymmdd")&amp;"_"&amp;TEXT(1349,"0000"),RawData!$A$2:$F$1441,5,FALSE),"")</f>
        <v>4.2900000000000002E-4</v>
      </c>
      <c r="BN1360" s="4">
        <f t="shared" si="22"/>
        <v>0</v>
      </c>
    </row>
    <row r="1361" spans="63:66" x14ac:dyDescent="0.6">
      <c r="BK1361" s="4" t="str">
        <f>IFERROR(VLOOKUP(TEXT($B$3,"yyyymmdd")&amp;"_"&amp;TEXT(1350,"0000"),RawData!$A$2:$F$1441,4,FALSE),"")</f>
        <v>01</v>
      </c>
      <c r="BL1361" s="19">
        <f>TIME(0,0,0)+1350/1440</f>
        <v>0.9375</v>
      </c>
      <c r="BM1361" s="4">
        <f>IFERROR(VLOOKUP(TEXT($B$3,"yyyymmdd")&amp;"_"&amp;TEXT(1350,"0000"),RawData!$A$2:$F$1441,5,FALSE),"")</f>
        <v>0</v>
      </c>
      <c r="BN1361" s="4">
        <f t="shared" si="22"/>
        <v>0</v>
      </c>
    </row>
    <row r="1362" spans="63:66" x14ac:dyDescent="0.6">
      <c r="BK1362" s="4" t="str">
        <f>IFERROR(VLOOKUP(TEXT($B$3,"yyyymmdd")&amp;"_"&amp;TEXT(1351,"0000"),RawData!$A$2:$F$1441,4,FALSE),"")</f>
        <v>01</v>
      </c>
      <c r="BL1362" s="19">
        <f>TIME(0,0,0)+1351/1440</f>
        <v>0.93819444444444444</v>
      </c>
      <c r="BM1362" s="4">
        <f>IFERROR(VLOOKUP(TEXT($B$3,"yyyymmdd")&amp;"_"&amp;TEXT(1351,"0000"),RawData!$A$2:$F$1441,5,FALSE),"")</f>
        <v>3.57E-4</v>
      </c>
      <c r="BN1362" s="4">
        <f t="shared" si="22"/>
        <v>0</v>
      </c>
    </row>
    <row r="1363" spans="63:66" x14ac:dyDescent="0.6">
      <c r="BK1363" s="4" t="str">
        <f>IFERROR(VLOOKUP(TEXT($B$3,"yyyymmdd")&amp;"_"&amp;TEXT(1352,"0000"),RawData!$A$2:$F$1441,4,FALSE),"")</f>
        <v>01</v>
      </c>
      <c r="BL1363" s="19">
        <f>TIME(0,0,0)+1352/1440</f>
        <v>0.93888888888888888</v>
      </c>
      <c r="BM1363" s="4">
        <f>IFERROR(VLOOKUP(TEXT($B$3,"yyyymmdd")&amp;"_"&amp;TEXT(1352,"0000"),RawData!$A$2:$F$1441,5,FALSE),"")</f>
        <v>3.6200000000000002E-4</v>
      </c>
      <c r="BN1363" s="4">
        <f t="shared" si="22"/>
        <v>0</v>
      </c>
    </row>
    <row r="1364" spans="63:66" x14ac:dyDescent="0.6">
      <c r="BK1364" s="4" t="str">
        <f>IFERROR(VLOOKUP(TEXT($B$3,"yyyymmdd")&amp;"_"&amp;TEXT(1353,"0000"),RawData!$A$2:$F$1441,4,FALSE),"")</f>
        <v>01</v>
      </c>
      <c r="BL1364" s="19">
        <f>TIME(0,0,0)+1353/1440</f>
        <v>0.93958333333333333</v>
      </c>
      <c r="BM1364" s="4">
        <f>IFERROR(VLOOKUP(TEXT($B$3,"yyyymmdd")&amp;"_"&amp;TEXT(1353,"0000"),RawData!$A$2:$F$1441,5,FALSE),"")</f>
        <v>3.5100000000000002E-4</v>
      </c>
      <c r="BN1364" s="4">
        <f t="shared" si="22"/>
        <v>0</v>
      </c>
    </row>
    <row r="1365" spans="63:66" x14ac:dyDescent="0.6">
      <c r="BK1365" s="4" t="str">
        <f>IFERROR(VLOOKUP(TEXT($B$3,"yyyymmdd")&amp;"_"&amp;TEXT(1354,"0000"),RawData!$A$2:$F$1441,4,FALSE),"")</f>
        <v>01</v>
      </c>
      <c r="BL1365" s="19">
        <f>TIME(0,0,0)+1354/1440</f>
        <v>0.94027777777777777</v>
      </c>
      <c r="BM1365" s="4">
        <f>IFERROR(VLOOKUP(TEXT($B$3,"yyyymmdd")&amp;"_"&amp;TEXT(1354,"0000"),RawData!$A$2:$F$1441,5,FALSE),"")</f>
        <v>3.68E-4</v>
      </c>
      <c r="BN1365" s="4">
        <f t="shared" si="22"/>
        <v>0</v>
      </c>
    </row>
    <row r="1366" spans="63:66" x14ac:dyDescent="0.6">
      <c r="BK1366" s="4" t="str">
        <f>IFERROR(VLOOKUP(TEXT($B$3,"yyyymmdd")&amp;"_"&amp;TEXT(1355,"0000"),RawData!$A$2:$F$1441,4,FALSE),"")</f>
        <v>01</v>
      </c>
      <c r="BL1366" s="19">
        <f>TIME(0,0,0)+1355/1440</f>
        <v>0.94097222222222221</v>
      </c>
      <c r="BM1366" s="4">
        <f>IFERROR(VLOOKUP(TEXT($B$3,"yyyymmdd")&amp;"_"&amp;TEXT(1355,"0000"),RawData!$A$2:$F$1441,5,FALSE),"")</f>
        <v>0</v>
      </c>
      <c r="BN1366" s="4">
        <f t="shared" si="22"/>
        <v>0</v>
      </c>
    </row>
    <row r="1367" spans="63:66" x14ac:dyDescent="0.6">
      <c r="BK1367" s="4" t="str">
        <f>IFERROR(VLOOKUP(TEXT($B$3,"yyyymmdd")&amp;"_"&amp;TEXT(1356,"0000"),RawData!$A$2:$F$1441,4,FALSE),"")</f>
        <v>01</v>
      </c>
      <c r="BL1367" s="19">
        <f>TIME(0,0,0)+1356/1440</f>
        <v>0.94166666666666665</v>
      </c>
      <c r="BM1367" s="4">
        <f>IFERROR(VLOOKUP(TEXT($B$3,"yyyymmdd")&amp;"_"&amp;TEXT(1356,"0000"),RawData!$A$2:$F$1441,5,FALSE),"")</f>
        <v>3.5300000000000002E-4</v>
      </c>
      <c r="BN1367" s="4">
        <f t="shared" si="22"/>
        <v>0</v>
      </c>
    </row>
    <row r="1368" spans="63:66" x14ac:dyDescent="0.6">
      <c r="BK1368" s="4" t="str">
        <f>IFERROR(VLOOKUP(TEXT($B$3,"yyyymmdd")&amp;"_"&amp;TEXT(1357,"0000"),RawData!$A$2:$F$1441,4,FALSE),"")</f>
        <v>01</v>
      </c>
      <c r="BL1368" s="19">
        <f>TIME(0,0,0)+1357/1440</f>
        <v>0.94236111111111109</v>
      </c>
      <c r="BM1368" s="4">
        <f>IFERROR(VLOOKUP(TEXT($B$3,"yyyymmdd")&amp;"_"&amp;TEXT(1357,"0000"),RawData!$A$2:$F$1441,5,FALSE),"")</f>
        <v>0</v>
      </c>
      <c r="BN1368" s="4">
        <f t="shared" si="22"/>
        <v>0</v>
      </c>
    </row>
    <row r="1369" spans="63:66" x14ac:dyDescent="0.6">
      <c r="BK1369" s="4" t="str">
        <f>IFERROR(VLOOKUP(TEXT($B$3,"yyyymmdd")&amp;"_"&amp;TEXT(1358,"0000"),RawData!$A$2:$F$1441,4,FALSE),"")</f>
        <v>01</v>
      </c>
      <c r="BL1369" s="19">
        <f>TIME(0,0,0)+1358/1440</f>
        <v>0.94305555555555554</v>
      </c>
      <c r="BM1369" s="4">
        <f>IFERROR(VLOOKUP(TEXT($B$3,"yyyymmdd")&amp;"_"&amp;TEXT(1358,"0000"),RawData!$A$2:$F$1441,5,FALSE),"")</f>
        <v>0</v>
      </c>
      <c r="BN1369" s="4">
        <f t="shared" si="22"/>
        <v>0</v>
      </c>
    </row>
    <row r="1370" spans="63:66" x14ac:dyDescent="0.6">
      <c r="BK1370" s="4" t="str">
        <f>IFERROR(VLOOKUP(TEXT($B$3,"yyyymmdd")&amp;"_"&amp;TEXT(1359,"0000"),RawData!$A$2:$F$1441,4,FALSE),"")</f>
        <v>01</v>
      </c>
      <c r="BL1370" s="19">
        <f>TIME(0,0,0)+1359/1440</f>
        <v>0.94374999999999998</v>
      </c>
      <c r="BM1370" s="4">
        <f>IFERROR(VLOOKUP(TEXT($B$3,"yyyymmdd")&amp;"_"&amp;TEXT(1359,"0000"),RawData!$A$2:$F$1441,5,FALSE),"")</f>
        <v>0</v>
      </c>
      <c r="BN1370" s="4">
        <f t="shared" si="22"/>
        <v>0</v>
      </c>
    </row>
    <row r="1371" spans="63:66" x14ac:dyDescent="0.6">
      <c r="BK1371" s="4" t="str">
        <f>IFERROR(VLOOKUP(TEXT($B$3,"yyyymmdd")&amp;"_"&amp;TEXT(1360,"0000"),RawData!$A$2:$F$1441,4,FALSE),"")</f>
        <v>01</v>
      </c>
      <c r="BL1371" s="19">
        <f>TIME(0,0,0)+1360/1440</f>
        <v>0.94444444444444442</v>
      </c>
      <c r="BM1371" s="4">
        <f>IFERROR(VLOOKUP(TEXT($B$3,"yyyymmdd")&amp;"_"&amp;TEXT(1360,"0000"),RawData!$A$2:$F$1441,5,FALSE),"")</f>
        <v>0</v>
      </c>
      <c r="BN1371" s="4">
        <f t="shared" si="22"/>
        <v>0</v>
      </c>
    </row>
    <row r="1372" spans="63:66" x14ac:dyDescent="0.6">
      <c r="BK1372" s="4" t="str">
        <f>IFERROR(VLOOKUP(TEXT($B$3,"yyyymmdd")&amp;"_"&amp;TEXT(1361,"0000"),RawData!$A$2:$F$1441,4,FALSE),"")</f>
        <v>01</v>
      </c>
      <c r="BL1372" s="19">
        <f>TIME(0,0,0)+1361/1440</f>
        <v>0.94513888888888886</v>
      </c>
      <c r="BM1372" s="4">
        <f>IFERROR(VLOOKUP(TEXT($B$3,"yyyymmdd")&amp;"_"&amp;TEXT(1361,"0000"),RawData!$A$2:$F$1441,5,FALSE),"")</f>
        <v>0</v>
      </c>
      <c r="BN1372" s="4">
        <f t="shared" si="22"/>
        <v>0</v>
      </c>
    </row>
    <row r="1373" spans="63:66" x14ac:dyDescent="0.6">
      <c r="BK1373" s="4" t="str">
        <f>IFERROR(VLOOKUP(TEXT($B$3,"yyyymmdd")&amp;"_"&amp;TEXT(1362,"0000"),RawData!$A$2:$F$1441,4,FALSE),"")</f>
        <v>01</v>
      </c>
      <c r="BL1373" s="19">
        <f>TIME(0,0,0)+1362/1440</f>
        <v>0.9458333333333333</v>
      </c>
      <c r="BM1373" s="4">
        <f>IFERROR(VLOOKUP(TEXT($B$3,"yyyymmdd")&amp;"_"&amp;TEXT(1362,"0000"),RawData!$A$2:$F$1441,5,FALSE),"")</f>
        <v>0</v>
      </c>
      <c r="BN1373" s="4">
        <f t="shared" si="22"/>
        <v>0</v>
      </c>
    </row>
    <row r="1374" spans="63:66" x14ac:dyDescent="0.6">
      <c r="BK1374" s="4" t="str">
        <f>IFERROR(VLOOKUP(TEXT($B$3,"yyyymmdd")&amp;"_"&amp;TEXT(1363,"0000"),RawData!$A$2:$F$1441,4,FALSE),"")</f>
        <v>01</v>
      </c>
      <c r="BL1374" s="19">
        <f>TIME(0,0,0)+1363/1440</f>
        <v>0.94652777777777775</v>
      </c>
      <c r="BM1374" s="4">
        <f>IFERROR(VLOOKUP(TEXT($B$3,"yyyymmdd")&amp;"_"&amp;TEXT(1363,"0000"),RawData!$A$2:$F$1441,5,FALSE),"")</f>
        <v>0</v>
      </c>
      <c r="BN1374" s="4">
        <f t="shared" si="22"/>
        <v>0</v>
      </c>
    </row>
    <row r="1375" spans="63:66" x14ac:dyDescent="0.6">
      <c r="BK1375" s="4" t="str">
        <f>IFERROR(VLOOKUP(TEXT($B$3,"yyyymmdd")&amp;"_"&amp;TEXT(1364,"0000"),RawData!$A$2:$F$1441,4,FALSE),"")</f>
        <v>01</v>
      </c>
      <c r="BL1375" s="19">
        <f>TIME(0,0,0)+1364/1440</f>
        <v>0.94722222222222219</v>
      </c>
      <c r="BM1375" s="4">
        <f>IFERROR(VLOOKUP(TEXT($B$3,"yyyymmdd")&amp;"_"&amp;TEXT(1364,"0000"),RawData!$A$2:$F$1441,5,FALSE),"")</f>
        <v>0</v>
      </c>
      <c r="BN1375" s="4">
        <f t="shared" si="22"/>
        <v>0</v>
      </c>
    </row>
    <row r="1376" spans="63:66" x14ac:dyDescent="0.6">
      <c r="BK1376" s="4" t="str">
        <f>IFERROR(VLOOKUP(TEXT($B$3,"yyyymmdd")&amp;"_"&amp;TEXT(1365,"0000"),RawData!$A$2:$F$1441,4,FALSE),"")</f>
        <v>01</v>
      </c>
      <c r="BL1376" s="19">
        <f>TIME(0,0,0)+1365/1440</f>
        <v>0.94791666666666663</v>
      </c>
      <c r="BM1376" s="4">
        <f>IFERROR(VLOOKUP(TEXT($B$3,"yyyymmdd")&amp;"_"&amp;TEXT(1365,"0000"),RawData!$A$2:$F$1441,5,FALSE),"")</f>
        <v>0</v>
      </c>
      <c r="BN1376" s="4">
        <f t="shared" si="22"/>
        <v>0</v>
      </c>
    </row>
    <row r="1377" spans="63:66" x14ac:dyDescent="0.6">
      <c r="BK1377" s="4" t="str">
        <f>IFERROR(VLOOKUP(TEXT($B$3,"yyyymmdd")&amp;"_"&amp;TEXT(1366,"0000"),RawData!$A$2:$F$1441,4,FALSE),"")</f>
        <v>01</v>
      </c>
      <c r="BL1377" s="19">
        <f>TIME(0,0,0)+1366/1440</f>
        <v>0.94861111111111107</v>
      </c>
      <c r="BM1377" s="4">
        <f>IFERROR(VLOOKUP(TEXT($B$3,"yyyymmdd")&amp;"_"&amp;TEXT(1366,"0000"),RawData!$A$2:$F$1441,5,FALSE),"")</f>
        <v>0</v>
      </c>
      <c r="BN1377" s="4">
        <f t="shared" si="22"/>
        <v>0</v>
      </c>
    </row>
    <row r="1378" spans="63:66" x14ac:dyDescent="0.6">
      <c r="BK1378" s="4" t="str">
        <f>IFERROR(VLOOKUP(TEXT($B$3,"yyyymmdd")&amp;"_"&amp;TEXT(1367,"0000"),RawData!$A$2:$F$1441,4,FALSE),"")</f>
        <v>01</v>
      </c>
      <c r="BL1378" s="19">
        <f>TIME(0,0,0)+1367/1440</f>
        <v>0.94930555555555551</v>
      </c>
      <c r="BM1378" s="4">
        <f>IFERROR(VLOOKUP(TEXT($B$3,"yyyymmdd")&amp;"_"&amp;TEXT(1367,"0000"),RawData!$A$2:$F$1441,5,FALSE),"")</f>
        <v>0</v>
      </c>
      <c r="BN1378" s="4">
        <f t="shared" si="22"/>
        <v>0</v>
      </c>
    </row>
    <row r="1379" spans="63:66" x14ac:dyDescent="0.6">
      <c r="BK1379" s="4" t="str">
        <f>IFERROR(VLOOKUP(TEXT($B$3,"yyyymmdd")&amp;"_"&amp;TEXT(1368,"0000"),RawData!$A$2:$F$1441,4,FALSE),"")</f>
        <v>01</v>
      </c>
      <c r="BL1379" s="19">
        <f>TIME(0,0,0)+1368/1440</f>
        <v>0.95</v>
      </c>
      <c r="BM1379" s="4">
        <f>IFERROR(VLOOKUP(TEXT($B$3,"yyyymmdd")&amp;"_"&amp;TEXT(1368,"0000"),RawData!$A$2:$F$1441,5,FALSE),"")</f>
        <v>0</v>
      </c>
      <c r="BN1379" s="4">
        <f t="shared" si="22"/>
        <v>0</v>
      </c>
    </row>
    <row r="1380" spans="63:66" x14ac:dyDescent="0.6">
      <c r="BK1380" s="4" t="str">
        <f>IFERROR(VLOOKUP(TEXT($B$3,"yyyymmdd")&amp;"_"&amp;TEXT(1369,"0000"),RawData!$A$2:$F$1441,4,FALSE),"")</f>
        <v>01</v>
      </c>
      <c r="BL1380" s="19">
        <f>TIME(0,0,0)+1369/1440</f>
        <v>0.9506944444444444</v>
      </c>
      <c r="BM1380" s="4">
        <f>IFERROR(VLOOKUP(TEXT($B$3,"yyyymmdd")&amp;"_"&amp;TEXT(1369,"0000"),RawData!$A$2:$F$1441,5,FALSE),"")</f>
        <v>0</v>
      </c>
      <c r="BN1380" s="4">
        <f t="shared" si="22"/>
        <v>0</v>
      </c>
    </row>
    <row r="1381" spans="63:66" x14ac:dyDescent="0.6">
      <c r="BK1381" s="4" t="str">
        <f>IFERROR(VLOOKUP(TEXT($B$3,"yyyymmdd")&amp;"_"&amp;TEXT(1370,"0000"),RawData!$A$2:$F$1441,4,FALSE),"")</f>
        <v>01</v>
      </c>
      <c r="BL1381" s="19">
        <f>TIME(0,0,0)+1370/1440</f>
        <v>0.95138888888888884</v>
      </c>
      <c r="BM1381" s="4">
        <f>IFERROR(VLOOKUP(TEXT($B$3,"yyyymmdd")&amp;"_"&amp;TEXT(1370,"0000"),RawData!$A$2:$F$1441,5,FALSE),"")</f>
        <v>0</v>
      </c>
      <c r="BN1381" s="4">
        <f t="shared" si="22"/>
        <v>0</v>
      </c>
    </row>
    <row r="1382" spans="63:66" x14ac:dyDescent="0.6">
      <c r="BK1382" s="4" t="str">
        <f>IFERROR(VLOOKUP(TEXT($B$3,"yyyymmdd")&amp;"_"&amp;TEXT(1371,"0000"),RawData!$A$2:$F$1441,4,FALSE),"")</f>
        <v>01</v>
      </c>
      <c r="BL1382" s="19">
        <f>TIME(0,0,0)+1371/1440</f>
        <v>0.95208333333333328</v>
      </c>
      <c r="BM1382" s="4">
        <f>IFERROR(VLOOKUP(TEXT($B$3,"yyyymmdd")&amp;"_"&amp;TEXT(1371,"0000"),RawData!$A$2:$F$1441,5,FALSE),"")</f>
        <v>0</v>
      </c>
      <c r="BN1382" s="4">
        <f t="shared" si="22"/>
        <v>0</v>
      </c>
    </row>
    <row r="1383" spans="63:66" x14ac:dyDescent="0.6">
      <c r="BK1383" s="4" t="str">
        <f>IFERROR(VLOOKUP(TEXT($B$3,"yyyymmdd")&amp;"_"&amp;TEXT(1372,"0000"),RawData!$A$2:$F$1441,4,FALSE),"")</f>
        <v>01</v>
      </c>
      <c r="BL1383" s="19">
        <f>TIME(0,0,0)+1372/1440</f>
        <v>0.95277777777777772</v>
      </c>
      <c r="BM1383" s="4">
        <f>IFERROR(VLOOKUP(TEXT($B$3,"yyyymmdd")&amp;"_"&amp;TEXT(1372,"0000"),RawData!$A$2:$F$1441,5,FALSE),"")</f>
        <v>0</v>
      </c>
      <c r="BN1383" s="4">
        <f t="shared" si="22"/>
        <v>0</v>
      </c>
    </row>
    <row r="1384" spans="63:66" x14ac:dyDescent="0.6">
      <c r="BK1384" s="4" t="str">
        <f>IFERROR(VLOOKUP(TEXT($B$3,"yyyymmdd")&amp;"_"&amp;TEXT(1373,"0000"),RawData!$A$2:$F$1441,4,FALSE),"")</f>
        <v>01</v>
      </c>
      <c r="BL1384" s="19">
        <f>TIME(0,0,0)+1373/1440</f>
        <v>0.95347222222222228</v>
      </c>
      <c r="BM1384" s="4">
        <f>IFERROR(VLOOKUP(TEXT($B$3,"yyyymmdd")&amp;"_"&amp;TEXT(1373,"0000"),RawData!$A$2:$F$1441,5,FALSE),"")</f>
        <v>0</v>
      </c>
      <c r="BN1384" s="4">
        <f t="shared" si="22"/>
        <v>0</v>
      </c>
    </row>
    <row r="1385" spans="63:66" x14ac:dyDescent="0.6">
      <c r="BK1385" s="4" t="str">
        <f>IFERROR(VLOOKUP(TEXT($B$3,"yyyymmdd")&amp;"_"&amp;TEXT(1374,"0000"),RawData!$A$2:$F$1441,4,FALSE),"")</f>
        <v>01</v>
      </c>
      <c r="BL1385" s="19">
        <f>TIME(0,0,0)+1374/1440</f>
        <v>0.95416666666666672</v>
      </c>
      <c r="BM1385" s="4">
        <f>IFERROR(VLOOKUP(TEXT($B$3,"yyyymmdd")&amp;"_"&amp;TEXT(1374,"0000"),RawData!$A$2:$F$1441,5,FALSE),"")</f>
        <v>0</v>
      </c>
      <c r="BN1385" s="4">
        <f t="shared" si="22"/>
        <v>0</v>
      </c>
    </row>
    <row r="1386" spans="63:66" x14ac:dyDescent="0.6">
      <c r="BK1386" s="4" t="str">
        <f>IFERROR(VLOOKUP(TEXT($B$3,"yyyymmdd")&amp;"_"&amp;TEXT(1375,"0000"),RawData!$A$2:$F$1441,4,FALSE),"")</f>
        <v>01</v>
      </c>
      <c r="BL1386" s="19">
        <f>TIME(0,0,0)+1375/1440</f>
        <v>0.95486111111111116</v>
      </c>
      <c r="BM1386" s="4">
        <f>IFERROR(VLOOKUP(TEXT($B$3,"yyyymmdd")&amp;"_"&amp;TEXT(1375,"0000"),RawData!$A$2:$F$1441,5,FALSE),"")</f>
        <v>0</v>
      </c>
      <c r="BN1386" s="4">
        <f t="shared" si="22"/>
        <v>0</v>
      </c>
    </row>
    <row r="1387" spans="63:66" x14ac:dyDescent="0.6">
      <c r="BK1387" s="4" t="str">
        <f>IFERROR(VLOOKUP(TEXT($B$3,"yyyymmdd")&amp;"_"&amp;TEXT(1376,"0000"),RawData!$A$2:$F$1441,4,FALSE),"")</f>
        <v>01</v>
      </c>
      <c r="BL1387" s="19">
        <f>TIME(0,0,0)+1376/1440</f>
        <v>0.9555555555555556</v>
      </c>
      <c r="BM1387" s="4">
        <f>IFERROR(VLOOKUP(TEXT($B$3,"yyyymmdd")&amp;"_"&amp;TEXT(1376,"0000"),RawData!$A$2:$F$1441,5,FALSE),"")</f>
        <v>0</v>
      </c>
      <c r="BN1387" s="4">
        <f t="shared" si="22"/>
        <v>0</v>
      </c>
    </row>
    <row r="1388" spans="63:66" x14ac:dyDescent="0.6">
      <c r="BK1388" s="4" t="str">
        <f>IFERROR(VLOOKUP(TEXT($B$3,"yyyymmdd")&amp;"_"&amp;TEXT(1377,"0000"),RawData!$A$2:$F$1441,4,FALSE),"")</f>
        <v>01</v>
      </c>
      <c r="BL1388" s="19">
        <f>TIME(0,0,0)+1377/1440</f>
        <v>0.95625000000000004</v>
      </c>
      <c r="BM1388" s="4">
        <f>IFERROR(VLOOKUP(TEXT($B$3,"yyyymmdd")&amp;"_"&amp;TEXT(1377,"0000"),RawData!$A$2:$F$1441,5,FALSE),"")</f>
        <v>0</v>
      </c>
      <c r="BN1388" s="4">
        <f t="shared" si="22"/>
        <v>0</v>
      </c>
    </row>
    <row r="1389" spans="63:66" x14ac:dyDescent="0.6">
      <c r="BK1389" s="4" t="str">
        <f>IFERROR(VLOOKUP(TEXT($B$3,"yyyymmdd")&amp;"_"&amp;TEXT(1378,"0000"),RawData!$A$2:$F$1441,4,FALSE),"")</f>
        <v>01</v>
      </c>
      <c r="BL1389" s="19">
        <f>TIME(0,0,0)+1378/1440</f>
        <v>0.95694444444444449</v>
      </c>
      <c r="BM1389" s="4">
        <f>IFERROR(VLOOKUP(TEXT($B$3,"yyyymmdd")&amp;"_"&amp;TEXT(1378,"0000"),RawData!$A$2:$F$1441,5,FALSE),"")</f>
        <v>0</v>
      </c>
      <c r="BN1389" s="4">
        <f t="shared" si="22"/>
        <v>0</v>
      </c>
    </row>
    <row r="1390" spans="63:66" x14ac:dyDescent="0.6">
      <c r="BK1390" s="4" t="str">
        <f>IFERROR(VLOOKUP(TEXT($B$3,"yyyymmdd")&amp;"_"&amp;TEXT(1379,"0000"),RawData!$A$2:$F$1441,4,FALSE),"")</f>
        <v>01</v>
      </c>
      <c r="BL1390" s="19">
        <f>TIME(0,0,0)+1379/1440</f>
        <v>0.95763888888888893</v>
      </c>
      <c r="BM1390" s="4">
        <f>IFERROR(VLOOKUP(TEXT($B$3,"yyyymmdd")&amp;"_"&amp;TEXT(1379,"0000"),RawData!$A$2:$F$1441,5,FALSE),"")</f>
        <v>5.5000000000000003E-4</v>
      </c>
      <c r="BN1390" s="4">
        <f t="shared" si="22"/>
        <v>0</v>
      </c>
    </row>
    <row r="1391" spans="63:66" x14ac:dyDescent="0.6">
      <c r="BK1391" s="4" t="str">
        <f>IFERROR(VLOOKUP(TEXT($B$3,"yyyymmdd")&amp;"_"&amp;TEXT(1380,"0000"),RawData!$A$2:$F$1441,4,FALSE),"")</f>
        <v>01</v>
      </c>
      <c r="BL1391" s="19">
        <f>TIME(0,0,0)+1380/1440</f>
        <v>0.95833333333333337</v>
      </c>
      <c r="BM1391" s="4">
        <f>IFERROR(VLOOKUP(TEXT($B$3,"yyyymmdd")&amp;"_"&amp;TEXT(1380,"0000"),RawData!$A$2:$F$1441,5,FALSE),"")</f>
        <v>0</v>
      </c>
      <c r="BN1391" s="4">
        <f t="shared" si="22"/>
        <v>0</v>
      </c>
    </row>
    <row r="1392" spans="63:66" x14ac:dyDescent="0.6">
      <c r="BK1392" s="4" t="str">
        <f>IFERROR(VLOOKUP(TEXT($B$3,"yyyymmdd")&amp;"_"&amp;TEXT(1381,"0000"),RawData!$A$2:$F$1441,4,FALSE),"")</f>
        <v>01</v>
      </c>
      <c r="BL1392" s="19">
        <f>TIME(0,0,0)+1381/1440</f>
        <v>0.95902777777777781</v>
      </c>
      <c r="BM1392" s="4">
        <f>IFERROR(VLOOKUP(TEXT($B$3,"yyyymmdd")&amp;"_"&amp;TEXT(1381,"0000"),RawData!$A$2:$F$1441,5,FALSE),"")</f>
        <v>0</v>
      </c>
      <c r="BN1392" s="4">
        <f t="shared" ref="BN1392:BN1455" si="23">IF(BK1386="","",IF(BK1386&lt;&gt;BK1385,1,0))</f>
        <v>0</v>
      </c>
    </row>
    <row r="1393" spans="63:66" x14ac:dyDescent="0.6">
      <c r="BK1393" s="4" t="str">
        <f>IFERROR(VLOOKUP(TEXT($B$3,"yyyymmdd")&amp;"_"&amp;TEXT(1382,"0000"),RawData!$A$2:$F$1441,4,FALSE),"")</f>
        <v>01</v>
      </c>
      <c r="BL1393" s="19">
        <f>TIME(0,0,0)+1382/1440</f>
        <v>0.95972222222222225</v>
      </c>
      <c r="BM1393" s="4">
        <f>IFERROR(VLOOKUP(TEXT($B$3,"yyyymmdd")&amp;"_"&amp;TEXT(1382,"0000"),RawData!$A$2:$F$1441,5,FALSE),"")</f>
        <v>0</v>
      </c>
      <c r="BN1393" s="4">
        <f t="shared" si="23"/>
        <v>0</v>
      </c>
    </row>
    <row r="1394" spans="63:66" x14ac:dyDescent="0.6">
      <c r="BK1394" s="4" t="str">
        <f>IFERROR(VLOOKUP(TEXT($B$3,"yyyymmdd")&amp;"_"&amp;TEXT(1383,"0000"),RawData!$A$2:$F$1441,4,FALSE),"")</f>
        <v>01</v>
      </c>
      <c r="BL1394" s="19">
        <f>TIME(0,0,0)+1383/1440</f>
        <v>0.9604166666666667</v>
      </c>
      <c r="BM1394" s="4">
        <f>IFERROR(VLOOKUP(TEXT($B$3,"yyyymmdd")&amp;"_"&amp;TEXT(1383,"0000"),RawData!$A$2:$F$1441,5,FALSE),"")</f>
        <v>0</v>
      </c>
      <c r="BN1394" s="4">
        <f t="shared" si="23"/>
        <v>0</v>
      </c>
    </row>
    <row r="1395" spans="63:66" x14ac:dyDescent="0.6">
      <c r="BK1395" s="4" t="str">
        <f>IFERROR(VLOOKUP(TEXT($B$3,"yyyymmdd")&amp;"_"&amp;TEXT(1384,"0000"),RawData!$A$2:$F$1441,4,FALSE),"")</f>
        <v>01</v>
      </c>
      <c r="BL1395" s="19">
        <f>TIME(0,0,0)+1384/1440</f>
        <v>0.96111111111111114</v>
      </c>
      <c r="BM1395" s="4">
        <f>IFERROR(VLOOKUP(TEXT($B$3,"yyyymmdd")&amp;"_"&amp;TEXT(1384,"0000"),RawData!$A$2:$F$1441,5,FALSE),"")</f>
        <v>0</v>
      </c>
      <c r="BN1395" s="4">
        <f t="shared" si="23"/>
        <v>0</v>
      </c>
    </row>
    <row r="1396" spans="63:66" x14ac:dyDescent="0.6">
      <c r="BK1396" s="4" t="str">
        <f>IFERROR(VLOOKUP(TEXT($B$3,"yyyymmdd")&amp;"_"&amp;TEXT(1385,"0000"),RawData!$A$2:$F$1441,4,FALSE),"")</f>
        <v>01</v>
      </c>
      <c r="BL1396" s="19">
        <f>TIME(0,0,0)+1385/1440</f>
        <v>0.96180555555555558</v>
      </c>
      <c r="BM1396" s="4">
        <f>IFERROR(VLOOKUP(TEXT($B$3,"yyyymmdd")&amp;"_"&amp;TEXT(1385,"0000"),RawData!$A$2:$F$1441,5,FALSE),"")</f>
        <v>0</v>
      </c>
      <c r="BN1396" s="4">
        <f t="shared" si="23"/>
        <v>0</v>
      </c>
    </row>
    <row r="1397" spans="63:66" x14ac:dyDescent="0.6">
      <c r="BK1397" s="4" t="str">
        <f>IFERROR(VLOOKUP(TEXT($B$3,"yyyymmdd")&amp;"_"&amp;TEXT(1386,"0000"),RawData!$A$2:$F$1441,4,FALSE),"")</f>
        <v>01</v>
      </c>
      <c r="BL1397" s="19">
        <f>TIME(0,0,0)+1386/1440</f>
        <v>0.96250000000000002</v>
      </c>
      <c r="BM1397" s="4">
        <f>IFERROR(VLOOKUP(TEXT($B$3,"yyyymmdd")&amp;"_"&amp;TEXT(1386,"0000"),RawData!$A$2:$F$1441,5,FALSE),"")</f>
        <v>5.8900000000000001E-4</v>
      </c>
      <c r="BN1397" s="4">
        <f t="shared" si="23"/>
        <v>0</v>
      </c>
    </row>
    <row r="1398" spans="63:66" x14ac:dyDescent="0.6">
      <c r="BK1398" s="4" t="str">
        <f>IFERROR(VLOOKUP(TEXT($B$3,"yyyymmdd")&amp;"_"&amp;TEXT(1387,"0000"),RawData!$A$2:$F$1441,4,FALSE),"")</f>
        <v>01</v>
      </c>
      <c r="BL1398" s="19">
        <f>TIME(0,0,0)+1387/1440</f>
        <v>0.96319444444444446</v>
      </c>
      <c r="BM1398" s="4">
        <f>IFERROR(VLOOKUP(TEXT($B$3,"yyyymmdd")&amp;"_"&amp;TEXT(1387,"0000"),RawData!$A$2:$F$1441,5,FALSE),"")</f>
        <v>0</v>
      </c>
      <c r="BN1398" s="4">
        <f t="shared" si="23"/>
        <v>0</v>
      </c>
    </row>
    <row r="1399" spans="63:66" x14ac:dyDescent="0.6">
      <c r="BK1399" s="4" t="str">
        <f>IFERROR(VLOOKUP(TEXT($B$3,"yyyymmdd")&amp;"_"&amp;TEXT(1388,"0000"),RawData!$A$2:$F$1441,4,FALSE),"")</f>
        <v>01</v>
      </c>
      <c r="BL1399" s="19">
        <f>TIME(0,0,0)+1388/1440</f>
        <v>0.96388888888888891</v>
      </c>
      <c r="BM1399" s="4">
        <f>IFERROR(VLOOKUP(TEXT($B$3,"yyyymmdd")&amp;"_"&amp;TEXT(1388,"0000"),RawData!$A$2:$F$1441,5,FALSE),"")</f>
        <v>0</v>
      </c>
      <c r="BN1399" s="4">
        <f t="shared" si="23"/>
        <v>0</v>
      </c>
    </row>
    <row r="1400" spans="63:66" x14ac:dyDescent="0.6">
      <c r="BK1400" s="4" t="str">
        <f>IFERROR(VLOOKUP(TEXT($B$3,"yyyymmdd")&amp;"_"&amp;TEXT(1389,"0000"),RawData!$A$2:$F$1441,4,FALSE),"")</f>
        <v>01</v>
      </c>
      <c r="BL1400" s="19">
        <f>TIME(0,0,0)+1389/1440</f>
        <v>0.96458333333333335</v>
      </c>
      <c r="BM1400" s="4">
        <f>IFERROR(VLOOKUP(TEXT($B$3,"yyyymmdd")&amp;"_"&amp;TEXT(1389,"0000"),RawData!$A$2:$F$1441,5,FALSE),"")</f>
        <v>0</v>
      </c>
      <c r="BN1400" s="4">
        <f t="shared" si="23"/>
        <v>0</v>
      </c>
    </row>
    <row r="1401" spans="63:66" x14ac:dyDescent="0.6">
      <c r="BK1401" s="4" t="str">
        <f>IFERROR(VLOOKUP(TEXT($B$3,"yyyymmdd")&amp;"_"&amp;TEXT(1390,"0000"),RawData!$A$2:$F$1441,4,FALSE),"")</f>
        <v>01</v>
      </c>
      <c r="BL1401" s="19">
        <f>TIME(0,0,0)+1390/1440</f>
        <v>0.96527777777777779</v>
      </c>
      <c r="BM1401" s="4">
        <f>IFERROR(VLOOKUP(TEXT($B$3,"yyyymmdd")&amp;"_"&amp;TEXT(1390,"0000"),RawData!$A$2:$F$1441,5,FALSE),"")</f>
        <v>0</v>
      </c>
      <c r="BN1401" s="4">
        <f t="shared" si="23"/>
        <v>0</v>
      </c>
    </row>
    <row r="1402" spans="63:66" x14ac:dyDescent="0.6">
      <c r="BK1402" s="4" t="str">
        <f>IFERROR(VLOOKUP(TEXT($B$3,"yyyymmdd")&amp;"_"&amp;TEXT(1391,"0000"),RawData!$A$2:$F$1441,4,FALSE),"")</f>
        <v>01</v>
      </c>
      <c r="BL1402" s="19">
        <f>TIME(0,0,0)+1391/1440</f>
        <v>0.96597222222222223</v>
      </c>
      <c r="BM1402" s="4">
        <f>IFERROR(VLOOKUP(TEXT($B$3,"yyyymmdd")&amp;"_"&amp;TEXT(1391,"0000"),RawData!$A$2:$F$1441,5,FALSE),"")</f>
        <v>5.3300000000000005E-4</v>
      </c>
      <c r="BN1402" s="4">
        <f t="shared" si="23"/>
        <v>0</v>
      </c>
    </row>
    <row r="1403" spans="63:66" x14ac:dyDescent="0.6">
      <c r="BK1403" s="4" t="str">
        <f>IFERROR(VLOOKUP(TEXT($B$3,"yyyymmdd")&amp;"_"&amp;TEXT(1392,"0000"),RawData!$A$2:$F$1441,4,FALSE),"")</f>
        <v>1E</v>
      </c>
      <c r="BL1403" s="19">
        <f>TIME(0,0,0)+1392/1440</f>
        <v>0.96666666666666667</v>
      </c>
      <c r="BM1403" s="4">
        <f>IFERROR(VLOOKUP(TEXT($B$3,"yyyymmdd")&amp;"_"&amp;TEXT(1392,"0000"),RawData!$A$2:$F$1441,5,FALSE),"")</f>
        <v>3.8099999999999999E-4</v>
      </c>
      <c r="BN1403" s="4">
        <f t="shared" si="23"/>
        <v>0</v>
      </c>
    </row>
    <row r="1404" spans="63:66" x14ac:dyDescent="0.6">
      <c r="BK1404" s="4" t="str">
        <f>IFERROR(VLOOKUP(TEXT($B$3,"yyyymmdd")&amp;"_"&amp;TEXT(1393,"0000"),RawData!$A$2:$F$1441,4,FALSE),"")</f>
        <v>1E</v>
      </c>
      <c r="BL1404" s="19">
        <f>TIME(0,0,0)+1393/1440</f>
        <v>0.96736111111111112</v>
      </c>
      <c r="BM1404" s="4">
        <f>IFERROR(VLOOKUP(TEXT($B$3,"yyyymmdd")&amp;"_"&amp;TEXT(1393,"0000"),RawData!$A$2:$F$1441,5,FALSE),"")</f>
        <v>0</v>
      </c>
      <c r="BN1404" s="4">
        <f t="shared" si="23"/>
        <v>0</v>
      </c>
    </row>
    <row r="1405" spans="63:66" x14ac:dyDescent="0.6">
      <c r="BK1405" s="4" t="str">
        <f>IFERROR(VLOOKUP(TEXT($B$3,"yyyymmdd")&amp;"_"&amp;TEXT(1394,"0000"),RawData!$A$2:$F$1441,4,FALSE),"")</f>
        <v>01</v>
      </c>
      <c r="BL1405" s="19">
        <f>TIME(0,0,0)+1394/1440</f>
        <v>0.96805555555555556</v>
      </c>
      <c r="BM1405" s="4">
        <f>IFERROR(VLOOKUP(TEXT($B$3,"yyyymmdd")&amp;"_"&amp;TEXT(1394,"0000"),RawData!$A$2:$F$1441,5,FALSE),"")</f>
        <v>0</v>
      </c>
      <c r="BN1405" s="4">
        <f t="shared" si="23"/>
        <v>0</v>
      </c>
    </row>
    <row r="1406" spans="63:66" x14ac:dyDescent="0.6">
      <c r="BK1406" s="4" t="str">
        <f>IFERROR(VLOOKUP(TEXT($B$3,"yyyymmdd")&amp;"_"&amp;TEXT(1395,"0000"),RawData!$A$2:$F$1441,4,FALSE),"")</f>
        <v>01</v>
      </c>
      <c r="BL1406" s="19">
        <f>TIME(0,0,0)+1395/1440</f>
        <v>0.96875</v>
      </c>
      <c r="BM1406" s="4">
        <f>IFERROR(VLOOKUP(TEXT($B$3,"yyyymmdd")&amp;"_"&amp;TEXT(1395,"0000"),RawData!$A$2:$F$1441,5,FALSE),"")</f>
        <v>0</v>
      </c>
      <c r="BN1406" s="4">
        <f t="shared" si="23"/>
        <v>0</v>
      </c>
    </row>
    <row r="1407" spans="63:66" x14ac:dyDescent="0.6">
      <c r="BK1407" s="4" t="str">
        <f>IFERROR(VLOOKUP(TEXT($B$3,"yyyymmdd")&amp;"_"&amp;TEXT(1396,"0000"),RawData!$A$2:$F$1441,4,FALSE),"")</f>
        <v>01</v>
      </c>
      <c r="BL1407" s="19">
        <f>TIME(0,0,0)+1396/1440</f>
        <v>0.96944444444444444</v>
      </c>
      <c r="BM1407" s="4">
        <f>IFERROR(VLOOKUP(TEXT($B$3,"yyyymmdd")&amp;"_"&amp;TEXT(1396,"0000"),RawData!$A$2:$F$1441,5,FALSE),"")</f>
        <v>0</v>
      </c>
      <c r="BN1407" s="4">
        <f t="shared" si="23"/>
        <v>0</v>
      </c>
    </row>
    <row r="1408" spans="63:66" x14ac:dyDescent="0.6">
      <c r="BK1408" s="4" t="str">
        <f>IFERROR(VLOOKUP(TEXT($B$3,"yyyymmdd")&amp;"_"&amp;TEXT(1397,"0000"),RawData!$A$2:$F$1441,4,FALSE),"")</f>
        <v>01</v>
      </c>
      <c r="BL1408" s="19">
        <f>TIME(0,0,0)+1397/1440</f>
        <v>0.97013888888888888</v>
      </c>
      <c r="BM1408" s="4">
        <f>IFERROR(VLOOKUP(TEXT($B$3,"yyyymmdd")&amp;"_"&amp;TEXT(1397,"0000"),RawData!$A$2:$F$1441,5,FALSE),"")</f>
        <v>0</v>
      </c>
      <c r="BN1408" s="4">
        <f t="shared" si="23"/>
        <v>0</v>
      </c>
    </row>
    <row r="1409" spans="63:66" x14ac:dyDescent="0.6">
      <c r="BK1409" s="4" t="str">
        <f>IFERROR(VLOOKUP(TEXT($B$3,"yyyymmdd")&amp;"_"&amp;TEXT(1398,"0000"),RawData!$A$2:$F$1441,4,FALSE),"")</f>
        <v>01</v>
      </c>
      <c r="BL1409" s="19">
        <f>TIME(0,0,0)+1398/1440</f>
        <v>0.97083333333333333</v>
      </c>
      <c r="BM1409" s="4">
        <f>IFERROR(VLOOKUP(TEXT($B$3,"yyyymmdd")&amp;"_"&amp;TEXT(1398,"0000"),RawData!$A$2:$F$1441,5,FALSE),"")</f>
        <v>0</v>
      </c>
      <c r="BN1409" s="4">
        <f t="shared" si="23"/>
        <v>1</v>
      </c>
    </row>
    <row r="1410" spans="63:66" x14ac:dyDescent="0.6">
      <c r="BK1410" s="4" t="str">
        <f>IFERROR(VLOOKUP(TEXT($B$3,"yyyymmdd")&amp;"_"&amp;TEXT(1399,"0000"),RawData!$A$2:$F$1441,4,FALSE),"")</f>
        <v>01</v>
      </c>
      <c r="BL1410" s="19">
        <f>TIME(0,0,0)+1399/1440</f>
        <v>0.97152777777777777</v>
      </c>
      <c r="BM1410" s="4">
        <f>IFERROR(VLOOKUP(TEXT($B$3,"yyyymmdd")&amp;"_"&amp;TEXT(1399,"0000"),RawData!$A$2:$F$1441,5,FALSE),"")</f>
        <v>0</v>
      </c>
      <c r="BN1410" s="4">
        <f t="shared" si="23"/>
        <v>0</v>
      </c>
    </row>
    <row r="1411" spans="63:66" x14ac:dyDescent="0.6">
      <c r="BK1411" s="4" t="str">
        <f>IFERROR(VLOOKUP(TEXT($B$3,"yyyymmdd")&amp;"_"&amp;TEXT(1400,"0000"),RawData!$A$2:$F$1441,4,FALSE),"")</f>
        <v>01</v>
      </c>
      <c r="BL1411" s="19">
        <f>TIME(0,0,0)+1400/1440</f>
        <v>0.97222222222222221</v>
      </c>
      <c r="BM1411" s="4">
        <f>IFERROR(VLOOKUP(TEXT($B$3,"yyyymmdd")&amp;"_"&amp;TEXT(1400,"0000"),RawData!$A$2:$F$1441,5,FALSE),"")</f>
        <v>0</v>
      </c>
      <c r="BN1411" s="4">
        <f t="shared" si="23"/>
        <v>1</v>
      </c>
    </row>
    <row r="1412" spans="63:66" x14ac:dyDescent="0.6">
      <c r="BK1412" s="4" t="str">
        <f>IFERROR(VLOOKUP(TEXT($B$3,"yyyymmdd")&amp;"_"&amp;TEXT(1401,"0000"),RawData!$A$2:$F$1441,4,FALSE),"")</f>
        <v>01</v>
      </c>
      <c r="BL1412" s="19">
        <f>TIME(0,0,0)+1401/1440</f>
        <v>0.97291666666666665</v>
      </c>
      <c r="BM1412" s="4">
        <f>IFERROR(VLOOKUP(TEXT($B$3,"yyyymmdd")&amp;"_"&amp;TEXT(1401,"0000"),RawData!$A$2:$F$1441,5,FALSE),"")</f>
        <v>0</v>
      </c>
      <c r="BN1412" s="4">
        <f t="shared" si="23"/>
        <v>0</v>
      </c>
    </row>
    <row r="1413" spans="63:66" x14ac:dyDescent="0.6">
      <c r="BK1413" s="4" t="str">
        <f>IFERROR(VLOOKUP(TEXT($B$3,"yyyymmdd")&amp;"_"&amp;TEXT(1402,"0000"),RawData!$A$2:$F$1441,4,FALSE),"")</f>
        <v>01</v>
      </c>
      <c r="BL1413" s="19">
        <f>TIME(0,0,0)+1402/1440</f>
        <v>0.97361111111111109</v>
      </c>
      <c r="BM1413" s="4">
        <f>IFERROR(VLOOKUP(TEXT($B$3,"yyyymmdd")&amp;"_"&amp;TEXT(1402,"0000"),RawData!$A$2:$F$1441,5,FALSE),"")</f>
        <v>3.9199999999999999E-4</v>
      </c>
      <c r="BN1413" s="4">
        <f t="shared" si="23"/>
        <v>0</v>
      </c>
    </row>
    <row r="1414" spans="63:66" x14ac:dyDescent="0.6">
      <c r="BK1414" s="4" t="str">
        <f>IFERROR(VLOOKUP(TEXT($B$3,"yyyymmdd")&amp;"_"&amp;TEXT(1403,"0000"),RawData!$A$2:$F$1441,4,FALSE),"")</f>
        <v>01</v>
      </c>
      <c r="BL1414" s="19">
        <f>TIME(0,0,0)+1403/1440</f>
        <v>0.97430555555555554</v>
      </c>
      <c r="BM1414" s="4">
        <f>IFERROR(VLOOKUP(TEXT($B$3,"yyyymmdd")&amp;"_"&amp;TEXT(1403,"0000"),RawData!$A$2:$F$1441,5,FALSE),"")</f>
        <v>0</v>
      </c>
      <c r="BN1414" s="4">
        <f t="shared" si="23"/>
        <v>0</v>
      </c>
    </row>
    <row r="1415" spans="63:66" x14ac:dyDescent="0.6">
      <c r="BK1415" s="4" t="str">
        <f>IFERROR(VLOOKUP(TEXT($B$3,"yyyymmdd")&amp;"_"&amp;TEXT(1404,"0000"),RawData!$A$2:$F$1441,4,FALSE),"")</f>
        <v>01</v>
      </c>
      <c r="BL1415" s="19">
        <f>TIME(0,0,0)+1404/1440</f>
        <v>0.97499999999999998</v>
      </c>
      <c r="BM1415" s="4">
        <f>IFERROR(VLOOKUP(TEXT($B$3,"yyyymmdd")&amp;"_"&amp;TEXT(1404,"0000"),RawData!$A$2:$F$1441,5,FALSE),"")</f>
        <v>0</v>
      </c>
      <c r="BN1415" s="4">
        <f t="shared" si="23"/>
        <v>0</v>
      </c>
    </row>
    <row r="1416" spans="63:66" x14ac:dyDescent="0.6">
      <c r="BK1416" s="4" t="str">
        <f>IFERROR(VLOOKUP(TEXT($B$3,"yyyymmdd")&amp;"_"&amp;TEXT(1405,"0000"),RawData!$A$2:$F$1441,4,FALSE),"")</f>
        <v>01</v>
      </c>
      <c r="BL1416" s="19">
        <f>TIME(0,0,0)+1405/1440</f>
        <v>0.97569444444444442</v>
      </c>
      <c r="BM1416" s="4">
        <f>IFERROR(VLOOKUP(TEXT($B$3,"yyyymmdd")&amp;"_"&amp;TEXT(1405,"0000"),RawData!$A$2:$F$1441,5,FALSE),"")</f>
        <v>0</v>
      </c>
      <c r="BN1416" s="4">
        <f t="shared" si="23"/>
        <v>0</v>
      </c>
    </row>
    <row r="1417" spans="63:66" x14ac:dyDescent="0.6">
      <c r="BK1417" s="4" t="str">
        <f>IFERROR(VLOOKUP(TEXT($B$3,"yyyymmdd")&amp;"_"&amp;TEXT(1406,"0000"),RawData!$A$2:$F$1441,4,FALSE),"")</f>
        <v>01</v>
      </c>
      <c r="BL1417" s="19">
        <f>TIME(0,0,0)+1406/1440</f>
        <v>0.97638888888888886</v>
      </c>
      <c r="BM1417" s="4">
        <f>IFERROR(VLOOKUP(TEXT($B$3,"yyyymmdd")&amp;"_"&amp;TEXT(1406,"0000"),RawData!$A$2:$F$1441,5,FALSE),"")</f>
        <v>0</v>
      </c>
      <c r="BN1417" s="4">
        <f t="shared" si="23"/>
        <v>0</v>
      </c>
    </row>
    <row r="1418" spans="63:66" x14ac:dyDescent="0.6">
      <c r="BK1418" s="4" t="str">
        <f>IFERROR(VLOOKUP(TEXT($B$3,"yyyymmdd")&amp;"_"&amp;TEXT(1407,"0000"),RawData!$A$2:$F$1441,4,FALSE),"")</f>
        <v>01</v>
      </c>
      <c r="BL1418" s="19">
        <f>TIME(0,0,0)+1407/1440</f>
        <v>0.9770833333333333</v>
      </c>
      <c r="BM1418" s="4">
        <f>IFERROR(VLOOKUP(TEXT($B$3,"yyyymmdd")&amp;"_"&amp;TEXT(1407,"0000"),RawData!$A$2:$F$1441,5,FALSE),"")</f>
        <v>0</v>
      </c>
      <c r="BN1418" s="4">
        <f t="shared" si="23"/>
        <v>0</v>
      </c>
    </row>
    <row r="1419" spans="63:66" x14ac:dyDescent="0.6">
      <c r="BK1419" s="4" t="str">
        <f>IFERROR(VLOOKUP(TEXT($B$3,"yyyymmdd")&amp;"_"&amp;TEXT(1408,"0000"),RawData!$A$2:$F$1441,4,FALSE),"")</f>
        <v>01</v>
      </c>
      <c r="BL1419" s="19">
        <f>TIME(0,0,0)+1408/1440</f>
        <v>0.97777777777777775</v>
      </c>
      <c r="BM1419" s="4">
        <f>IFERROR(VLOOKUP(TEXT($B$3,"yyyymmdd")&amp;"_"&amp;TEXT(1408,"0000"),RawData!$A$2:$F$1441,5,FALSE),"")</f>
        <v>0</v>
      </c>
      <c r="BN1419" s="4">
        <f t="shared" si="23"/>
        <v>0</v>
      </c>
    </row>
    <row r="1420" spans="63:66" x14ac:dyDescent="0.6">
      <c r="BK1420" s="4" t="str">
        <f>IFERROR(VLOOKUP(TEXT($B$3,"yyyymmdd")&amp;"_"&amp;TEXT(1409,"0000"),RawData!$A$2:$F$1441,4,FALSE),"")</f>
        <v>01</v>
      </c>
      <c r="BL1420" s="19">
        <f>TIME(0,0,0)+1409/1440</f>
        <v>0.97847222222222219</v>
      </c>
      <c r="BM1420" s="4">
        <f>IFERROR(VLOOKUP(TEXT($B$3,"yyyymmdd")&amp;"_"&amp;TEXT(1409,"0000"),RawData!$A$2:$F$1441,5,FALSE),"")</f>
        <v>0</v>
      </c>
      <c r="BN1420" s="4">
        <f t="shared" si="23"/>
        <v>0</v>
      </c>
    </row>
    <row r="1421" spans="63:66" x14ac:dyDescent="0.6">
      <c r="BK1421" s="4" t="str">
        <f>IFERROR(VLOOKUP(TEXT($B$3,"yyyymmdd")&amp;"_"&amp;TEXT(1410,"0000"),RawData!$A$2:$F$1441,4,FALSE),"")</f>
        <v>01</v>
      </c>
      <c r="BL1421" s="19">
        <f>TIME(0,0,0)+1410/1440</f>
        <v>0.97916666666666663</v>
      </c>
      <c r="BM1421" s="4">
        <f>IFERROR(VLOOKUP(TEXT($B$3,"yyyymmdd")&amp;"_"&amp;TEXT(1410,"0000"),RawData!$A$2:$F$1441,5,FALSE),"")</f>
        <v>0</v>
      </c>
      <c r="BN1421" s="4">
        <f t="shared" si="23"/>
        <v>0</v>
      </c>
    </row>
    <row r="1422" spans="63:66" x14ac:dyDescent="0.6">
      <c r="BK1422" s="4" t="str">
        <f>IFERROR(VLOOKUP(TEXT($B$3,"yyyymmdd")&amp;"_"&amp;TEXT(1411,"0000"),RawData!$A$2:$F$1441,4,FALSE),"")</f>
        <v>14</v>
      </c>
      <c r="BL1422" s="19">
        <f>TIME(0,0,0)+1411/1440</f>
        <v>0.97986111111111107</v>
      </c>
      <c r="BM1422" s="4">
        <f>IFERROR(VLOOKUP(TEXT($B$3,"yyyymmdd")&amp;"_"&amp;TEXT(1411,"0000"),RawData!$A$2:$F$1441,5,FALSE),"")</f>
        <v>0</v>
      </c>
      <c r="BN1422" s="4">
        <f t="shared" si="23"/>
        <v>0</v>
      </c>
    </row>
    <row r="1423" spans="63:66" x14ac:dyDescent="0.6">
      <c r="BK1423" s="4" t="str">
        <f>IFERROR(VLOOKUP(TEXT($B$3,"yyyymmdd")&amp;"_"&amp;TEXT(1412,"0000"),RawData!$A$2:$F$1441,4,FALSE),"")</f>
        <v>0A</v>
      </c>
      <c r="BL1423" s="19">
        <f>TIME(0,0,0)+1412/1440</f>
        <v>0.98055555555555551</v>
      </c>
      <c r="BM1423" s="4">
        <f>IFERROR(VLOOKUP(TEXT($B$3,"yyyymmdd")&amp;"_"&amp;TEXT(1412,"0000"),RawData!$A$2:$F$1441,5,FALSE),"")</f>
        <v>0</v>
      </c>
      <c r="BN1423" s="4">
        <f t="shared" si="23"/>
        <v>0</v>
      </c>
    </row>
    <row r="1424" spans="63:66" x14ac:dyDescent="0.6">
      <c r="BK1424" s="4" t="str">
        <f>IFERROR(VLOOKUP(TEXT($B$3,"yyyymmdd")&amp;"_"&amp;TEXT(1413,"0000"),RawData!$A$2:$F$1441,4,FALSE),"")</f>
        <v>0A</v>
      </c>
      <c r="BL1424" s="19">
        <f>TIME(0,0,0)+1413/1440</f>
        <v>0.98124999999999996</v>
      </c>
      <c r="BM1424" s="4">
        <f>IFERROR(VLOOKUP(TEXT($B$3,"yyyymmdd")&amp;"_"&amp;TEXT(1413,"0000"),RawData!$A$2:$F$1441,5,FALSE),"")</f>
        <v>3.9599999999999998E-4</v>
      </c>
      <c r="BN1424" s="4">
        <f t="shared" si="23"/>
        <v>0</v>
      </c>
    </row>
    <row r="1425" spans="63:66" x14ac:dyDescent="0.6">
      <c r="BK1425" s="4" t="str">
        <f>IFERROR(VLOOKUP(TEXT($B$3,"yyyymmdd")&amp;"_"&amp;TEXT(1414,"0000"),RawData!$A$2:$F$1441,4,FALSE),"")</f>
        <v>1E</v>
      </c>
      <c r="BL1425" s="19">
        <f>TIME(0,0,0)+1414/1440</f>
        <v>0.9819444444444444</v>
      </c>
      <c r="BM1425" s="4">
        <f>IFERROR(VLOOKUP(TEXT($B$3,"yyyymmdd")&amp;"_"&amp;TEXT(1414,"0000"),RawData!$A$2:$F$1441,5,FALSE),"")</f>
        <v>0</v>
      </c>
      <c r="BN1425" s="4">
        <f t="shared" si="23"/>
        <v>0</v>
      </c>
    </row>
    <row r="1426" spans="63:66" x14ac:dyDescent="0.6">
      <c r="BK1426" s="4" t="str">
        <f>IFERROR(VLOOKUP(TEXT($B$3,"yyyymmdd")&amp;"_"&amp;TEXT(1415,"0000"),RawData!$A$2:$F$1441,4,FALSE),"")</f>
        <v>0A</v>
      </c>
      <c r="BL1426" s="19">
        <f>TIME(0,0,0)+1415/1440</f>
        <v>0.98263888888888884</v>
      </c>
      <c r="BM1426" s="4">
        <f>IFERROR(VLOOKUP(TEXT($B$3,"yyyymmdd")&amp;"_"&amp;TEXT(1415,"0000"),RawData!$A$2:$F$1441,5,FALSE),"")</f>
        <v>0</v>
      </c>
      <c r="BN1426" s="4">
        <f t="shared" si="23"/>
        <v>0</v>
      </c>
    </row>
    <row r="1427" spans="63:66" x14ac:dyDescent="0.6">
      <c r="BK1427" s="4" t="str">
        <f>IFERROR(VLOOKUP(TEXT($B$3,"yyyymmdd")&amp;"_"&amp;TEXT(1416,"0000"),RawData!$A$2:$F$1441,4,FALSE),"")</f>
        <v>0A</v>
      </c>
      <c r="BL1427" s="19">
        <f>TIME(0,0,0)+1416/1440</f>
        <v>0.98333333333333328</v>
      </c>
      <c r="BM1427" s="4">
        <f>IFERROR(VLOOKUP(TEXT($B$3,"yyyymmdd")&amp;"_"&amp;TEXT(1416,"0000"),RawData!$A$2:$F$1441,5,FALSE),"")</f>
        <v>0</v>
      </c>
      <c r="BN1427" s="4">
        <f t="shared" si="23"/>
        <v>0</v>
      </c>
    </row>
    <row r="1428" spans="63:66" x14ac:dyDescent="0.6">
      <c r="BK1428" s="4" t="str">
        <f>IFERROR(VLOOKUP(TEXT($B$3,"yyyymmdd")&amp;"_"&amp;TEXT(1417,"0000"),RawData!$A$2:$F$1441,4,FALSE),"")</f>
        <v>0A</v>
      </c>
      <c r="BL1428" s="19">
        <f>TIME(0,0,0)+1417/1440</f>
        <v>0.98402777777777772</v>
      </c>
      <c r="BM1428" s="4">
        <f>IFERROR(VLOOKUP(TEXT($B$3,"yyyymmdd")&amp;"_"&amp;TEXT(1417,"0000"),RawData!$A$2:$F$1441,5,FALSE),"")</f>
        <v>4.6900000000000002E-4</v>
      </c>
      <c r="BN1428" s="4">
        <f t="shared" si="23"/>
        <v>1</v>
      </c>
    </row>
    <row r="1429" spans="63:66" x14ac:dyDescent="0.6">
      <c r="BK1429" s="4" t="str">
        <f>IFERROR(VLOOKUP(TEXT($B$3,"yyyymmdd")&amp;"_"&amp;TEXT(1418,"0000"),RawData!$A$2:$F$1441,4,FALSE),"")</f>
        <v>0A</v>
      </c>
      <c r="BL1429" s="19">
        <f>TIME(0,0,0)+1418/1440</f>
        <v>0.98472222222222228</v>
      </c>
      <c r="BM1429" s="4">
        <f>IFERROR(VLOOKUP(TEXT($B$3,"yyyymmdd")&amp;"_"&amp;TEXT(1418,"0000"),RawData!$A$2:$F$1441,5,FALSE),"")</f>
        <v>3.3799999999999998E-4</v>
      </c>
      <c r="BN1429" s="4">
        <f t="shared" si="23"/>
        <v>1</v>
      </c>
    </row>
    <row r="1430" spans="63:66" x14ac:dyDescent="0.6">
      <c r="BK1430" s="4" t="str">
        <f>IFERROR(VLOOKUP(TEXT($B$3,"yyyymmdd")&amp;"_"&amp;TEXT(1419,"0000"),RawData!$A$2:$F$1441,4,FALSE),"")</f>
        <v>0A</v>
      </c>
      <c r="BL1430" s="19">
        <f>TIME(0,0,0)+1419/1440</f>
        <v>0.98541666666666672</v>
      </c>
      <c r="BM1430" s="4">
        <f>IFERROR(VLOOKUP(TEXT($B$3,"yyyymmdd")&amp;"_"&amp;TEXT(1419,"0000"),RawData!$A$2:$F$1441,5,FALSE),"")</f>
        <v>5.3700000000000004E-4</v>
      </c>
      <c r="BN1430" s="4">
        <f t="shared" si="23"/>
        <v>0</v>
      </c>
    </row>
    <row r="1431" spans="63:66" x14ac:dyDescent="0.6">
      <c r="BK1431" s="4" t="str">
        <f>IFERROR(VLOOKUP(TEXT($B$3,"yyyymmdd")&amp;"_"&amp;TEXT(1420,"0000"),RawData!$A$2:$F$1441,4,FALSE),"")</f>
        <v>0A</v>
      </c>
      <c r="BL1431" s="19">
        <f>TIME(0,0,0)+1420/1440</f>
        <v>0.98611111111111116</v>
      </c>
      <c r="BM1431" s="4">
        <f>IFERROR(VLOOKUP(TEXT($B$3,"yyyymmdd")&amp;"_"&amp;TEXT(1420,"0000"),RawData!$A$2:$F$1441,5,FALSE),"")</f>
        <v>0</v>
      </c>
      <c r="BN1431" s="4">
        <f t="shared" si="23"/>
        <v>1</v>
      </c>
    </row>
    <row r="1432" spans="63:66" x14ac:dyDescent="0.6">
      <c r="BK1432" s="4" t="str">
        <f>IFERROR(VLOOKUP(TEXT($B$3,"yyyymmdd")&amp;"_"&amp;TEXT(1421,"0000"),RawData!$A$2:$F$1441,4,FALSE),"")</f>
        <v>01</v>
      </c>
      <c r="BL1432" s="19">
        <f>TIME(0,0,0)+1421/1440</f>
        <v>0.9868055555555556</v>
      </c>
      <c r="BM1432" s="4">
        <f>IFERROR(VLOOKUP(TEXT($B$3,"yyyymmdd")&amp;"_"&amp;TEXT(1421,"0000"),RawData!$A$2:$F$1441,5,FALSE),"")</f>
        <v>5.2300000000000003E-4</v>
      </c>
      <c r="BN1432" s="4">
        <f t="shared" si="23"/>
        <v>1</v>
      </c>
    </row>
    <row r="1433" spans="63:66" x14ac:dyDescent="0.6">
      <c r="BK1433" s="4" t="str">
        <f>IFERROR(VLOOKUP(TEXT($B$3,"yyyymmdd")&amp;"_"&amp;TEXT(1422,"0000"),RawData!$A$2:$F$1441,4,FALSE),"")</f>
        <v>01</v>
      </c>
      <c r="BL1433" s="19">
        <f>TIME(0,0,0)+1422/1440</f>
        <v>0.98750000000000004</v>
      </c>
      <c r="BM1433" s="4">
        <f>IFERROR(VLOOKUP(TEXT($B$3,"yyyymmdd")&amp;"_"&amp;TEXT(1422,"0000"),RawData!$A$2:$F$1441,5,FALSE),"")</f>
        <v>0</v>
      </c>
      <c r="BN1433" s="4">
        <f t="shared" si="23"/>
        <v>0</v>
      </c>
    </row>
    <row r="1434" spans="63:66" x14ac:dyDescent="0.6">
      <c r="BK1434" s="4" t="str">
        <f>IFERROR(VLOOKUP(TEXT($B$3,"yyyymmdd")&amp;"_"&amp;TEXT(1423,"0000"),RawData!$A$2:$F$1441,4,FALSE),"")</f>
        <v>01</v>
      </c>
      <c r="BL1434" s="19">
        <f>TIME(0,0,0)+1423/1440</f>
        <v>0.98819444444444449</v>
      </c>
      <c r="BM1434" s="4">
        <f>IFERROR(VLOOKUP(TEXT($B$3,"yyyymmdd")&amp;"_"&amp;TEXT(1423,"0000"),RawData!$A$2:$F$1441,5,FALSE),"")</f>
        <v>7.9799999999999999E-4</v>
      </c>
      <c r="BN1434" s="4">
        <f t="shared" si="23"/>
        <v>0</v>
      </c>
    </row>
    <row r="1435" spans="63:66" x14ac:dyDescent="0.6">
      <c r="BK1435" s="4" t="str">
        <f>IFERROR(VLOOKUP(TEXT($B$3,"yyyymmdd")&amp;"_"&amp;TEXT(1424,"0000"),RawData!$A$2:$F$1441,4,FALSE),"")</f>
        <v>01</v>
      </c>
      <c r="BL1435" s="19">
        <f>TIME(0,0,0)+1424/1440</f>
        <v>0.98888888888888893</v>
      </c>
      <c r="BM1435" s="4">
        <f>IFERROR(VLOOKUP(TEXT($B$3,"yyyymmdd")&amp;"_"&amp;TEXT(1424,"0000"),RawData!$A$2:$F$1441,5,FALSE),"")</f>
        <v>3.3E-4</v>
      </c>
      <c r="BN1435" s="4">
        <f t="shared" si="23"/>
        <v>0</v>
      </c>
    </row>
    <row r="1436" spans="63:66" x14ac:dyDescent="0.6">
      <c r="BK1436" s="4" t="str">
        <f>IFERROR(VLOOKUP(TEXT($B$3,"yyyymmdd")&amp;"_"&amp;TEXT(1425,"0000"),RawData!$A$2:$F$1441,4,FALSE),"")</f>
        <v>0A</v>
      </c>
      <c r="BL1436" s="19">
        <f>TIME(0,0,0)+1425/1440</f>
        <v>0.98958333333333337</v>
      </c>
      <c r="BM1436" s="4">
        <f>IFERROR(VLOOKUP(TEXT($B$3,"yyyymmdd")&amp;"_"&amp;TEXT(1425,"0000"),RawData!$A$2:$F$1441,5,FALSE),"")</f>
        <v>0</v>
      </c>
      <c r="BN1436" s="4">
        <f t="shared" si="23"/>
        <v>0</v>
      </c>
    </row>
    <row r="1437" spans="63:66" x14ac:dyDescent="0.6">
      <c r="BK1437" s="4" t="str">
        <f>IFERROR(VLOOKUP(TEXT($B$3,"yyyymmdd")&amp;"_"&amp;TEXT(1426,"0000"),RawData!$A$2:$F$1441,4,FALSE),"")</f>
        <v>0A</v>
      </c>
      <c r="BL1437" s="19">
        <f>TIME(0,0,0)+1426/1440</f>
        <v>0.99027777777777781</v>
      </c>
      <c r="BM1437" s="4">
        <f>IFERROR(VLOOKUP(TEXT($B$3,"yyyymmdd")&amp;"_"&amp;TEXT(1426,"0000"),RawData!$A$2:$F$1441,5,FALSE),"")</f>
        <v>2.6499999999999999E-4</v>
      </c>
      <c r="BN1437" s="4">
        <f t="shared" si="23"/>
        <v>0</v>
      </c>
    </row>
    <row r="1438" spans="63:66" x14ac:dyDescent="0.6">
      <c r="BK1438" s="4" t="str">
        <f>IFERROR(VLOOKUP(TEXT($B$3,"yyyymmdd")&amp;"_"&amp;TEXT(1427,"0000"),RawData!$A$2:$F$1441,4,FALSE),"")</f>
        <v>0A</v>
      </c>
      <c r="BL1438" s="19">
        <f>TIME(0,0,0)+1427/1440</f>
        <v>0.99097222222222225</v>
      </c>
      <c r="BM1438" s="4">
        <f>IFERROR(VLOOKUP(TEXT($B$3,"yyyymmdd")&amp;"_"&amp;TEXT(1427,"0000"),RawData!$A$2:$F$1441,5,FALSE),"")</f>
        <v>0</v>
      </c>
      <c r="BN1438" s="4">
        <f t="shared" si="23"/>
        <v>1</v>
      </c>
    </row>
    <row r="1439" spans="63:66" x14ac:dyDescent="0.6">
      <c r="BK1439" s="4" t="str">
        <f>IFERROR(VLOOKUP(TEXT($B$3,"yyyymmdd")&amp;"_"&amp;TEXT(1428,"0000"),RawData!$A$2:$F$1441,4,FALSE),"")</f>
        <v>01</v>
      </c>
      <c r="BL1439" s="19">
        <f>TIME(0,0,0)+1428/1440</f>
        <v>0.9916666666666667</v>
      </c>
      <c r="BM1439" s="4">
        <f>IFERROR(VLOOKUP(TEXT($B$3,"yyyymmdd")&amp;"_"&amp;TEXT(1428,"0000"),RawData!$A$2:$F$1441,5,FALSE),"")</f>
        <v>3.39E-4</v>
      </c>
      <c r="BN1439" s="4">
        <f t="shared" si="23"/>
        <v>0</v>
      </c>
    </row>
    <row r="1440" spans="63:66" x14ac:dyDescent="0.6">
      <c r="BK1440" s="4" t="str">
        <f>IFERROR(VLOOKUP(TEXT($B$3,"yyyymmdd")&amp;"_"&amp;TEXT(1429,"0000"),RawData!$A$2:$F$1441,4,FALSE),"")</f>
        <v>01</v>
      </c>
      <c r="BL1440" s="19">
        <f>TIME(0,0,0)+1429/1440</f>
        <v>0.99236111111111114</v>
      </c>
      <c r="BM1440" s="4">
        <f>IFERROR(VLOOKUP(TEXT($B$3,"yyyymmdd")&amp;"_"&amp;TEXT(1429,"0000"),RawData!$A$2:$F$1441,5,FALSE),"")</f>
        <v>0</v>
      </c>
      <c r="BN1440" s="4">
        <f t="shared" si="23"/>
        <v>0</v>
      </c>
    </row>
    <row r="1441" spans="63:66" x14ac:dyDescent="0.6">
      <c r="BK1441" s="4" t="str">
        <f>IFERROR(VLOOKUP(TEXT($B$3,"yyyymmdd")&amp;"_"&amp;TEXT(1430,"0000"),RawData!$A$2:$F$1441,4,FALSE),"")</f>
        <v>01</v>
      </c>
      <c r="BL1441" s="19">
        <f>TIME(0,0,0)+1430/1440</f>
        <v>0.99305555555555558</v>
      </c>
      <c r="BM1441" s="4">
        <f>IFERROR(VLOOKUP(TEXT($B$3,"yyyymmdd")&amp;"_"&amp;TEXT(1430,"0000"),RawData!$A$2:$F$1441,5,FALSE),"")</f>
        <v>0</v>
      </c>
      <c r="BN1441" s="4">
        <f t="shared" si="23"/>
        <v>0</v>
      </c>
    </row>
    <row r="1442" spans="63:66" x14ac:dyDescent="0.6">
      <c r="BK1442" s="4" t="str">
        <f>IFERROR(VLOOKUP(TEXT($B$3,"yyyymmdd")&amp;"_"&amp;TEXT(1431,"0000"),RawData!$A$2:$F$1441,4,FALSE),"")</f>
        <v>01</v>
      </c>
      <c r="BL1442" s="19">
        <f>TIME(0,0,0)+1431/1440</f>
        <v>0.99375000000000002</v>
      </c>
      <c r="BM1442" s="4">
        <f>IFERROR(VLOOKUP(TEXT($B$3,"yyyymmdd")&amp;"_"&amp;TEXT(1431,"0000"),RawData!$A$2:$F$1441,5,FALSE),"")</f>
        <v>0</v>
      </c>
      <c r="BN1442" s="4">
        <f t="shared" si="23"/>
        <v>1</v>
      </c>
    </row>
    <row r="1443" spans="63:66" x14ac:dyDescent="0.6">
      <c r="BK1443" s="4" t="str">
        <f>IFERROR(VLOOKUP(TEXT($B$3,"yyyymmdd")&amp;"_"&amp;TEXT(1432,"0000"),RawData!$A$2:$F$1441,4,FALSE),"")</f>
        <v>01</v>
      </c>
      <c r="BL1443" s="19">
        <f>TIME(0,0,0)+1432/1440</f>
        <v>0.99444444444444446</v>
      </c>
      <c r="BM1443" s="4">
        <f>IFERROR(VLOOKUP(TEXT($B$3,"yyyymmdd")&amp;"_"&amp;TEXT(1432,"0000"),RawData!$A$2:$F$1441,5,FALSE),"")</f>
        <v>2.2900000000000001E-4</v>
      </c>
      <c r="BN1443" s="4">
        <f t="shared" si="23"/>
        <v>0</v>
      </c>
    </row>
    <row r="1444" spans="63:66" x14ac:dyDescent="0.6">
      <c r="BK1444" s="4" t="str">
        <f>IFERROR(VLOOKUP(TEXT($B$3,"yyyymmdd")&amp;"_"&amp;TEXT(1433,"0000"),RawData!$A$2:$F$1441,4,FALSE),"")</f>
        <v>01</v>
      </c>
      <c r="BL1444" s="19">
        <f>TIME(0,0,0)+1433/1440</f>
        <v>0.99513888888888891</v>
      </c>
      <c r="BM1444" s="4">
        <f>IFERROR(VLOOKUP(TEXT($B$3,"yyyymmdd")&amp;"_"&amp;TEXT(1433,"0000"),RawData!$A$2:$F$1441,5,FALSE),"")</f>
        <v>0</v>
      </c>
      <c r="BN1444" s="4">
        <f t="shared" si="23"/>
        <v>0</v>
      </c>
    </row>
    <row r="1445" spans="63:66" x14ac:dyDescent="0.6">
      <c r="BK1445" s="4" t="str">
        <f>IFERROR(VLOOKUP(TEXT($B$3,"yyyymmdd")&amp;"_"&amp;TEXT(1434,"0000"),RawData!$A$2:$F$1441,4,FALSE),"")</f>
        <v>01</v>
      </c>
      <c r="BL1445" s="19">
        <f>TIME(0,0,0)+1434/1440</f>
        <v>0.99583333333333335</v>
      </c>
      <c r="BM1445" s="4">
        <f>IFERROR(VLOOKUP(TEXT($B$3,"yyyymmdd")&amp;"_"&amp;TEXT(1434,"0000"),RawData!$A$2:$F$1441,5,FALSE),"")</f>
        <v>0</v>
      </c>
      <c r="BN1445" s="4">
        <f t="shared" si="23"/>
        <v>1</v>
      </c>
    </row>
    <row r="1446" spans="63:66" x14ac:dyDescent="0.6">
      <c r="BK1446" s="4" t="str">
        <f>IFERROR(VLOOKUP(TEXT($B$3,"yyyymmdd")&amp;"_"&amp;TEXT(1435,"0000"),RawData!$A$2:$F$1441,4,FALSE),"")</f>
        <v>01</v>
      </c>
      <c r="BL1446" s="19">
        <f>TIME(0,0,0)+1435/1440</f>
        <v>0.99652777777777779</v>
      </c>
      <c r="BM1446" s="4">
        <f>IFERROR(VLOOKUP(TEXT($B$3,"yyyymmdd")&amp;"_"&amp;TEXT(1435,"0000"),RawData!$A$2:$F$1441,5,FALSE),"")</f>
        <v>3.8699999999999997E-4</v>
      </c>
      <c r="BN1446" s="4">
        <f t="shared" si="23"/>
        <v>0</v>
      </c>
    </row>
    <row r="1447" spans="63:66" x14ac:dyDescent="0.6">
      <c r="BK1447" s="4" t="str">
        <f>IFERROR(VLOOKUP(TEXT($B$3,"yyyymmdd")&amp;"_"&amp;TEXT(1436,"0000"),RawData!$A$2:$F$1441,4,FALSE),"")</f>
        <v>0A</v>
      </c>
      <c r="BL1447" s="19">
        <f>TIME(0,0,0)+1436/1440</f>
        <v>0.99722222222222223</v>
      </c>
      <c r="BM1447" s="4">
        <f>IFERROR(VLOOKUP(TEXT($B$3,"yyyymmdd")&amp;"_"&amp;TEXT(1436,"0000"),RawData!$A$2:$F$1441,5,FALSE),"")</f>
        <v>4.3399999999999998E-4</v>
      </c>
      <c r="BN1447" s="4">
        <f t="shared" si="23"/>
        <v>0</v>
      </c>
    </row>
    <row r="1448" spans="63:66" x14ac:dyDescent="0.6">
      <c r="BK1448" s="4" t="str">
        <f>IFERROR(VLOOKUP(TEXT($B$3,"yyyymmdd")&amp;"_"&amp;TEXT(1437,"0000"),RawData!$A$2:$F$1441,4,FALSE),"")</f>
        <v>01</v>
      </c>
      <c r="BL1448" s="19">
        <f>TIME(0,0,0)+1437/1440</f>
        <v>0.99791666666666667</v>
      </c>
      <c r="BM1448" s="4">
        <f>IFERROR(VLOOKUP(TEXT($B$3,"yyyymmdd")&amp;"_"&amp;TEXT(1437,"0000"),RawData!$A$2:$F$1441,5,FALSE),"")</f>
        <v>1.65E-4</v>
      </c>
      <c r="BN1448" s="4">
        <f t="shared" si="23"/>
        <v>0</v>
      </c>
    </row>
    <row r="1449" spans="63:66" x14ac:dyDescent="0.6">
      <c r="BK1449" s="4" t="str">
        <f>IFERROR(VLOOKUP(TEXT($B$3,"yyyymmdd")&amp;"_"&amp;TEXT(1438,"0000"),RawData!$A$2:$F$1441,4,FALSE),"")</f>
        <v>01</v>
      </c>
      <c r="BL1449" s="19">
        <f>TIME(0,0,0)+1438/1440</f>
        <v>0.99861111111111112</v>
      </c>
      <c r="BM1449" s="4">
        <f>IFERROR(VLOOKUP(TEXT($B$3,"yyyymmdd")&amp;"_"&amp;TEXT(1438,"0000"),RawData!$A$2:$F$1441,5,FALSE),"")</f>
        <v>0</v>
      </c>
      <c r="BN1449" s="4">
        <f t="shared" si="23"/>
        <v>0</v>
      </c>
    </row>
    <row r="1450" spans="63:66" x14ac:dyDescent="0.6">
      <c r="BK1450" s="4" t="str">
        <f>IFERROR(VLOOKUP(TEXT($B$3,"yyyymmdd")&amp;"_"&amp;TEXT(1439,"0000"),RawData!$A$2:$F$1441,4,FALSE),"")</f>
        <v>01</v>
      </c>
      <c r="BL1450" s="19">
        <f>TIME(0,0,0)+1439/1440</f>
        <v>0.99930555555555556</v>
      </c>
      <c r="BM1450" s="4">
        <f>IFERROR(VLOOKUP(TEXT($B$3,"yyyymmdd")&amp;"_"&amp;TEXT(1439,"0000"),RawData!$A$2:$F$1441,5,FALSE),"")</f>
        <v>0</v>
      </c>
      <c r="BN1450" s="4">
        <f t="shared" si="23"/>
        <v>0</v>
      </c>
    </row>
    <row r="1451" spans="63:66" x14ac:dyDescent="0.6">
      <c r="BN1451" s="4">
        <f t="shared" si="23"/>
        <v>0</v>
      </c>
    </row>
    <row r="1452" spans="63:66" x14ac:dyDescent="0.6">
      <c r="BN1452" s="4">
        <f t="shared" si="23"/>
        <v>0</v>
      </c>
    </row>
    <row r="1453" spans="63:66" x14ac:dyDescent="0.6">
      <c r="BN1453" s="4">
        <f t="shared" si="23"/>
        <v>1</v>
      </c>
    </row>
    <row r="1454" spans="63:66" x14ac:dyDescent="0.6">
      <c r="BN1454" s="4">
        <f t="shared" si="23"/>
        <v>1</v>
      </c>
    </row>
    <row r="1455" spans="63:66" x14ac:dyDescent="0.6">
      <c r="BN1455" s="4">
        <f t="shared" si="23"/>
        <v>0</v>
      </c>
    </row>
    <row r="1456" spans="63:66" x14ac:dyDescent="0.6">
      <c r="BN1456" s="4">
        <f t="shared" ref="BN1456:BN1519" si="24">IF(BK1450="","",IF(BK1450&lt;&gt;BK1449,1,0))</f>
        <v>0</v>
      </c>
    </row>
  </sheetData>
  <mergeCells count="8">
    <mergeCell ref="A4:B4"/>
    <mergeCell ref="G4:H4"/>
    <mergeCell ref="E4:F4"/>
    <mergeCell ref="C4:D4"/>
    <mergeCell ref="A5:B8"/>
    <mergeCell ref="C5:D8"/>
    <mergeCell ref="E5:F8"/>
    <mergeCell ref="G5:H8"/>
  </mergeCells>
  <phoneticPr fontId="9" type="noConversion"/>
  <conditionalFormatting sqref="C11:BJ34">
    <cfRule type="expression" dxfId="11" priority="1">
      <formula>INDEX($C$110:$BJ$133,ROW()-ROW($C$11)+1,COLUMN()-COLUMN($C$11)+1)="외출"</formula>
    </cfRule>
    <cfRule type="expression" dxfId="10" priority="2">
      <formula>INDEX($C$110:$BJ$133,ROW()-ROW($C$11)+1,COLUMN()-COLUMN($C$11)+1)="주방"</formula>
    </cfRule>
    <cfRule type="expression" dxfId="9" priority="3">
      <formula>INDEX($C$110:$BJ$133,ROW()-ROW($C$11)+1,COLUMN()-COLUMN($C$11)+1)="화장실"</formula>
    </cfRule>
    <cfRule type="expression" dxfId="8" priority="4">
      <formula>INDEX($C$110:$BJ$133,ROW()-ROW($C$11)+1,COLUMN()-COLUMN($C$11)+1)="거실A"</formula>
    </cfRule>
    <cfRule type="expression" dxfId="7" priority="5">
      <formula>INDEX($C$110:$BJ$133,ROW()-ROW($C$11)+1,COLUMN()-COLUMN($C$11)+1)="침실B"</formula>
    </cfRule>
    <cfRule type="expression" dxfId="6" priority="6">
      <formula>INDEX($C$110:$BJ$133,ROW()-ROW($C$11)+1,COLUMN()-COLUMN($C$11)+1)="침실A"</formula>
    </cfRule>
  </conditionalFormatting>
  <conditionalFormatting sqref="C35:BJ36 C37:D40 G37:BJ40 A63:B63 B64:B66">
    <cfRule type="expression" dxfId="5" priority="24">
      <formula>A35="침실A"</formula>
    </cfRule>
    <cfRule type="expression" dxfId="4" priority="25">
      <formula>A35="침실B"</formula>
    </cfRule>
    <cfRule type="expression" dxfId="3" priority="26">
      <formula>A35="거실A"</formula>
    </cfRule>
    <cfRule type="expression" dxfId="2" priority="27">
      <formula>A35="화장실"</formula>
    </cfRule>
    <cfRule type="expression" dxfId="1" priority="28">
      <formula>A35="주방"</formula>
    </cfRule>
    <cfRule type="expression" dxfId="0" priority="29">
      <formula>A35="외출"</formula>
    </cfRule>
  </conditionalFormatting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README</vt:lpstr>
      <vt:lpstr>Mapping</vt:lpstr>
      <vt:lpstr>RawData</vt:lpstr>
      <vt:lpstr>DailyView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kman choi</cp:lastModifiedBy>
  <dcterms:created xsi:type="dcterms:W3CDTF">2026-01-28T09:09:32Z</dcterms:created>
  <dcterms:modified xsi:type="dcterms:W3CDTF">2026-02-05T05:10:47Z</dcterms:modified>
</cp:coreProperties>
</file>